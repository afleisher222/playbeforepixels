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Unit Economics" sheetId="3" state="visible" r:id="rId5"/>
    <sheet name="Startup Costs" sheetId="4" state="visible" r:id="rId6"/>
    <sheet name="Monthly Operating Costs" sheetId="5" state="visible" r:id="rId7"/>
    <sheet name="36-Month Forecast" sheetId="6" state="visible" r:id="rId8"/>
    <sheet name="Cash Flow" sheetId="7" state="visible" r:id="rId9"/>
    <sheet name="Break-even" sheetId="8" state="visible" r:id="rId10"/>
    <sheet name="Retail Readiness Cos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<sst xmlns="http://schemas.openxmlformats.org/spreadsheetml/2006/main" count="2350" uniqueCount="947">
  <si>
    <t xml:space="preserve">Play Before Pixels: financial model dashboard</t>
  </si>
  <si>
    <t xml:space="preserve">AlphaPlay LLC (Maryland) d/b/a Play Before Pixels. Draft for the founder, September 28, 2026. Planning estimates only: these are not forecasts of income or promises of results. Change any blue cell on Assumptions and every tab updates.</t>
  </si>
  <si>
    <t xml:space="preserve">Measure</t>
  </si>
  <si>
    <t xml:space="preserve">Conservative</t>
  </si>
  <si>
    <t xml:space="preserve">Expected</t>
  </si>
  <si>
    <t xml:space="preserve">Strong</t>
  </si>
  <si>
    <t xml:space="preserve">Where it comes from</t>
  </si>
  <si>
    <t xml:space="preserve">Sales and profit by year (model year 1 = Oct 2026 - Sep 2027)</t>
  </si>
  <si>
    <t xml:space="preserve">Gross sales, year 1</t>
  </si>
  <si>
    <t xml:space="preserve">36-Month Forecast</t>
  </si>
  <si>
    <t xml:space="preserve">Gross sales, year 2</t>
  </si>
  <si>
    <t xml:space="preserve">Gross sales, year 3</t>
  </si>
  <si>
    <t xml:space="preserve">Net contribution, year 1</t>
  </si>
  <si>
    <t xml:space="preserve">After platform, payment, print/POD and fulfilment costs</t>
  </si>
  <si>
    <t xml:space="preserve">Net contribution, year 2</t>
  </si>
  <si>
    <t xml:space="preserve">Net contribution, year 3</t>
  </si>
  <si>
    <t xml:space="preserve">Net operating result, year 1</t>
  </si>
  <si>
    <t xml:space="preserve">Contribution - ads - operating costs - wave fixed costs</t>
  </si>
  <si>
    <t xml:space="preserve">Net operating result, year 2</t>
  </si>
  <si>
    <t xml:space="preserve">Net operating result, year 3</t>
  </si>
  <si>
    <t xml:space="preserve">One-time costs over 36 months (startup + wave launch + retail readiness)</t>
  </si>
  <si>
    <t xml:space="preserve">Startup Costs; Retail Readiness Costs</t>
  </si>
  <si>
    <t xml:space="preserve">Inventory purchases over 36 months (board-book print runs)</t>
  </si>
  <si>
    <t xml:space="preserve">Sized from pre-sale orders</t>
  </si>
  <si>
    <t xml:space="preserve">Cumulative net result after one-time costs, month 36</t>
  </si>
  <si>
    <t xml:space="preserve">Cash and break-even</t>
  </si>
  <si>
    <t xml:space="preserve">Peak funding need (lowest operating balance)</t>
  </si>
  <si>
    <t xml:space="preserve">Cash Flow (includes payout delays)</t>
  </si>
  <si>
    <t xml:space="preserve">   ...in month</t>
  </si>
  <si>
    <t xml:space="preserve">Sustained operating break-even</t>
  </si>
  <si>
    <t xml:space="preserve">Break-even tab</t>
  </si>
  <si>
    <t xml:space="preserve">Cash payback (operating balance stays &gt;= 0)</t>
  </si>
  <si>
    <t xml:space="preserve">Total cash at month 36 (operating + tax reserve)</t>
  </si>
  <si>
    <t xml:space="preserve">Operating balance vs 3-month reserve target, month 36</t>
  </si>
  <si>
    <t xml:space="preserve">ops/ROUTINE.md reserve target</t>
  </si>
  <si>
    <t xml:space="preserve">Volume and mix</t>
  </si>
  <si>
    <t xml:space="preserve">Orders in month 36</t>
  </si>
  <si>
    <t xml:space="preserve">Average gross sale per order, year 3</t>
  </si>
  <si>
    <t xml:space="preserve">Email subscribers at month 36</t>
  </si>
  <si>
    <t xml:space="preserve">Share of 36-month contribution from digital (site, Etsy, MoR, course)</t>
  </si>
  <si>
    <t xml:space="preserve">Share from print-on-demand books (KDP, IngramSpark)</t>
  </si>
  <si>
    <t xml:space="preserve">Share from the board book (Wave 3)</t>
  </si>
  <si>
    <t xml:space="preserve">Share from the school/group wave (held for counsel)</t>
  </si>
  <si>
    <t xml:space="preserve">Share from retail and wholesale (Faire, Walmart, Target Plus)</t>
  </si>
  <si>
    <t xml:space="preserve">Board-book pre-sale copies before the print month</t>
  </si>
  <si>
    <t xml:space="preserve">Wave 3 pre-sale (Feb-Apr 2027)</t>
  </si>
  <si>
    <t xml:space="preserve">   ...copies needed to fund the first run (go / no-go line)</t>
  </si>
  <si>
    <t xml:space="preserve">Below this line, delay the print run and keep the POD paperback</t>
  </si>
  <si>
    <t xml:space="preserve">Board-book copies at the 3PL, month 36</t>
  </si>
  <si>
    <t xml:space="preserve">Cash tied up in stock</t>
  </si>
  <si>
    <t xml:space="preserve">How to use</t>
  </si>
  <si>
    <t xml:space="preserve">1. Edit blue cells only. Yellow cells on Assumptions are the levers that move results most (traffic, conversion, include flags, IngramSpark discount, owner contribution).</t>
  </si>
  <si>
    <t xml:space="preserve">2. The cost position on Assumptions (0 = every cost at the low end of its range, 1 = high end) tests cost risk in one step.</t>
  </si>
  <si>
    <t xml:space="preserve">3. School-facing products stay off in Conservative and start only when employment counsel clears them. Retail (including Target Plus) starts only after a 12-month record.</t>
  </si>
  <si>
    <t xml:space="preserve">4. Every [VERIFY] figure must be checked on the live page or a written quote before money is committed.</t>
  </si>
  <si>
    <t xml:space="preserve">5. Replace the traffic and conversion guesses with the first 90 days of real data from the Friday scorecard.</t>
  </si>
  <si>
    <t xml:space="preserve">Chart data: net operating result by model year</t>
  </si>
  <si>
    <t xml:space="preserve">Year 1</t>
  </si>
  <si>
    <t xml:space="preserve">Year 2</t>
  </si>
  <si>
    <t xml:space="preserve">Year 3</t>
  </si>
  <si>
    <t xml:space="preserve">Assumptions: every input in the model</t>
  </si>
  <si>
    <t xml:space="preserve">Blue = editable input. Yellow fill = key scenario lever. Black = formula. Green = link to another tab. Status: Repo = figure found in a repository file (most are themselves marked UNVERIFIED there); Assumption = planning input chosen for this model; [VERIFY] = outside fact not in the repo, check before relying on it.</t>
  </si>
  <si>
    <t xml:space="preserve">ID</t>
  </si>
  <si>
    <t xml:space="preserve">Input</t>
  </si>
  <si>
    <t xml:space="preserve">Value / Conservative</t>
  </si>
  <si>
    <t xml:space="preserve">Unit</t>
  </si>
  <si>
    <t xml:space="preserve">Source / basis</t>
  </si>
  <si>
    <t xml:space="preserve">Status</t>
  </si>
  <si>
    <t xml:space="preserve">1. General settings</t>
  </si>
  <si>
    <t xml:space="preserve">start</t>
  </si>
  <si>
    <t xml:space="preserve">Model start month (month 1)</t>
  </si>
  <si>
    <t xml:space="preserve">month</t>
  </si>
  <si>
    <t xml:space="preserve">Plan dated Sept 28, 2026. Wave 1 runs Oct-Dec 2026 (marketing/BLIND-SPOTS.md #2).</t>
  </si>
  <si>
    <t xml:space="preserve">Repo</t>
  </si>
  <si>
    <t xml:space="preserve">pos</t>
  </si>
  <si>
    <t xml:space="preserve">Cost position inside every Low-High range (0 = low, 1 = high)</t>
  </si>
  <si>
    <t xml:space="preserve">0-1</t>
  </si>
  <si>
    <t xml:space="preserve">Drives the 'Model' column on Startup Costs, Monthly Operating Costs and Retail Readiness Costs.</t>
  </si>
  <si>
    <t xml:space="preserve">Assumption</t>
  </si>
  <si>
    <t xml:space="preserve">ramp</t>
  </si>
  <si>
    <t xml:space="preserve">Months for a new listing to reach full conversion (review ramp)</t>
  </si>
  <si>
    <t xml:space="preserve">months</t>
  </si>
  <si>
    <t xml:space="preserve">A new faceless shop starts with zero reviews against incumbents with 2,000-11,000 (marketing/DEMAND-CHECK.md, 'One honest warning').</t>
  </si>
  <si>
    <t xml:space="preserve">mdtax</t>
  </si>
  <si>
    <t xml:space="preserve">Maryland sales tax on direct (own-site) sales</t>
  </si>
  <si>
    <t xml:space="preserve">% of price</t>
  </si>
  <si>
    <t xml:space="preserve">commerce/storefront-setup-guide.md A3 (UNVERIFIED). Collected on top of price and remitted: pass-through, never counted as revenue.</t>
  </si>
  <si>
    <t xml:space="preserve">Repo [VERIFY]</t>
  </si>
  <si>
    <t xml:space="preserve">refund</t>
  </si>
  <si>
    <t xml:space="preserve">Refund and chargeback allowance, direct digital sales</t>
  </si>
  <si>
    <t xml:space="preserve">ops/GAPS-ROUND-2.md G2-12: first refund request under about $15 is refunded automatically.</t>
  </si>
  <si>
    <t xml:space="preserve">refund_course</t>
  </si>
  <si>
    <t xml:space="preserve">Refund allowance, 30-Day Screen Reset (money-back guarantee)</t>
  </si>
  <si>
    <t xml:space="preserve">DEMAND-CHECK course row: 'Add a money-back guarantee'.</t>
  </si>
  <si>
    <t xml:space="preserve">taxres</t>
  </si>
  <si>
    <t xml:space="preserve">Tax reserve transfer (% of each positive month's net cash)</t>
  </si>
  <si>
    <t xml:space="preserve">%</t>
  </si>
  <si>
    <t xml:space="preserve">finance/TAX-AUTOPILOT.md §2: accountant picks the rate; 25-30% is common for self-employment income.</t>
  </si>
  <si>
    <t xml:space="preserve">Repo range</t>
  </si>
  <si>
    <t xml:space="preserve">open</t>
  </si>
  <si>
    <t xml:space="preserve">Opening cash in the business account</t>
  </si>
  <si>
    <t xml:space="preserve">$</t>
  </si>
  <si>
    <t xml:space="preserve">finance/BANKING.md: the Chase checking account is closed; a new no-fee account opens empty.</t>
  </si>
  <si>
    <t xml:space="preserve">owner</t>
  </si>
  <si>
    <t xml:space="preserve">Owner capital contribution in month 1</t>
  </si>
  <si>
    <t xml:space="preserve">Left at $0 so the model shows the funding need. Enter what the founder will put in.</t>
  </si>
  <si>
    <t xml:space="preserve">contin</t>
  </si>
  <si>
    <t xml:space="preserve">Operating contingency (% of monthly operating costs)</t>
  </si>
  <si>
    <t xml:space="preserve">Buffer for price changes; nearly every subscription price in the repo is UNVERIFIED.</t>
  </si>
  <si>
    <t xml:space="preserve">resmo</t>
  </si>
  <si>
    <t xml:space="preserve">Cash reserve target (months of fixed costs)</t>
  </si>
  <si>
    <t xml:space="preserve">ops/ROUTINE.md weekly scorecard ('3-month reserve target'); BLIND-SPOTS #20 says 2-3 months.</t>
  </si>
  <si>
    <t xml:space="preserve">2. Platform fees and royalties (used by Unit Economics)</t>
  </si>
  <si>
    <t xml:space="preserve">shop_pct</t>
  </si>
  <si>
    <t xml:space="preserve">Shopify Payments card rate</t>
  </si>
  <si>
    <t xml:space="preserve">commerce/storefront-setup-guide.md §1; finance/money-and-tax-setup.md fees table (Basic plan, UNVERIFIED).</t>
  </si>
  <si>
    <t xml:space="preserve">shop_fix</t>
  </si>
  <si>
    <t xml:space="preserve">Shopify Payments fixed fee</t>
  </si>
  <si>
    <t xml:space="preserve">$ per order</t>
  </si>
  <si>
    <t xml:space="preserve">Same source.</t>
  </si>
  <si>
    <t xml:space="preserve">etsy_tx</t>
  </si>
  <si>
    <t xml:space="preserve">Etsy transaction fee</t>
  </si>
  <si>
    <t xml:space="preserve">storefront-setup-guide §10 (UNVERIFIED).</t>
  </si>
  <si>
    <t xml:space="preserve">etsy_pay</t>
  </si>
  <si>
    <t xml:space="preserve">Etsy payment processing (US)</t>
  </si>
  <si>
    <t xml:space="preserve">etsy_payfix</t>
  </si>
  <si>
    <t xml:space="preserve">Etsy payment processing fixed fee</t>
  </si>
  <si>
    <t xml:space="preserve">etsy_list</t>
  </si>
  <si>
    <t xml:space="preserve">Etsy listing fee (renews on each sale)</t>
  </si>
  <si>
    <t xml:space="preserve">$ per sale</t>
  </si>
  <si>
    <t xml:space="preserve">etsy_oa</t>
  </si>
  <si>
    <t xml:space="preserve">Etsy Offsite Ads fee when an ad drives the sale</t>
  </si>
  <si>
    <t xml:space="preserve">Same source: 15%, or 12% and mandatory above $10,000 in 12 months.</t>
  </si>
  <si>
    <t xml:space="preserve">etsy_oashare</t>
  </si>
  <si>
    <t xml:space="preserve">Share of Etsy sales that come through Offsite Ads</t>
  </si>
  <si>
    <t xml:space="preserve">% of Etsy sales</t>
  </si>
  <si>
    <t xml:space="preserve">No data yet; check the Etsy statement after 90 days.</t>
  </si>
  <si>
    <t xml:space="preserve">kdp_roy</t>
  </si>
  <si>
    <t xml:space="preserve">KDP paperback royalty rate (list price $9.99 or more)</t>
  </si>
  <si>
    <t xml:space="preserve">% of list</t>
  </si>
  <si>
    <t xml:space="preserve">storefront-setup-guide §6: 60% at $9.99+ since June 10, 2025 (UNVERIFIED).</t>
  </si>
  <si>
    <t xml:space="preserve">kdp_base</t>
  </si>
  <si>
    <t xml:space="preserve">KDP print cost: fixed part</t>
  </si>
  <si>
    <t xml:space="preserve">$ per copy</t>
  </si>
  <si>
    <t xml:space="preserve">products/*/listing.json price_notes: $1.00 + $0.07/page premium color.</t>
  </si>
  <si>
    <t xml:space="preserve">kdp_color</t>
  </si>
  <si>
    <t xml:space="preserve">KDP print cost: premium color, per page</t>
  </si>
  <si>
    <t xml:space="preserve">$ per page</t>
  </si>
  <si>
    <t xml:space="preserve">kdp_bw</t>
  </si>
  <si>
    <t xml:space="preserve">KDP print cost: black-and-white, per page</t>
  </si>
  <si>
    <t xml:space="preserve">Not in the repo. Outside figure from general knowledge.</t>
  </si>
  <si>
    <t xml:space="preserve">[VERIFY]</t>
  </si>
  <si>
    <t xml:space="preserve">plays_pages</t>
  </si>
  <si>
    <t xml:space="preserve">100 Screen-Free Plays paperback page count</t>
  </si>
  <si>
    <t xml:space="preserve">pages</t>
  </si>
  <si>
    <t xml:space="preserve">Count of page blocks in products/guide-100-plays/source-kdp.html; confirm at upload.</t>
  </si>
  <si>
    <t xml:space="preserve">pic_pages</t>
  </si>
  <si>
    <t xml:space="preserve">Picture-book and talk-along paperback page count</t>
  </si>
  <si>
    <t xml:space="preserve">products/*/listing.json ('pages': 32).</t>
  </si>
  <si>
    <t xml:space="preserve">ing_disc</t>
  </si>
  <si>
    <t xml:space="preserve">IngramSpark wholesale discount given to retailers</t>
  </si>
  <si>
    <t xml:space="preserve">MARKETING-PLAYBOOK libraries row ('Ingram at 55%'); storefront guide range 30-55%.</t>
  </si>
  <si>
    <t xml:space="preserve">ing_hc_print</t>
  </si>
  <si>
    <t xml:space="preserve">IngramSpark print cost, 32-page 8.5x8.5 color hardcover</t>
  </si>
  <si>
    <t xml:space="preserve">Not in the repo; listing.json says run IngramSpark's calculator.</t>
  </si>
  <si>
    <t xml:space="preserve">ing_pb_print</t>
  </si>
  <si>
    <t xml:space="preserve">IngramSpark print cost, 32-page color paperback</t>
  </si>
  <si>
    <t xml:space="preserve">Proxy: KDP premium-color formula from listing.json.</t>
  </si>
  <si>
    <t xml:space="preserve">Assumption [VERIFY]</t>
  </si>
  <si>
    <t xml:space="preserve">mor_pct</t>
  </si>
  <si>
    <t xml:space="preserve">Merchant of record (Gumroad) fee</t>
  </si>
  <si>
    <t xml:space="preserve">storefront-setup-guide §13; legal/international-plan.md (UNVERIFIED). Covers card processing, US sales tax and EU/UK VAT.</t>
  </si>
  <si>
    <t xml:space="preserve">mor_fix</t>
  </si>
  <si>
    <t xml:space="preserve">Merchant of record fixed fee</t>
  </si>
  <si>
    <t xml:space="preserve">tpt_payout</t>
  </si>
  <si>
    <t xml:space="preserve">Teachers Pay Teachers payout (Basic seller)</t>
  </si>
  <si>
    <t xml:space="preserve">DEMAND-CHECK rule 10; money-and-tax fees table (UNVERIFIED).</t>
  </si>
  <si>
    <t xml:space="preserve">tpt_fix</t>
  </si>
  <si>
    <t xml:space="preserve">TPT per-resource transaction fee</t>
  </si>
  <si>
    <t xml:space="preserve">amz_ref</t>
  </si>
  <si>
    <t xml:space="preserve">Amazon Seller Central / FBA referral fee</t>
  </si>
  <si>
    <t xml:space="preserve">storefront-setup-guide §19 ('about 15%', UNVERIFIED).</t>
  </si>
  <si>
    <t xml:space="preserve">fba_fee</t>
  </si>
  <si>
    <t xml:space="preserve">Amazon FBA fulfilment fee per board book</t>
  </si>
  <si>
    <t xml:space="preserve">$ per unit</t>
  </si>
  <si>
    <t xml:space="preserve">Not in the repo.</t>
  </si>
  <si>
    <t xml:space="preserve">faire_comm</t>
  </si>
  <si>
    <t xml:space="preserve">Faire commission (orders from retailers Faire finds)</t>
  </si>
  <si>
    <t xml:space="preserve">% of wholesale</t>
  </si>
  <si>
    <t xml:space="preserve">storefront-setup-guide §19; 0% on Faire Direct.</t>
  </si>
  <si>
    <t xml:space="preserve">faire_proc</t>
  </si>
  <si>
    <t xml:space="preserve">Faire payment processing</t>
  </si>
  <si>
    <t xml:space="preserve">Same source; conflicting 1.9-3.5% vs flat ~3%.</t>
  </si>
  <si>
    <t xml:space="preserve">whsl_pct</t>
  </si>
  <si>
    <t xml:space="preserve">Wholesale price as % of retail</t>
  </si>
  <si>
    <t xml:space="preserve">% of retail</t>
  </si>
  <si>
    <t xml:space="preserve">marketing/AMAZON-AND-RETAIL-ROADMAP.md B4; board-up-go-more/listing.json.</t>
  </si>
  <si>
    <t xml:space="preserve">bigbox_ref</t>
  </si>
  <si>
    <t xml:space="preserve">Walmart Marketplace / Target Plus referral fee</t>
  </si>
  <si>
    <t xml:space="preserve">Walmart books about 15% (storefront guide §19, UNVERIFIED). Target Plus is invitation-only; its terms are not in the repo.</t>
  </si>
  <si>
    <t xml:space="preserve">retail_deduct</t>
  </si>
  <si>
    <t xml:space="preserve">Retail deductions and chargebacks allowance</t>
  </si>
  <si>
    <t xml:space="preserve">Not in the repo; big-box programs deduct for compliance misses.</t>
  </si>
  <si>
    <t xml:space="preserve">tee_pod</t>
  </si>
  <si>
    <t xml:space="preserve">Adult tee: POD base cost incl. print</t>
  </si>
  <si>
    <t xml:space="preserve">Not in the repo; shipping assumed charged to the buyer.</t>
  </si>
  <si>
    <t xml:space="preserve">3. Physical products: board book (Wave 3) and retail stock</t>
  </si>
  <si>
    <t xml:space="preserve">bb_price</t>
  </si>
  <si>
    <t xml:space="preserve">Board book retail price (Up! Go! More!)</t>
  </si>
  <si>
    <t xml:space="preserve">DEMAND-CHECK §4 rule 9; board-up-go-more/listing.json.</t>
  </si>
  <si>
    <t xml:space="preserve">bb_low</t>
  </si>
  <si>
    <t xml:space="preserve">Offset print cost per copy: low</t>
  </si>
  <si>
    <t xml:space="preserve">marketing/BLIND-SPOTS.md #11: roughly $1.80-$4 a copy at 1,000-3,000 copies [VERIFY with quotes].</t>
  </si>
  <si>
    <t xml:space="preserve">bb_high</t>
  </si>
  <si>
    <t xml:space="preserve">Offset print cost per copy: high</t>
  </si>
  <si>
    <t xml:space="preserve">bb_print</t>
  </si>
  <si>
    <t xml:space="preserve">Offset print cost per copy used in model</t>
  </si>
  <si>
    <t xml:space="preserve">Low + cost position x (High - Low)</t>
  </si>
  <si>
    <t xml:space="preserve">Formula</t>
  </si>
  <si>
    <t xml:space="preserve">freight</t>
  </si>
  <si>
    <t xml:space="preserve">Freight, duties and warehouse receiving</t>
  </si>
  <si>
    <t xml:space="preserve">% of print cost</t>
  </si>
  <si>
    <t xml:space="preserve">BLIND-SPOTS #11 asks quotes to cover shipping, duties and warehouse fees; no figure given.</t>
  </si>
  <si>
    <t xml:space="preserve">landed</t>
  </si>
  <si>
    <t xml:space="preserve">Landed cost per copy (print + freight/duties)</t>
  </si>
  <si>
    <t xml:space="preserve">DEMAND-CHECK rule 9 target: landed cost at or below 35-40% of retail.</t>
  </si>
  <si>
    <t xml:space="preserve">pick</t>
  </si>
  <si>
    <t xml:space="preserve">3PL pick, pack and ship-handling per single order</t>
  </si>
  <si>
    <t xml:space="preserve">Not in the repo; postage itself assumed charged to the buyer.</t>
  </si>
  <si>
    <t xml:space="preserve">whs_handle</t>
  </si>
  <si>
    <t xml:space="preserve">3PL handling per unit on wholesale cartons</t>
  </si>
  <si>
    <t xml:space="preserve">tpl_min</t>
  </si>
  <si>
    <t xml:space="preserve">3PL monthly minimum / storage</t>
  </si>
  <si>
    <t xml:space="preserve">$ per month</t>
  </si>
  <si>
    <t xml:space="preserve">seller_central</t>
  </si>
  <si>
    <t xml:space="preserve">Amazon Seller Central Professional plan</t>
  </si>
  <si>
    <t xml:space="preserve">storefront-setup-guide §19 (UNVERIFIED).</t>
  </si>
  <si>
    <t xml:space="preserve">min_run</t>
  </si>
  <si>
    <t xml:space="preserve">Minimum first offset run</t>
  </si>
  <si>
    <t xml:space="preserve">copies</t>
  </si>
  <si>
    <t xml:space="preserve">BLIND-SPOTS #11: quotes at 500, 1,000 and 2,500 copies.</t>
  </si>
  <si>
    <t xml:space="preserve">buffer</t>
  </si>
  <si>
    <t xml:space="preserve">Print buffer over pre-sale units</t>
  </si>
  <si>
    <t xml:space="preserve">BLIND-SPOTS #16: 'Order what sold plus 30-50%'.</t>
  </si>
  <si>
    <t xml:space="preserve">presale_len</t>
  </si>
  <si>
    <t xml:space="preserve">Pre-sale length before the print order</t>
  </si>
  <si>
    <t xml:space="preserve">BLIND-SPOTS #16: Feb-Apr 2027 pre-sale.</t>
  </si>
  <si>
    <t xml:space="preserve">presale_buf</t>
  </si>
  <si>
    <t xml:space="preserve">Buffer in the pre-sale funding goal</t>
  </si>
  <si>
    <t xml:space="preserve">BLIND-SPOTS #16: goal = printing + shipping + duties + fees + delivery + about 15% buffer.</t>
  </si>
  <si>
    <t xml:space="preserve">school_setup</t>
  </si>
  <si>
    <t xml:space="preserve">School/group wave one-time setup (TPT fee, purchasing kit, host kit build)</t>
  </si>
  <si>
    <t xml:space="preserve">TPT Basic $29 (storefront guide §11); purchasing kit $0-50 and Family Night kit $0-100 (MARKETING-PLAYBOOK).</t>
  </si>
  <si>
    <t xml:space="preserve">retail_lead</t>
  </si>
  <si>
    <t xml:space="preserve">Retail readiness spend lead time before retail launch</t>
  </si>
  <si>
    <t xml:space="preserve">Readiness checklist must be done before pitching (AMAZON-AND-RETAIL-ROADMAP B5).</t>
  </si>
  <si>
    <t xml:space="preserve">4. Payout delay by channel (months after the sale month)</t>
  </si>
  <si>
    <t xml:space="preserve">lag_SITE</t>
  </si>
  <si>
    <t xml:space="preserve">Payout delay: Own site: printables, PDFs and POD tee (Shopify)</t>
  </si>
  <si>
    <t xml:space="preserve">Shopify Payments pays out within days (storefront guide A6).</t>
  </si>
  <si>
    <t xml:space="preserve">lag_ETSY</t>
  </si>
  <si>
    <t xml:space="preserve">Payout delay: Etsy: printables</t>
  </si>
  <si>
    <t xml:space="preserve">Etsy deposits on the schedule you choose (A6).</t>
  </si>
  <si>
    <t xml:space="preserve">lag_KDP</t>
  </si>
  <si>
    <t xml:space="preserve">Payout delay: Amazon KDP: paperbacks</t>
  </si>
  <si>
    <t xml:space="preserve">KDP pays about 60 days after month end (A6).</t>
  </si>
  <si>
    <t xml:space="preserve">lag_INGRAM</t>
  </si>
  <si>
    <t xml:space="preserve">Payout delay: IngramSpark: hardcovers, bookstores, libraries</t>
  </si>
  <si>
    <t xml:space="preserve">IngramSpark pays about 90 days after month end (A6, UNVERIFIED).</t>
  </si>
  <si>
    <t xml:space="preserve">lag_MOR</t>
  </si>
  <si>
    <t xml:space="preserve">Payout delay: International digital via merchant of record (Gumroad)</t>
  </si>
  <si>
    <t xml:space="preserve">Gumroad pays weekly (A6, UNVERIFIED).</t>
  </si>
  <si>
    <t xml:space="preserve">lag_COURSE</t>
  </si>
  <si>
    <t xml:space="preserve">Payout delay: 30-Day Screen Reset written course (Wave 2)</t>
  </si>
  <si>
    <t xml:space="preserve">Sold on Shopify; same payout timing.</t>
  </si>
  <si>
    <t xml:space="preserve">lag_BOARD</t>
  </si>
  <si>
    <t xml:space="preserve">Payout delay: Board book: pre-sale, then 3PL and Amazon FBA (Wave 3)</t>
  </si>
  <si>
    <t xml:space="preserve">Shopify within days; Seller Central about every 14 days (A6).</t>
  </si>
  <si>
    <t xml:space="preserve">lag_SCHOOL</t>
  </si>
  <si>
    <t xml:space="preserve">Payout delay: School and group licenses + TPT (held for counsel)</t>
  </si>
  <si>
    <t xml:space="preserve">TPT pays monthly; school invoices are net-30 (commerce/PAYMENTS.md).</t>
  </si>
  <si>
    <t xml:space="preserve">lag_RETAIL</t>
  </si>
  <si>
    <t xml:space="preserve">Payout delay: Retail and wholesale: Faire, Walmart Marketplace, Target Plus</t>
  </si>
  <si>
    <t xml:space="preserve">Faire/Walmart settlement timing UNVERIFIED; one month assumed.</t>
  </si>
  <si>
    <t xml:space="preserve">5. Seasonality index by calendar month (1.00 = average month)</t>
  </si>
  <si>
    <t xml:space="preserve">Calendar month</t>
  </si>
  <si>
    <t xml:space="preserve">Consumer index</t>
  </si>
  <si>
    <t xml:space="preserve">School / group index</t>
  </si>
  <si>
    <t xml:space="preserve">season_1</t>
  </si>
  <si>
    <t xml:space="preserve">Jan</t>
  </si>
  <si>
    <t xml:space="preserve">index</t>
  </si>
  <si>
    <t xml:space="preserve">Shape follows the repo calendar: January Reset launch (Wave 2), spring Screen-Free Week, summer kits listed in March, holiday gifts Nov-Dec (BLIND-SPOTS #2, #6; DEMAND-CHECK rule 7). School index follows the school year. Levels are assumptions.</t>
  </si>
  <si>
    <t xml:space="preserve">season_2</t>
  </si>
  <si>
    <t xml:space="preserve">Feb</t>
  </si>
  <si>
    <t xml:space="preserve">season_3</t>
  </si>
  <si>
    <t xml:space="preserve">Mar</t>
  </si>
  <si>
    <t xml:space="preserve">season_4</t>
  </si>
  <si>
    <t xml:space="preserve">Apr</t>
  </si>
  <si>
    <t xml:space="preserve">season_5</t>
  </si>
  <si>
    <t xml:space="preserve">May</t>
  </si>
  <si>
    <t xml:space="preserve">season_6</t>
  </si>
  <si>
    <t xml:space="preserve">Jun</t>
  </si>
  <si>
    <t xml:space="preserve">season_7</t>
  </si>
  <si>
    <t xml:space="preserve">Jul</t>
  </si>
  <si>
    <t xml:space="preserve">season_8</t>
  </si>
  <si>
    <t xml:space="preserve">Aug</t>
  </si>
  <si>
    <t xml:space="preserve">season_9</t>
  </si>
  <si>
    <t xml:space="preserve">Sep</t>
  </si>
  <si>
    <t xml:space="preserve">season_10</t>
  </si>
  <si>
    <t xml:space="preserve">Oct</t>
  </si>
  <si>
    <t xml:space="preserve">season_11</t>
  </si>
  <si>
    <t xml:space="preserve">Nov</t>
  </si>
  <si>
    <t xml:space="preserve">season_12</t>
  </si>
  <si>
    <t xml:space="preserve">Dec</t>
  </si>
  <si>
    <t xml:space="preserve">6. Scenario drivers: traffic -&gt; conversion -&gt; orders -&gt; order value (yellow = key levers)</t>
  </si>
  <si>
    <t xml:space="preserve">Driver</t>
  </si>
  <si>
    <t xml:space="preserve">Own site: printables, PDFs and POD tee (Shopify)  |  traffic = Site sessions (all visitors)</t>
  </si>
  <si>
    <t xml:space="preserve">SITE_inc</t>
  </si>
  <si>
    <t xml:space="preserve">Include in scenario (1 = yes, 0 = no)</t>
  </si>
  <si>
    <t xml:space="preserve">flag</t>
  </si>
  <si>
    <t xml:space="preserve">SITE_launch</t>
  </si>
  <si>
    <t xml:space="preserve">Launch month (model month #)</t>
  </si>
  <si>
    <t xml:space="preserve">month #</t>
  </si>
  <si>
    <t xml:space="preserve">Launch-first five live before Black Friday, Nov 27, 2026 (ops/QUEUE.md).</t>
  </si>
  <si>
    <t xml:space="preserve">Repo timing</t>
  </si>
  <si>
    <t xml:space="preserve">SITE_base</t>
  </si>
  <si>
    <t xml:space="preserve">Traffic in launch month</t>
  </si>
  <si>
    <t xml:space="preserve">visits</t>
  </si>
  <si>
    <t xml:space="preserve">No sales history yet. Replace with the first 90 days of real data.</t>
  </si>
  <si>
    <t xml:space="preserve">SITE_g1</t>
  </si>
  <si>
    <t xml:space="preserve">Monthly traffic growth, year 1</t>
  </si>
  <si>
    <t xml:space="preserve">% per month</t>
  </si>
  <si>
    <t xml:space="preserve">SITE_g2</t>
  </si>
  <si>
    <t xml:space="preserve">Monthly traffic growth, year 2</t>
  </si>
  <si>
    <t xml:space="preserve">SITE_g3</t>
  </si>
  <si>
    <t xml:space="preserve">Monthly traffic growth, year 3</t>
  </si>
  <si>
    <t xml:space="preserve">SITE_cvr</t>
  </si>
  <si>
    <t xml:space="preserve">Conversion rate (visit -&gt; order) at full ramp</t>
  </si>
  <si>
    <t xml:space="preserve">% of visits</t>
  </si>
  <si>
    <t xml:space="preserve">MARKETING-PLAYBOOK traffic checklist: working target 1.5-3% site conversion.</t>
  </si>
  <si>
    <t xml:space="preserve">SITE_items</t>
  </si>
  <si>
    <t xml:space="preserve">Items per order</t>
  </si>
  <si>
    <t xml:space="preserve">items</t>
  </si>
  <si>
    <t xml:space="preserve">intl</t>
  </si>
  <si>
    <t xml:space="preserve">Share of site sessions from outside the US (served by the merchant of record once live)</t>
  </si>
  <si>
    <t xml:space="preserve">% of sessions</t>
  </si>
  <si>
    <t xml:space="preserve">International plan: English-speaking Region 2 first (ops/INTERNATIONAL.md).</t>
  </si>
  <si>
    <t xml:space="preserve">Etsy: printables  |  traffic = Etsy listing visits</t>
  </si>
  <si>
    <t xml:space="preserve">ETSY_inc</t>
  </si>
  <si>
    <t xml:space="preserve">ETSY_launch</t>
  </si>
  <si>
    <t xml:space="preserve">Launch-first five on Etsy + site (DEMAND-CHECK §3).</t>
  </si>
  <si>
    <t xml:space="preserve">ETSY_base</t>
  </si>
  <si>
    <t xml:space="preserve">ETSY_g1</t>
  </si>
  <si>
    <t xml:space="preserve">ETSY_g2</t>
  </si>
  <si>
    <t xml:space="preserve">ETSY_g3</t>
  </si>
  <si>
    <t xml:space="preserve">ETSY_cvr</t>
  </si>
  <si>
    <t xml:space="preserve">ETSY_items</t>
  </si>
  <si>
    <t xml:space="preserve">Amazon KDP: paperbacks  |  traffic = Amazon detail-page views</t>
  </si>
  <si>
    <t xml:space="preserve">KDP_inc</t>
  </si>
  <si>
    <t xml:space="preserve">KDP_launch</t>
  </si>
  <si>
    <t xml:space="preserve">100 Screen-Free Plays paperback, Wave 1 (BLIND-SPOTS #2).</t>
  </si>
  <si>
    <t xml:space="preserve">KDP_base</t>
  </si>
  <si>
    <t xml:space="preserve">KDP_g1</t>
  </si>
  <si>
    <t xml:space="preserve">KDP_g2</t>
  </si>
  <si>
    <t xml:space="preserve">KDP_g3</t>
  </si>
  <si>
    <t xml:space="preserve">KDP_cvr</t>
  </si>
  <si>
    <t xml:space="preserve">KDP_items</t>
  </si>
  <si>
    <t xml:space="preserve">IngramSpark: hardcovers, bookstores, libraries  |  traffic = Retailer and library listing views (est.)</t>
  </si>
  <si>
    <t xml:space="preserve">INGRAM_inc</t>
  </si>
  <si>
    <t xml:space="preserve">INGRAM_launch</t>
  </si>
  <si>
    <t xml:space="preserve">IngramSpark hardcovers after KDP (storefront guide Part B, step 5).</t>
  </si>
  <si>
    <t xml:space="preserve">INGRAM_base</t>
  </si>
  <si>
    <t xml:space="preserve">INGRAM_g1</t>
  </si>
  <si>
    <t xml:space="preserve">INGRAM_g2</t>
  </si>
  <si>
    <t xml:space="preserve">INGRAM_g3</t>
  </si>
  <si>
    <t xml:space="preserve">INGRAM_cvr</t>
  </si>
  <si>
    <t xml:space="preserve">INGRAM_items</t>
  </si>
  <si>
    <t xml:space="preserve">International digital via merchant of record (Gumroad)  |  traffic = International site sessions</t>
  </si>
  <si>
    <t xml:space="preserve">MOR_inc</t>
  </si>
  <si>
    <t xml:space="preserve">MOR_launch</t>
  </si>
  <si>
    <t xml:space="preserve">Region 2 English-speaking markets after US launch (ops/INTERNATIONAL.md).</t>
  </si>
  <si>
    <t xml:space="preserve">MOR_cvr</t>
  </si>
  <si>
    <t xml:space="preserve">MOR_items</t>
  </si>
  <si>
    <t xml:space="preserve">30-Day Screen Reset written course (Wave 2)  |  traffic = Subscribers reached by the offer</t>
  </si>
  <si>
    <t xml:space="preserve">COURSE_inc</t>
  </si>
  <si>
    <t xml:space="preserve">COURSE_launch</t>
  </si>
  <si>
    <t xml:space="preserve">Public New Year launch, January 2027 = month 4 (BLIND-SPOTS #2 Wave 2).</t>
  </si>
  <si>
    <t xml:space="preserve">COURSE_cvr</t>
  </si>
  <si>
    <t xml:space="preserve">Conversion rate (subscriber reached -&gt; purchase)</t>
  </si>
  <si>
    <t xml:space="preserve">COURSE_items</t>
  </si>
  <si>
    <t xml:space="preserve">reach</t>
  </si>
  <si>
    <t xml:space="preserve">Share of the email list that sees and considers the offer each month</t>
  </si>
  <si>
    <t xml:space="preserve">Course sold by automated email (DEMAND-CHECK course row).</t>
  </si>
  <si>
    <t xml:space="preserve">Board book: pre-sale, then 3PL and Amazon FBA (Wave 3)  |  traffic = Product-page sessions (site + Amazon)</t>
  </si>
  <si>
    <t xml:space="preserve">BOARD_inc</t>
  </si>
  <si>
    <t xml:space="preserve">BOARD_launch</t>
  </si>
  <si>
    <t xml:space="preserve">Pre-sale Feb-Apr 2027 = month 5 (BLIND-SPOTS #16; Wave 3).</t>
  </si>
  <si>
    <t xml:space="preserve">BOARD_base</t>
  </si>
  <si>
    <t xml:space="preserve">BOARD_g1</t>
  </si>
  <si>
    <t xml:space="preserve">BOARD_g2</t>
  </si>
  <si>
    <t xml:space="preserve">BOARD_g3</t>
  </si>
  <si>
    <t xml:space="preserve">BOARD_cvr</t>
  </si>
  <si>
    <t xml:space="preserve">BOARD_items</t>
  </si>
  <si>
    <t xml:space="preserve">School and group licenses + TPT (held for counsel)  |  traffic = Schools/orgs page + TPT views</t>
  </si>
  <si>
    <t xml:space="preserve">SCHOOL_inc</t>
  </si>
  <si>
    <t xml:space="preserve">Conditional wave. Set to 0 to see the business without it.</t>
  </si>
  <si>
    <t xml:space="preserve">SCHOOL_launch</t>
  </si>
  <si>
    <t xml:space="preserve">Held until employment counsel clears school-facing work. Conservative assumes it never opens inside 36 months.</t>
  </si>
  <si>
    <t xml:space="preserve">Assumption (conditional)</t>
  </si>
  <si>
    <t xml:space="preserve">SCHOOL_base</t>
  </si>
  <si>
    <t xml:space="preserve">SCHOOL_g1</t>
  </si>
  <si>
    <t xml:space="preserve">SCHOOL_g2</t>
  </si>
  <si>
    <t xml:space="preserve">SCHOOL_g3</t>
  </si>
  <si>
    <t xml:space="preserve">SCHOOL_cvr</t>
  </si>
  <si>
    <t xml:space="preserve">SCHOOL_items</t>
  </si>
  <si>
    <t xml:space="preserve">Retail and wholesale: Faire, Walmart Marketplace, Target Plus  |  traffic = Retailer and marketplace views</t>
  </si>
  <si>
    <t xml:space="preserve">RETAIL_inc</t>
  </si>
  <si>
    <t xml:space="preserve">RETAIL_launch</t>
  </si>
  <si>
    <t xml:space="preserve">After a 12-month sales record (AMAZON-AND-RETAIL-ROADMAP B1, B5). Conservative assumes no retail inside 36 months.</t>
  </si>
  <si>
    <t xml:space="preserve">RETAIL_base</t>
  </si>
  <si>
    <t xml:space="preserve">RETAIL_g1</t>
  </si>
  <si>
    <t xml:space="preserve">RETAIL_g2</t>
  </si>
  <si>
    <t xml:space="preserve">RETAIL_g3</t>
  </si>
  <si>
    <t xml:space="preserve">RETAIL_cvr</t>
  </si>
  <si>
    <t xml:space="preserve">RETAIL_items</t>
  </si>
  <si>
    <t xml:space="preserve">Units per order (wholesale cartons mixed with single marketplace orders)</t>
  </si>
  <si>
    <t xml:space="preserve">Email list (owned audience; drives the course)</t>
  </si>
  <si>
    <t xml:space="preserve">signup</t>
  </si>
  <si>
    <t xml:space="preserve">Site visitors who join the list (free '3 plays for your child's age')</t>
  </si>
  <si>
    <t xml:space="preserve">BLIND-SPOTS #5 lead magnet.</t>
  </si>
  <si>
    <t xml:space="preserve">optin</t>
  </si>
  <si>
    <t xml:space="preserve">Buyers who join through the bonus QR / short link</t>
  </si>
  <si>
    <t xml:space="preserve">% of orders</t>
  </si>
  <si>
    <t xml:space="preserve">BLIND-SPOTS #5: QR code and short link in every product file.</t>
  </si>
  <si>
    <t xml:space="preserve">churn</t>
  </si>
  <si>
    <t xml:space="preserve">Monthly unsubscribe rate</t>
  </si>
  <si>
    <t xml:space="preserve">Paid advertising (one test at a time; cut ad sets that miss target CAC)</t>
  </si>
  <si>
    <t xml:space="preserve">ads_start</t>
  </si>
  <si>
    <t xml:space="preserve">Ads start month</t>
  </si>
  <si>
    <t xml:space="preserve">MARKETING-PLAYBOOK week 4 (Oct 19-25): Amazon Ads $5-10/day on live titles.</t>
  </si>
  <si>
    <t xml:space="preserve">ads1</t>
  </si>
  <si>
    <t xml:space="preserve">Ad spend per month, year 1</t>
  </si>
  <si>
    <t xml:space="preserve">Amazon Ads $5-10/day; Pinterest $10-20/day test after about 60 days (MARKETING-PLAYBOOK).</t>
  </si>
  <si>
    <t xml:space="preserve">ads2</t>
  </si>
  <si>
    <t xml:space="preserve">Ad spend per month, year 2</t>
  </si>
  <si>
    <t xml:space="preserve">Adds Google Search at $10/day once site conversion is at least 1.5% (MARKETING-PLAYBOOK #12).</t>
  </si>
  <si>
    <t xml:space="preserve">ads3</t>
  </si>
  <si>
    <t xml:space="preserve">Ad spend per month, year 3</t>
  </si>
  <si>
    <t xml:space="preserve">Raise only while CAC is under target (MARKETING-PLAYBOOK checklist).</t>
  </si>
  <si>
    <t xml:space="preserve">Unit economics: net to AlphaPlay LLC per unit, by product and channel</t>
  </si>
  <si>
    <t xml:space="preserve">Net per unit = Price x (1 - platform % - payment % - refund %) - fixed fees - print/POD/landed cost - fulfilment. Sales tax and VAT are pass-through and never counted as revenue. Blue prices are editable; other channels link to them.</t>
  </si>
  <si>
    <t xml:space="preserve">Channel code</t>
  </si>
  <si>
    <t xml:space="preserve">Product</t>
  </si>
  <si>
    <t xml:space="preserve">Channel / route</t>
  </si>
  <si>
    <t xml:space="preserve">Wave</t>
  </si>
  <si>
    <t xml:space="preserve">Price to customer ($)</t>
  </si>
  <si>
    <t xml:space="preserve">Platform / marketplace fee %</t>
  </si>
  <si>
    <t xml:space="preserve">Platform fixed fee ($/unit)</t>
  </si>
  <si>
    <t xml:space="preserve">Payment processing %</t>
  </si>
  <si>
    <t xml:space="preserve">Payment fixed fee ($)</t>
  </si>
  <si>
    <t xml:space="preserve">Refund / deduction allowance %</t>
  </si>
  <si>
    <t xml:space="preserve">Print, POD or landed cost ($/unit)</t>
  </si>
  <si>
    <t xml:space="preserve">Fulfilment ($/unit)</t>
  </si>
  <si>
    <t xml:space="preserve">Net per unit ($)</t>
  </si>
  <si>
    <t xml:space="preserve">Net margin %</t>
  </si>
  <si>
    <t xml:space="preserve">Inventory cost paid up front ($/unit)</t>
  </si>
  <si>
    <t xml:space="preserve">Mix weight in channel</t>
  </si>
  <si>
    <t xml:space="preserve">Sales tax / VAT handling</t>
  </si>
  <si>
    <t xml:space="preserve">Source / notes</t>
  </si>
  <si>
    <t xml:space="preserve">SITE</t>
  </si>
  <si>
    <t xml:space="preserve">Visual routine cards (200+ editable, 0-5 and 5-12)</t>
  </si>
  <si>
    <t xml:space="preserve">Own site (Shopify)</t>
  </si>
  <si>
    <t xml:space="preserve">1</t>
  </si>
  <si>
    <t xml:space="preserve">Shopify Tax adds MD 6% at checkout; AlphaPlay remits (pass-through, not revenue)</t>
  </si>
  <si>
    <t xml:space="preserve">DEMAND-CHECK §3 #1: $9.50 list / about $6.50 sale. Everyday price set at $6.50 under BRAND.md 'Honest pricing' (no permanent anchor discounts).</t>
  </si>
  <si>
    <t xml:space="preserve">"I'm bored" play cards (150, age-banded)</t>
  </si>
  <si>
    <t xml:space="preserve">DEMAND-CHECK §3 #2.</t>
  </si>
  <si>
    <t xml:space="preserve">Play-First Family Kit</t>
  </si>
  <si>
    <t xml:space="preserve">DEMAND-CHECK §3 #3.</t>
  </si>
  <si>
    <t xml:space="preserve">Toddler busy book printable (120-150 pages)</t>
  </si>
  <si>
    <t xml:space="preserve">DEMAND-CHECK §3 #4: $15.99 list, sold at about $11-12; everyday price $11.99 under Honest pricing.</t>
  </si>
  <si>
    <t xml:space="preserve">100 Screen-Free Plays (PDF)</t>
  </si>
  <si>
    <t xml:space="preserve">DEMAND-CHECK §3 #5.</t>
  </si>
  <si>
    <t xml:space="preserve">Screen-Free Car Ride &amp; Waiting Pack</t>
  </si>
  <si>
    <t xml:space="preserve">DEMAND-CHECK §3 first alternate.</t>
  </si>
  <si>
    <t xml:space="preserve">First-words flash cards (printable)</t>
  </si>
  <si>
    <t xml:space="preserve">DEMAND-CHECK §2 #3.</t>
  </si>
  <si>
    <t xml:space="preserve">ALPHAPLAY Spelling Games printable</t>
  </si>
  <si>
    <t xml:space="preserve">ops/QUEUE.md #1 (trademark use). No price in repo; $6 is an assumption (never list a single under $5, rule 3).</t>
  </si>
  <si>
    <t xml:space="preserve">Adult tee (POD, 2-3 cleared designs max)</t>
  </si>
  <si>
    <t xml:space="preserve">Own site (Shopify) + POD partner</t>
  </si>
  <si>
    <t xml:space="preserve">DEMAND-CHECK tees row: $27; no merch line beyond 2-3 designs.</t>
  </si>
  <si>
    <t xml:space="preserve">ETSY</t>
  </si>
  <si>
    <t xml:space="preserve">Etsy</t>
  </si>
  <si>
    <t xml:space="preserve">Etsy is marketplace facilitator: collects and remits</t>
  </si>
  <si>
    <t xml:space="preserve">Price linked to the own-site row.</t>
  </si>
  <si>
    <t xml:space="preserve">MOR</t>
  </si>
  <si>
    <t xml:space="preserve">Gumroad (merchant of record), buyers outside the US</t>
  </si>
  <si>
    <t xml:space="preserve">1-2</t>
  </si>
  <si>
    <t xml:space="preserve">Merchant of record collects and remits US sales tax and EU/UK VAT</t>
  </si>
  <si>
    <t xml:space="preserve">International plan: one MoR for international digital sales.</t>
  </si>
  <si>
    <t xml:space="preserve">KDP</t>
  </si>
  <si>
    <t xml:space="preserve">100 Screen-Free Plays (paperback, B/W interior)</t>
  </si>
  <si>
    <t xml:space="preserve">Amazon KDP</t>
  </si>
  <si>
    <t xml:space="preserve">Amazon is the retailer; royalty only, no sales tax for AlphaPlay</t>
  </si>
  <si>
    <t xml:space="preserve">DEMAND-CHECK §3 #5: $16.99 paperback. Print cost uses the B/W rate [VERIFY].</t>
  </si>
  <si>
    <t xml:space="preserve">The Day the Tablet Slept (paperback)</t>
  </si>
  <si>
    <t xml:space="preserve">picture-tablet-slept/listing.json: $11.99; about $3.95/copy royalty.</t>
  </si>
  <si>
    <t xml:space="preserve">Up! Go! More! (talk-along paperback)</t>
  </si>
  <si>
    <t xml:space="preserve">board-up-go-more/listing.json: $11.99 paperback edition sells now with no inventory.</t>
  </si>
  <si>
    <t xml:space="preserve">INGRAM</t>
  </si>
  <si>
    <t xml:space="preserve">Laps Not Apps (32-page hardcover)</t>
  </si>
  <si>
    <t xml:space="preserve">IngramSpark</t>
  </si>
  <si>
    <t xml:space="preserve">Retailer collects; AlphaPlay receives publisher compensation</t>
  </si>
  <si>
    <t xml:space="preserve">picture-laps-not-apps/listing.json: $19.99; aim print cost at or below 35-40% of list.</t>
  </si>
  <si>
    <t xml:space="preserve">The Day the Tablet Slept (hardcover)</t>
  </si>
  <si>
    <t xml:space="preserve">picture-tablet-slept/listing.json: hardcover $19.99.</t>
  </si>
  <si>
    <t xml:space="preserve">100 Screen-Free Plays (paperback via Ingram)</t>
  </si>
  <si>
    <t xml:space="preserve">IngramSpark (same ISBN; KDP Expanded Distribution off)</t>
  </si>
  <si>
    <t xml:space="preserve">storefront-setup-guide Part D. Print cost proxy = KDP B/W formula [VERIFY].</t>
  </si>
  <si>
    <t xml:space="preserve">Up! Go! More! (paperback via Ingram)</t>
  </si>
  <si>
    <t xml:space="preserve">board-up-go-more/listing.json channels.</t>
  </si>
  <si>
    <t xml:space="preserve">COURSE</t>
  </si>
  <si>
    <t xml:space="preserve">30-Day Screen Reset (written program)</t>
  </si>
  <si>
    <t xml:space="preserve">Own site (Shopify) + automated email</t>
  </si>
  <si>
    <t xml:space="preserve">2</t>
  </si>
  <si>
    <t xml:space="preserve">DEMAND-CHECK course row: $27.</t>
  </si>
  <si>
    <t xml:space="preserve">30-Day Screen Reset bundle</t>
  </si>
  <si>
    <t xml:space="preserve">DEMAND-CHECK course row: $49 bundle.</t>
  </si>
  <si>
    <t xml:space="preserve">BOARD</t>
  </si>
  <si>
    <t xml:space="preserve">Up! Go! More! board book</t>
  </si>
  <si>
    <t xml:space="preserve">Own site; offset stock at a 3PL</t>
  </si>
  <si>
    <t xml:space="preserve">3</t>
  </si>
  <si>
    <t xml:space="preserve">Offset run held and shipped by a 3PL, never the founder (BRAND.md). Postage charged to the buyer.</t>
  </si>
  <si>
    <t xml:space="preserve">Amazon FBA</t>
  </si>
  <si>
    <t xml:space="preserve">Amazon collects and remits</t>
  </si>
  <si>
    <t xml:space="preserve">AMAZON-AND-RETAIL-ROADMAP A: board books via FBA; CPSIA paperwork first.</t>
  </si>
  <si>
    <t xml:space="preserve">SCHOOL</t>
  </si>
  <si>
    <t xml:space="preserve">TPT single resource (e.g., talk brain breaks)</t>
  </si>
  <si>
    <t xml:space="preserve">Teachers Pay Teachers</t>
  </si>
  <si>
    <t xml:space="preserve">4 (held)</t>
  </si>
  <si>
    <t xml:space="preserve">TPT remits as marketplace (UNVERIFIED)</t>
  </si>
  <si>
    <t xml:space="preserve">DEMAND-CHECK teacher table: $5 singles; held for counsel.</t>
  </si>
  <si>
    <t xml:space="preserve">Classroom Talk and Play growth bundle</t>
  </si>
  <si>
    <t xml:space="preserve">DEMAND-CHECK §2 #11: $22-26.</t>
  </si>
  <si>
    <t xml:space="preserve">Single-classroom license</t>
  </si>
  <si>
    <t xml:space="preserve">Direct invoice / Shopify draft order</t>
  </si>
  <si>
    <t xml:space="preserve">Tax-exempt certificate kept on file; otherwise MD 6%</t>
  </si>
  <si>
    <t xml:space="preserve">MARKETING-PLAYBOOK School Purchasing Kit: Single Classroom $29.</t>
  </si>
  <si>
    <t xml:space="preserve">Host-it-yourself parent-night kit, single site</t>
  </si>
  <si>
    <t xml:space="preserve">Direct invoice / Shopify</t>
  </si>
  <si>
    <t xml:space="preserve">DEMAND-CHECK: $129 single site.</t>
  </si>
  <si>
    <t xml:space="preserve">Host kit, multi-site</t>
  </si>
  <si>
    <t xml:space="preserve">DEMAND-CHECK: $249 multi-site.</t>
  </si>
  <si>
    <t xml:space="preserve">RETAIL</t>
  </si>
  <si>
    <t xml:space="preserve">Up! Go! More! board book (wholesale)</t>
  </si>
  <si>
    <t xml:space="preserve">Faire wholesale to boutiques</t>
  </si>
  <si>
    <t xml:space="preserve">5 (retail)</t>
  </si>
  <si>
    <t xml:space="preserve">Wholesale: exempt with the retailer's resale certificate</t>
  </si>
  <si>
    <t xml:space="preserve">Wholesale pays about half of retail (AMAZON-AND-RETAIL-ROADMAP B4).</t>
  </si>
  <si>
    <t xml:space="preserve">Walmart Marketplace (3PL-fulfilled)</t>
  </si>
  <si>
    <t xml:space="preserve">Marketplace facilitator [VERIFY for Target Plus]</t>
  </si>
  <si>
    <t xml:space="preserve">Walmart Marketplace by application (ROADMAP B3).</t>
  </si>
  <si>
    <t xml:space="preserve">Target Plus (invitation-only) [VERIFY]</t>
  </si>
  <si>
    <t xml:space="preserve">Target Plus is invitation-only (ROADMAP B3) [VERIFY terms].</t>
  </si>
  <si>
    <t xml:space="preserve">Channel blend used by the forecast (weighted by mix weight)</t>
  </si>
  <si>
    <t xml:space="preserve">Channel</t>
  </si>
  <si>
    <t xml:space="preserve">Blended price ($/item)</t>
  </si>
  <si>
    <t xml:space="preserve">Blended net per item ($)</t>
  </si>
  <si>
    <t xml:space="preserve">Inventory cost paid up front ($/item)</t>
  </si>
  <si>
    <t xml:space="preserve">Payout delay (months)</t>
  </si>
  <si>
    <t xml:space="preserve">Own site: printables, PDFs and POD tee (Shopify)</t>
  </si>
  <si>
    <t xml:space="preserve">Etsy: printables</t>
  </si>
  <si>
    <t xml:space="preserve">Amazon KDP: paperbacks</t>
  </si>
  <si>
    <t xml:space="preserve">IngramSpark: hardcovers, bookstores, libraries</t>
  </si>
  <si>
    <t xml:space="preserve">International digital via merchant of record (Gumroad)</t>
  </si>
  <si>
    <t xml:space="preserve">30-Day Screen Reset written course (Wave 2)</t>
  </si>
  <si>
    <t xml:space="preserve">Board book: pre-sale, then 3PL and Amazon FBA (Wave 3)</t>
  </si>
  <si>
    <t xml:space="preserve">School and group licenses + TPT (held for counsel)</t>
  </si>
  <si>
    <t xml:space="preserve">Retail and wholesale: Faire, Walmart Marketplace, Target Plus</t>
  </si>
  <si>
    <t xml:space="preserve">Notes</t>
  </si>
  <si>
    <t xml:space="preserve">KDP and IngramSpark: 'price' is the list price the reader pays; AlphaPlay receives the royalty or publisher compensation shown in Net per unit.</t>
  </si>
  <si>
    <t xml:space="preserve">Board book and retail rows: the landed print cost is deducted in Net per unit (true margin). Cash Flow adds it back and instead pays for whole print runs up front.</t>
  </si>
  <si>
    <t xml:space="preserve">Fixed per-order fees are applied per item, which slightly understates net on multi-item orders (a conservative simplification).</t>
  </si>
  <si>
    <t xml:space="preserve">IngramSpark hardcover margins are thin at a 55% discount; test a 40% discount or a higher list price (listing.json asks each sale to clear $2-$3).</t>
  </si>
  <si>
    <t xml:space="preserve">Postage on physical orders is assumed charged to the buyer at cost (pass-through).</t>
  </si>
  <si>
    <t xml:space="preserve">Startup costs: one-time items</t>
  </si>
  <si>
    <t xml:space="preserve">Model ($) = Low + cost position x (High - Low), using the cost position on Assumptions. Set Include to 0 to drop an item. Recurring items (insurance, domains, subscriptions) live on Monthly Operating Costs.</t>
  </si>
  <si>
    <t xml:space="preserve">Item</t>
  </si>
  <si>
    <t xml:space="preserve">Category</t>
  </si>
  <si>
    <t xml:space="preserve">Low ($)</t>
  </si>
  <si>
    <t xml:space="preserve">High ($)</t>
  </si>
  <si>
    <t xml:space="preserve">Model ($)</t>
  </si>
  <si>
    <t xml:space="preserve">Month incurred (model month #)</t>
  </si>
  <si>
    <t xml:space="preserve">Include (1/0)</t>
  </si>
  <si>
    <t xml:space="preserve">Source</t>
  </si>
  <si>
    <t xml:space="preserve">Trade-name filing, 'Play Before Pixels' (SDAT)</t>
  </si>
  <si>
    <t xml:space="preserve">Legal/entity</t>
  </si>
  <si>
    <t xml:space="preserve">legal/protection/PROTECTION-PLAN.md: $25 ($50 expedited).</t>
  </si>
  <si>
    <t xml:space="preserve">Principal office / resident agent change (SDAT)</t>
  </si>
  <si>
    <t xml:space="preserve">PROTECTION-PLAN: $25 ($50 expedited).</t>
  </si>
  <si>
    <t xml:space="preserve">DMCA designated agent registration</t>
  </si>
  <si>
    <t xml:space="preserve">Legal/IP</t>
  </si>
  <si>
    <t xml:space="preserve">PROTECTION-PLAN: $6, renews every 3 years.</t>
  </si>
  <si>
    <t xml:space="preserve">Etsy shop opening fee (may apply)</t>
  </si>
  <si>
    <t xml:space="preserve">Channels</t>
  </si>
  <si>
    <t xml:space="preserve">storefront-setup-guide §10.</t>
  </si>
  <si>
    <t xml:space="preserve">Bowker ISBNs, 10-pack</t>
  </si>
  <si>
    <t xml:space="preserve">Publishing</t>
  </si>
  <si>
    <t xml:space="preserve">PROTECTION-PLAN; DECISION-MEMO (UNVERIFIED).</t>
  </si>
  <si>
    <t xml:space="preserve">Trademark clearance search + attorney opinion, PLAY BEFORE PIXELS</t>
  </si>
  <si>
    <t xml:space="preserve">legal/DECISION-MEMO.json step 2.</t>
  </si>
  <si>
    <t xml:space="preserve">USPTO application, PLAY BEFORE PIXELS, classes 16 + 41</t>
  </si>
  <si>
    <t xml:space="preserve">PROTECTION-PLAN #7: $350/class, within 90 days.</t>
  </si>
  <si>
    <t xml:space="preserve">ALPHAPLAY Statement of Use ($150/class) or extension (up to $625)</t>
  </si>
  <si>
    <t xml:space="preserve">PROTECTION-PLAN #6: due Mar 8, 2027; target Feb 1, 2027.</t>
  </si>
  <si>
    <t xml:space="preserve">Trademark attorney, ALPHAPLAY filing</t>
  </si>
  <si>
    <t xml:space="preserve">marketing/BLIND-SPOTS.md #9.</t>
  </si>
  <si>
    <t xml:space="preserve">Copyright registrations for pending works (before Nov 11, 2026)</t>
  </si>
  <si>
    <t xml:space="preserve">PROTECTION-PLAN: about 8 filings at $45-$85.</t>
  </si>
  <si>
    <t xml:space="preserve">Attorney: IP assignment to the LLC + operating-agreement refresh</t>
  </si>
  <si>
    <t xml:space="preserve">PROTECTION-PLAN #5 (after employment counsel answers).</t>
  </si>
  <si>
    <t xml:space="preserve">Attorney: Terms of Sale and website legal pages</t>
  </si>
  <si>
    <t xml:space="preserve">Legal</t>
  </si>
  <si>
    <t xml:space="preserve">PROTECTION-PLAN contracts table; DECISION-MEMO $500-$2,000.</t>
  </si>
  <si>
    <t xml:space="preserve">Attorney: freelancer work-for-hire template</t>
  </si>
  <si>
    <t xml:space="preserve">PROTECTION-PLAN contracts table.</t>
  </si>
  <si>
    <t xml:space="preserve">Attorney: digital product license review</t>
  </si>
  <si>
    <t xml:space="preserve">Attorney: successor in operating agreement + durable POA</t>
  </si>
  <si>
    <t xml:space="preserve">BLIND-SPOTS #20.</t>
  </si>
  <si>
    <t xml:space="preserve">Accountant setup review (W-9 answer, sales tax, chart of accounts)</t>
  </si>
  <si>
    <t xml:space="preserve">Finance</t>
  </si>
  <si>
    <t xml:space="preserve">No fee in the repo (finance/money-and-tax-setup.md lists the questions).</t>
  </si>
  <si>
    <t xml:space="preserve">Print proofs, about 6 print products at $5-$15</t>
  </si>
  <si>
    <t xml:space="preserve">BLIND-SPOTS #11.</t>
  </si>
  <si>
    <t xml:space="preserve">Expert accuracy review (CCC-SLP, flat fee)</t>
  </si>
  <si>
    <t xml:space="preserve">BLIND-SPOTS #10.</t>
  </si>
  <si>
    <t xml:space="preserve">Sensitivity read</t>
  </si>
  <si>
    <t xml:space="preserve">Early review copies for review teams</t>
  </si>
  <si>
    <t xml:space="preserve">Marketing</t>
  </si>
  <si>
    <t xml:space="preserve">BLIND-SPOTS #14.</t>
  </si>
  <si>
    <t xml:space="preserve">Holiday gift setup (gift cards, reveal card)</t>
  </si>
  <si>
    <t xml:space="preserve">BLIND-SPOTS #6.</t>
  </si>
  <si>
    <t xml:space="preserve">Human illustrator for the board book (Wave 3)</t>
  </si>
  <si>
    <t xml:space="preserve">Product (Wave 3)</t>
  </si>
  <si>
    <t xml:space="preserve">BLIND-SPOTS #17.</t>
  </si>
  <si>
    <t xml:space="preserve">Library cataloging block</t>
  </si>
  <si>
    <t xml:space="preserve">Library credibility</t>
  </si>
  <si>
    <t xml:space="preserve">BLIND-SPOTS #18 [VERIFY].</t>
  </si>
  <si>
    <t xml:space="preserve">One paid review (Kirkus Indie or Foreword Clarion)</t>
  </si>
  <si>
    <t xml:space="preserve">Juried award entries (2-3 at $75-$100)</t>
  </si>
  <si>
    <t xml:space="preserve">Spanish 'starter' localization (AI + professional post-edit)</t>
  </si>
  <si>
    <t xml:space="preserve">International</t>
  </si>
  <si>
    <t xml:space="preserve">legal/international-plan.md: Spanish mixed, months 4-9.</t>
  </si>
  <si>
    <t xml:space="preserve">Repo (estimate)</t>
  </si>
  <si>
    <t xml:space="preserve">Madrid international trademark (EU, UK, CA, AU; 2 classes) - optional</t>
  </si>
  <si>
    <t xml:space="preserve">DECISION-MEMO: only once the US application looks safe.</t>
  </si>
  <si>
    <t xml:space="preserve">Total (included items)</t>
  </si>
  <si>
    <t xml:space="preserve">Timing summary</t>
  </si>
  <si>
    <t xml:space="preserve">Months 1-3 (Oct-Dec 2026)</t>
  </si>
  <si>
    <t xml:space="preserve">Months 4-12</t>
  </si>
  <si>
    <t xml:space="preserve">Not included: employment-counsel fees (a personal matter for the founder); board-book CPSIA testing, 3PL setup and print runs (see Retail Readiness Costs and Cash Flow).</t>
  </si>
  <si>
    <t xml:space="preserve">Monthly operating costs: subscriptions, Claude plan, email platform, connectors, insurance and reserve</t>
  </si>
  <si>
    <t xml:space="preserve">Low/High are the amount per billing period (per month for Monthly items, per year for Annual items). Model = Low + cost position x (High - Low). Annual items hit in their start month and every 12 months after. Insurance is shown billed monthly (annual premium / 12).</t>
  </si>
  <si>
    <t xml:space="preserve">Year</t>
  </si>
  <si>
    <t xml:space="preserve">Month #</t>
  </si>
  <si>
    <t xml:space="preserve">Model ($ per period)</t>
  </si>
  <si>
    <t xml:space="preserve">Frequency</t>
  </si>
  <si>
    <t xml:space="preserve">Start month</t>
  </si>
  <si>
    <t xml:space="preserve">End month</t>
  </si>
  <si>
    <t xml:space="preserve">Year 1 total</t>
  </si>
  <si>
    <t xml:space="preserve">Year 2 total</t>
  </si>
  <si>
    <t xml:space="preserve">Year 3 total</t>
  </si>
  <si>
    <t xml:space="preserve">Shopify Basic plan</t>
  </si>
  <si>
    <t xml:space="preserve">Store</t>
  </si>
  <si>
    <t xml:space="preserve">Monthly</t>
  </si>
  <si>
    <t xml:space="preserve">storefront-setup-guide §1: $39/mo ($29 billed yearly).</t>
  </si>
  <si>
    <t xml:space="preserve">Business email on the brand domain</t>
  </si>
  <si>
    <t xml:space="preserve">Tools</t>
  </si>
  <si>
    <t xml:space="preserve">BLIND-SPOTS #4: about $7-$14 a month.</t>
  </si>
  <si>
    <t xml:space="preserve">Password manager</t>
  </si>
  <si>
    <t xml:space="preserve">Annual</t>
  </si>
  <si>
    <t xml:space="preserve">BLIND-SPOTS #4: $0-$40 a year.</t>
  </si>
  <si>
    <t xml:space="preserve">Email platform, year 1 (free tiers, then budget)</t>
  </si>
  <si>
    <t xml:space="preserve">Email</t>
  </si>
  <si>
    <t xml:space="preserve">MARKETING-PLAYBOOK: Klaviyo free 250 profiles; budget $20/mo.</t>
  </si>
  <si>
    <t xml:space="preserve">Email platform, years 2-3</t>
  </si>
  <si>
    <t xml:space="preserve">MARKETING-PLAYBOOK: about $20-39/mo later.</t>
  </si>
  <si>
    <t xml:space="preserve">Claude plan that runs the scheduled routines</t>
  </si>
  <si>
    <t xml:space="preserve">Automation</t>
  </si>
  <si>
    <t xml:space="preserve">No price in the repo; a higher-usage tier is assumed because routines run weekly (ops/ROUTINE.md).</t>
  </si>
  <si>
    <t xml:space="preserve">Claude usage-credit cap (hard limit)</t>
  </si>
  <si>
    <t xml:space="preserve">ops/GAPS-ROUND-2.md G2-06: fixed monthly limit such as $25.</t>
  </si>
  <si>
    <t xml:space="preserve">QuickBooks Online (Simple Start to Essentials)</t>
  </si>
  <si>
    <t xml:space="preserve">Bookkeeping</t>
  </si>
  <si>
    <t xml:space="preserve">finance/money-and-tax-setup.md: $38 Simple Start; Essentials $75-$85 (UNVERIFIED).</t>
  </si>
  <si>
    <t xml:space="preserve">Link My Books settlement connector (1-3 channels)</t>
  </si>
  <si>
    <t xml:space="preserve">Connectors</t>
  </si>
  <si>
    <t xml:space="preserve">money-and-tax-setup: from $21/mo, about $13 per extra channel.</t>
  </si>
  <si>
    <t xml:space="preserve">Buyer-specific PDF stamping</t>
  </si>
  <si>
    <t xml:space="preserve">PROTECTION-PLAN: about $0-$20/mo.</t>
  </si>
  <si>
    <t xml:space="preserve">Etsy listing renewals (about 30 listings every 4 months)</t>
  </si>
  <si>
    <t xml:space="preserve">$0.20 per listing (storefront guide §10); listing count is an assumption.</t>
  </si>
  <si>
    <t xml:space="preserve">Sales-tax filing service (optional; the accountant may file)</t>
  </si>
  <si>
    <t xml:space="preserve">Tax</t>
  </si>
  <si>
    <t xml:space="preserve">TAX-AUTOPILOT §1 names services; no price in the repo.</t>
  </si>
  <si>
    <t xml:space="preserve">Domains, MUST tier</t>
  </si>
  <si>
    <t xml:space="preserve">Domains</t>
  </si>
  <si>
    <t xml:space="preserve">legal/domain-portfolio.md: about $61 a year.</t>
  </si>
  <si>
    <t xml:space="preserve">Domains, SHOULD tier (before paid ads / first print run)</t>
  </si>
  <si>
    <t xml:space="preserve">legal/domain-portfolio.md: about $118 a year.</t>
  </si>
  <si>
    <t xml:space="preserve">USPS PO Box (public business address)</t>
  </si>
  <si>
    <t xml:space="preserve">Admin</t>
  </si>
  <si>
    <t xml:space="preserve">legal/ENTITY.md decision; fee not in the repo (TRUST-CHECKLIST says verify at usps.com).</t>
  </si>
  <si>
    <t xml:space="preserve">Commercial resident agent</t>
  </si>
  <si>
    <t xml:space="preserve">PROTECTION-PLAN: about $50-$300 a year.</t>
  </si>
  <si>
    <t xml:space="preserve">Maryland SDAT annual report</t>
  </si>
  <si>
    <t xml:space="preserve">PROTECTION-PLAN: $300, due Apr 15 (month 7 = Apr 2027).</t>
  </si>
  <si>
    <t xml:space="preserve">General liability with products-completed operations</t>
  </si>
  <si>
    <t xml:space="preserve">Insurance</t>
  </si>
  <si>
    <t xml:space="preserve">PROTECTION-PLAN: about $542/yr average; range $260-$3,000+ (low = average / 12).</t>
  </si>
  <si>
    <t xml:space="preserve">Professional liability / E&amp;O</t>
  </si>
  <si>
    <t xml:space="preserve">PROTECTION-PLAN: about $62/mo average; $400-$3,750/yr range.</t>
  </si>
  <si>
    <t xml:space="preserve">Media liability / publisher's E&amp;O</t>
  </si>
  <si>
    <t xml:space="preserve">PROTECTION-PLAN: $50-$150/mo (secondary, unverified).</t>
  </si>
  <si>
    <t xml:space="preserve">Cyber</t>
  </si>
  <si>
    <t xml:space="preserve">PROTECTION-PLAN: $35-$129/mo.</t>
  </si>
  <si>
    <t xml:space="preserve">Umbrella / excess over GL</t>
  </si>
  <si>
    <t xml:space="preserve">PROTECTION-PLAN: 'a few hundred dollars a year' (unverified).</t>
  </si>
  <si>
    <t xml:space="preserve">Trademark watch (optional; the monthly DIY search is $0)</t>
  </si>
  <si>
    <t xml:space="preserve">PROTECTION-PLAN: $395-$750 a year.</t>
  </si>
  <si>
    <t xml:space="preserve">Accountant: year-end return and review</t>
  </si>
  <si>
    <t xml:space="preserve">No fee in the repo.</t>
  </si>
  <si>
    <t xml:space="preserve">Copyright registrations for new releases (about 4 a year)</t>
  </si>
  <si>
    <t xml:space="preserve">PROTECTION-PLAN: $65-$85 per filing.</t>
  </si>
  <si>
    <t xml:space="preserve">Subtotal</t>
  </si>
  <si>
    <t xml:space="preserve">Operating contingency</t>
  </si>
  <si>
    <t xml:space="preserve">Total monthly operating costs</t>
  </si>
  <si>
    <t xml:space="preserve">Wave-specific fixed costs (3PL minimum, Seller Central, retail EDI and insurance uplift) are added in the forecast only when that wave is live.</t>
  </si>
  <si>
    <t xml:space="preserve">36-month forecast: three scenarios, driven by traffic -&gt; conversion -&gt; orders -&gt; order value, by channel and wave</t>
  </si>
  <si>
    <t xml:space="preserve">Traffic = trend (launch traffic compounded by monthly growth) x seasonality. Conversion ramps up over the review-ramp months. Net contribution = items x blended net per item from Unit Economics. Figures are planning estimates, not promises of income.</t>
  </si>
  <si>
    <t xml:space="preserve">Model month #</t>
  </si>
  <si>
    <t xml:space="preserve">Unit / note</t>
  </si>
  <si>
    <t xml:space="preserve">Oct-Sep</t>
  </si>
  <si>
    <t xml:space="preserve">Total</t>
  </si>
  <si>
    <t xml:space="preserve">Month</t>
  </si>
  <si>
    <t xml:space="preserve">36 months</t>
  </si>
  <si>
    <t xml:space="preserve">Model year</t>
  </si>
  <si>
    <t xml:space="preserve">Seasonality: consumer</t>
  </si>
  <si>
    <t xml:space="preserve">Seasonality: school / group</t>
  </si>
  <si>
    <t xml:space="preserve">CONSERVATIVE SCENARIO</t>
  </si>
  <si>
    <t xml:space="preserve">Board-book print month (pre-sale ends), model month #</t>
  </si>
  <si>
    <t xml:space="preserve">Pre-sale units ordered before the print month (copies)</t>
  </si>
  <si>
    <t xml:space="preserve">First offset run size = max(minimum run, pre-sale units x (1 + buffer)), rounded up to 100</t>
  </si>
  <si>
    <t xml:space="preserve">Pre-sale copies needed to fund a minimum run + launch costs (go / no-go line; BLIND-SPOTS #16)</t>
  </si>
  <si>
    <t xml:space="preserve">   Active (1 = live)</t>
  </si>
  <si>
    <t xml:space="preserve">   Traffic trend (before seasonality)</t>
  </si>
  <si>
    <t xml:space="preserve">   Site sessions (all visitors)</t>
  </si>
  <si>
    <t xml:space="preserve">   Conversion rate (with review ramp)</t>
  </si>
  <si>
    <t xml:space="preserve">   Orders (US sessions; international go to the MoR once it is live)</t>
  </si>
  <si>
    <t xml:space="preserve">orders</t>
  </si>
  <si>
    <t xml:space="preserve">   Items sold</t>
  </si>
  <si>
    <t xml:space="preserve">   Average order value</t>
  </si>
  <si>
    <t xml:space="preserve">   Gross sales (price paid by customers)</t>
  </si>
  <si>
    <t xml:space="preserve">   Net contribution to AlphaPlay</t>
  </si>
  <si>
    <t xml:space="preserve">   Etsy listing visits</t>
  </si>
  <si>
    <t xml:space="preserve">   Orders</t>
  </si>
  <si>
    <t xml:space="preserve">   Amazon detail-page views</t>
  </si>
  <si>
    <t xml:space="preserve">   Retailer and library listing views (est.)</t>
  </si>
  <si>
    <t xml:space="preserve">   International site sessions</t>
  </si>
  <si>
    <t xml:space="preserve">   Subscribers reached (list last month x reach)</t>
  </si>
  <si>
    <t xml:space="preserve">people</t>
  </si>
  <si>
    <t xml:space="preserve">   Subscribers reached by the offer</t>
  </si>
  <si>
    <t xml:space="preserve">   Product-page sessions (site + Amazon)</t>
  </si>
  <si>
    <t xml:space="preserve">   Schools/orgs page + TPT views</t>
  </si>
  <si>
    <t xml:space="preserve">   Retailer and marketplace views</t>
  </si>
  <si>
    <t xml:space="preserve">Email list (owned audience)</t>
  </si>
  <si>
    <t xml:space="preserve">   New subscribers (site visitors + buyers via bonus QR)</t>
  </si>
  <si>
    <t xml:space="preserve">   Unsubscribes</t>
  </si>
  <si>
    <t xml:space="preserve">   Subscribers at month end</t>
  </si>
  <si>
    <t xml:space="preserve">Totals and operating result</t>
  </si>
  <si>
    <t xml:space="preserve">Total orders</t>
  </si>
  <si>
    <t xml:space="preserve">Total items sold</t>
  </si>
  <si>
    <t xml:space="preserve">Cumulative orders</t>
  </si>
  <si>
    <t xml:space="preserve">Cumulative items sold</t>
  </si>
  <si>
    <t xml:space="preserve">Total gross sales (customer prices, excl. sales tax/VAT)</t>
  </si>
  <si>
    <t xml:space="preserve">Total net contribution (after platform, payment, print/POD and fulfilment costs)</t>
  </si>
  <si>
    <t xml:space="preserve">Net contribution as % of gross sales</t>
  </si>
  <si>
    <t xml:space="preserve">Paid advertising</t>
  </si>
  <si>
    <t xml:space="preserve">Operating costs (Monthly Operating Costs tab)</t>
  </si>
  <si>
    <t xml:space="preserve">Wave fixed costs (3PL minimum, Seller Central, retail EDI/insurance uplift)</t>
  </si>
  <si>
    <t xml:space="preserve">NET OPERATING RESULT (before one-time costs)</t>
  </si>
  <si>
    <t xml:space="preserve">One-time startup costs (Startup Costs tab)</t>
  </si>
  <si>
    <t xml:space="preserve">One-time wave launch and retail readiness costs</t>
  </si>
  <si>
    <t xml:space="preserve">Net result after one-time costs</t>
  </si>
  <si>
    <t xml:space="preserve">Cumulative net result</t>
  </si>
  <si>
    <t xml:space="preserve">Held inventory (Wave 3 board book and retail; stock sits at a 3PL or Amazon, never with the founder)</t>
  </si>
  <si>
    <t xml:space="preserve">   Physical items sold from held stock (board book + retail)</t>
  </si>
  <si>
    <t xml:space="preserve">   Cumulative physical items</t>
  </si>
  <si>
    <t xml:space="preserve">   Copies ordered from the printer (first run + reorders)</t>
  </si>
  <si>
    <t xml:space="preserve">   Inventory purchases (cash; not in operating result)</t>
  </si>
  <si>
    <t xml:space="preserve">   Cumulative copies ordered</t>
  </si>
  <si>
    <t xml:space="preserve">   Copies at the 3PL (negative = pre-sale copies still owed)</t>
  </si>
  <si>
    <t xml:space="preserve">Break-even helper rows</t>
  </si>
  <si>
    <t xml:space="preserve">   Month # if operating result &gt;= 0</t>
  </si>
  <si>
    <t xml:space="preserve">   Month # if operating result stays &gt;= 0 through month 36</t>
  </si>
  <si>
    <t xml:space="preserve">EXPECTED SCENARIO</t>
  </si>
  <si>
    <t xml:space="preserve">STRONG SCENARIO</t>
  </si>
  <si>
    <t xml:space="preserve">Cash flow: payout delays, inventory purchases, one-time costs and the tax reserve</t>
  </si>
  <si>
    <t xml:space="preserve">Marketplace payouts arrive after the sale month (KDP about 60 days, IngramSpark about 90 days; see Assumptions section 4). Costs are negative. Sales tax and VAT are pass-through and excluded. The tax reserve is money set aside, not tax actually due; the accountant sets the real figure.</t>
  </si>
  <si>
    <t xml:space="preserve">   Payout: Own site: printables, PDFs and POD tee (Shopify)</t>
  </si>
  <si>
    <t xml:space="preserve">   Payout: Etsy: printables</t>
  </si>
  <si>
    <t xml:space="preserve">   Payout: Amazon KDP: paperbacks</t>
  </si>
  <si>
    <t xml:space="preserve">   Payout: IngramSpark: hardcovers, bookstores, libraries</t>
  </si>
  <si>
    <t xml:space="preserve">   Payout: International digital via merchant of record (Gumroad)</t>
  </si>
  <si>
    <t xml:space="preserve">   Payout: 30-Day Screen Reset written course (Wave 2)</t>
  </si>
  <si>
    <t xml:space="preserve">   Payout: Board book: pre-sale, then 3PL and Amazon FBA (Wave 3)</t>
  </si>
  <si>
    <t xml:space="preserve">   Payout: School and group licenses + TPT (held for counsel)</t>
  </si>
  <si>
    <t xml:space="preserve">   Payout: Retail and wholesale: Faire, Walmart Marketplace, Target Plus</t>
  </si>
  <si>
    <t xml:space="preserve">Total payouts received</t>
  </si>
  <si>
    <t xml:space="preserve">Owner capital contribution</t>
  </si>
  <si>
    <t xml:space="preserve">Inventory purchases (offset print runs, landed)</t>
  </si>
  <si>
    <t xml:space="preserve">Operating costs</t>
  </si>
  <si>
    <t xml:space="preserve">Wave fixed costs</t>
  </si>
  <si>
    <t xml:space="preserve">One-time startup costs</t>
  </si>
  <si>
    <t xml:space="preserve">One-time wave launch / retail readiness</t>
  </si>
  <si>
    <t xml:space="preserve">NET CASH FLOW before tax reserve</t>
  </si>
  <si>
    <t xml:space="preserve">Transfer to tax reserve account</t>
  </si>
  <si>
    <t xml:space="preserve">OPERATING ACCOUNT BALANCE (month end)</t>
  </si>
  <si>
    <t xml:space="preserve">Tax reserve account balance</t>
  </si>
  <si>
    <t xml:space="preserve">Total cash (both accounts)</t>
  </si>
  <si>
    <t xml:space="preserve">Reserve target (months x fixed costs incl. ads)</t>
  </si>
  <si>
    <t xml:space="preserve">Operating balance above / (below) reserve target</t>
  </si>
  <si>
    <t xml:space="preserve">   Helper: month # if operating balance stays &gt;= 0 through month 36</t>
  </si>
  <si>
    <t xml:space="preserve">Break-even: when, and how many orders or units</t>
  </si>
  <si>
    <t xml:space="preserve">Operating break-even excludes one-time startup, wave-launch and inventory costs. Cash payback includes everything, including payout delays. 'Sustained' means the result stays at or above zero in every later month through month 36.</t>
  </si>
  <si>
    <t xml:space="preserve">Note</t>
  </si>
  <si>
    <t xml:space="preserve">When</t>
  </si>
  <si>
    <t xml:space="preserve">First month with operating result &gt;= 0 (month #)</t>
  </si>
  <si>
    <t xml:space="preserve">   ...calendar month</t>
  </si>
  <si>
    <t xml:space="preserve">Sustained operating break-even (month #)</t>
  </si>
  <si>
    <t xml:space="preserve">Headline break-even measure used on the Dashboard.</t>
  </si>
  <si>
    <t xml:space="preserve">Cash payback: operating balance &gt;= 0 from this month on (month #)</t>
  </si>
  <si>
    <t xml:space="preserve">Includes payout delays, startup costs, inventory and the tax-reserve transfers.</t>
  </si>
  <si>
    <t xml:space="preserve">Peak funding need (lowest operating balance, shown positive)</t>
  </si>
  <si>
    <t xml:space="preserve">Cash the founder must put in (or not spend) to avoid a negative balance.</t>
  </si>
  <si>
    <t xml:space="preserve">   ...month # of the lowest balance</t>
  </si>
  <si>
    <t xml:space="preserve">How many (volume at break-even)</t>
  </si>
  <si>
    <t xml:space="preserve">Cumulative orders by the sustained break-even month</t>
  </si>
  <si>
    <t xml:space="preserve">Cumulative items sold by the sustained break-even month</t>
  </si>
  <si>
    <t xml:space="preserve">Orders in the sustained break-even month</t>
  </si>
  <si>
    <t xml:space="preserve">Orders needed each month to cover fixed costs (operating costs + wave fixed costs + ads)</t>
  </si>
  <si>
    <t xml:space="preserve">Month 6: fixed costs</t>
  </si>
  <si>
    <t xml:space="preserve">Month 6: net contribution per order</t>
  </si>
  <si>
    <t xml:space="preserve">Month 6: orders needed to cover fixed costs</t>
  </si>
  <si>
    <t xml:space="preserve">Month 6: orders the scenario forecasts</t>
  </si>
  <si>
    <t xml:space="preserve">Month 12: fixed costs</t>
  </si>
  <si>
    <t xml:space="preserve">Month 12: net contribution per order</t>
  </si>
  <si>
    <t xml:space="preserve">Month 12: orders needed to cover fixed costs</t>
  </si>
  <si>
    <t xml:space="preserve">Month 12: orders the scenario forecasts</t>
  </si>
  <si>
    <t xml:space="preserve">Month 24: fixed costs</t>
  </si>
  <si>
    <t xml:space="preserve">Month 24: net contribution per order</t>
  </si>
  <si>
    <t xml:space="preserve">Month 24: orders needed to cover fixed costs</t>
  </si>
  <si>
    <t xml:space="preserve">Month 24: orders the scenario forecasts</t>
  </si>
  <si>
    <t xml:space="preserve">Month 36: fixed costs</t>
  </si>
  <si>
    <t xml:space="preserve">Month 36: net contribution per order</t>
  </si>
  <si>
    <t xml:space="preserve">Month 36: orders needed to cover fixed costs</t>
  </si>
  <si>
    <t xml:space="preserve">Month 36: orders the scenario forecasts</t>
  </si>
  <si>
    <t xml:space="preserve">Single-product view: units per month of ONE product that would cover the Expected month-12 fixed costs</t>
  </si>
  <si>
    <t xml:space="preserve">Product and channel</t>
  </si>
  <si>
    <t xml:space="preserve">Units per month needed</t>
  </si>
  <si>
    <t xml:space="preserve">Units per day</t>
  </si>
  <si>
    <t xml:space="preserve">Source row</t>
  </si>
  <si>
    <t xml:space="preserve">Unit Economics row 15</t>
  </si>
  <si>
    <t xml:space="preserve">Unit Economics row 16</t>
  </si>
  <si>
    <t xml:space="preserve">Unit Economics row 17</t>
  </si>
  <si>
    <t xml:space="preserve">Unit Economics row 18</t>
  </si>
  <si>
    <t xml:space="preserve">Unit Economics row 8</t>
  </si>
  <si>
    <t xml:space="preserve">Unit Economics row 28</t>
  </si>
  <si>
    <t xml:space="preserve">Unit Economics row 35</t>
  </si>
  <si>
    <t xml:space="preserve">Unit Economics row 37</t>
  </si>
  <si>
    <t xml:space="preserve">Retail wave self-funding check (Faire, Walmart Marketplace, Target Plus)</t>
  </si>
  <si>
    <t xml:space="preserve">Retail monthly fixed costs once live (Retail Readiness Costs, section C)</t>
  </si>
  <si>
    <t xml:space="preserve">Blended net per retail unit (Unit Economics channel blend)</t>
  </si>
  <si>
    <t xml:space="preserve">Retail units per month needed to cover retail fixed costs</t>
  </si>
  <si>
    <t xml:space="preserve">One-time readiness cost (section B)</t>
  </si>
  <si>
    <t xml:space="preserve">Extra retail units to repay the one-time readiness cost</t>
  </si>
  <si>
    <t xml:space="preserve">Wholesale at half of a $12.99 retail price leaves little after commission, landed cost and handling. A series, a 3-pack and a lower landed cost from a larger run change this.</t>
  </si>
  <si>
    <t xml:space="preserve">Retail readiness costs: Wave 3 board-book launch and big-box readiness (all [VERIFY])</t>
  </si>
  <si>
    <t xml:space="preserve">Almost nothing here has a live quote yet. Get 2-3 written quotes for each line before any commitment (BLIND-SPOTS #11). Section A hits in the board-book print month; Section B hits 'lead time' months before retail launch; Section C runs monthly while retail is live.</t>
  </si>
  <si>
    <t xml:space="preserve">Section</t>
  </si>
  <si>
    <t xml:space="preserve">Model ($ per unit of qty)</t>
  </si>
  <si>
    <t xml:space="preserve">Basis</t>
  </si>
  <si>
    <t xml:space="preserve">Qty</t>
  </si>
  <si>
    <t xml:space="preserve">Model total ($)</t>
  </si>
  <si>
    <t xml:space="preserve">Timing</t>
  </si>
  <si>
    <t xml:space="preserve">A. Wave 3 board-book launch (one-time, in the print month)</t>
  </si>
  <si>
    <t xml:space="preserve">CPSIA third-party lab testing, board book for ages 0-3</t>
  </si>
  <si>
    <t xml:space="preserve">A</t>
  </si>
  <si>
    <t xml:space="preserve">per SKU</t>
  </si>
  <si>
    <t xml:space="preserve">Print month</t>
  </si>
  <si>
    <t xml:space="preserve">PROTECTION-PLAN #9: 'a few hundred dollars per product'; books for 3 and under are not exempt.</t>
  </si>
  <si>
    <t xml:space="preserve">Children's Product Certificate (prepared in-house)</t>
  </si>
  <si>
    <t xml:space="preserve">PROTECTION-PLAN: CPC $0 to prepare.</t>
  </si>
  <si>
    <t xml:space="preserve">Tracking labels and printer file changes</t>
  </si>
  <si>
    <t xml:space="preserve">one-time</t>
  </si>
  <si>
    <t xml:space="preserve">Board-book printer hard proof and quote samples</t>
  </si>
  <si>
    <t xml:space="preserve">Not in the repo; BLIND-SPOTS #11 asks for 2-3 full quotes.</t>
  </si>
  <si>
    <t xml:space="preserve">3PL onboarding / setup</t>
  </si>
  <si>
    <t xml:space="preserve">Amazon FBA inbound prep and labels</t>
  </si>
  <si>
    <t xml:space="preserve">Attorney check of pre-sale terms (FTC mail-order rule)</t>
  </si>
  <si>
    <t xml:space="preserve">BLIND-SPOTS #16-#17: lawyer check $300-$700.</t>
  </si>
  <si>
    <t xml:space="preserve">Total, section A</t>
  </si>
  <si>
    <t xml:space="preserve">B. Big-box and wholesale readiness (one-time, before retail launch)</t>
  </si>
  <si>
    <t xml:space="preserve">GS1 US company prefix for non-book SKUs (card deck, boxed sets); books use ISBN barcodes</t>
  </si>
  <si>
    <t xml:space="preserve">B</t>
  </si>
  <si>
    <t xml:space="preserve">Retail launch - lead</t>
  </si>
  <si>
    <t xml:space="preserve">AMAZON-AND-RETAIL-ROADMAP B5 requires GS1 barcodes; fee not in the repo.</t>
  </si>
  <si>
    <t xml:space="preserve">CPSIA testing for more children's SKUs (card deck, 3-pack box)</t>
  </si>
  <si>
    <t xml:space="preserve">PROTECTION-PLAN; ROADMAP B5.</t>
  </si>
  <si>
    <t xml:space="preserve">Retail-ready packaging design and dielines</t>
  </si>
  <si>
    <t xml:space="preserve">ROADMAP B5 'retail-ready packaging'; no figure in the repo.</t>
  </si>
  <si>
    <t xml:space="preserve">Attorney review of retailer / distributor vendor agreement</t>
  </si>
  <si>
    <t xml:space="preserve">Repo attorney range $300-$2,500 per document (PROTECTION-PLAN).</t>
  </si>
  <si>
    <t xml:space="preserve">Buyer sell sheet, line list and sample kits</t>
  </si>
  <si>
    <t xml:space="preserve">ROADMAP B7 (pitch only with proof); no figure in the repo.</t>
  </si>
  <si>
    <t xml:space="preserve">Faire brand application and first-order sample stock allowance</t>
  </si>
  <si>
    <t xml:space="preserve">storefront-setup-guide §19.</t>
  </si>
  <si>
    <t xml:space="preserve">Total, section B</t>
  </si>
  <si>
    <t xml:space="preserve">C. Ongoing while retail is live (per month)</t>
  </si>
  <si>
    <t xml:space="preserve">3PL EDI connection and retailer compliance</t>
  </si>
  <si>
    <t xml:space="preserve">C</t>
  </si>
  <si>
    <t xml:space="preserve">per month</t>
  </si>
  <si>
    <t xml:space="preserve">Monthly while retail is live</t>
  </si>
  <si>
    <t xml:space="preserve">ROADMAP B5: 'EDI capability through a 3PL'; no figure in the repo.</t>
  </si>
  <si>
    <t xml:space="preserve">Insurance uplift to retailer limits ($1M+ occurrence, umbrella, additional insureds)</t>
  </si>
  <si>
    <t xml:space="preserve">PROTECTION-PLAN retailer requirements (Amazon, Faire+); premium uplift not in the repo.</t>
  </si>
  <si>
    <t xml:space="preserve">GS1 annual renewal (monthly equivalent)</t>
  </si>
  <si>
    <t xml:space="preserve">Total, section C</t>
  </si>
  <si>
    <t xml:space="preserve">D. Inventory: first offset run (illustrative at the minimum run; the forecast sizes each scenario's run from pre-sale orders)</t>
  </si>
  <si>
    <t xml:space="preserve">Offset print cost per copy (from Assumptions)</t>
  </si>
  <si>
    <t xml:space="preserve">Landed cost per copy incl. freight/duties</t>
  </si>
  <si>
    <t xml:space="preserve">Minimum run (copies)</t>
  </si>
  <si>
    <t xml:space="preserve">Cash for a minimum first run</t>
  </si>
  <si>
    <t xml:space="preserve">Landed cost as % of retail price (target at or below 35-40%, DEMAND-CHECK rule 9)</t>
  </si>
  <si>
    <t xml:space="preserve">E. Ongoing Wave 3 fixed costs (from Assumptions; charged monthly once the first run is printed)</t>
  </si>
  <si>
    <t xml:space="preserve">Readiness items the model does not price: a distributor or sales rep (commission), retailer co-op or placement fees, and in-store (brick-and-mortar) Target or Walmart vendor setup. Books usually reach big-box shelves through book distributors or a publishing deal (AMAZON-AND-RETAIL-ROADMAP B6) [VERIFY].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</si>
</sst>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;&quot;($&quot;#,##0\);\-"/>
    <numFmt numFmtId="166" formatCode="mmm\-yy"/>
    <numFmt numFmtId="167" formatCode="#,##0;\(#,##0\);\-"/>
    <numFmt numFmtId="168" formatCode="\$#,##0.00;&quot;($&quot;#,##0.00\);\-"/>
    <numFmt numFmtId="169" formatCode="0.0%;\(0.0%\);\-"/>
    <numFmt numFmtId="170" formatCode="\$#,##0"/>
    <numFmt numFmtId="171" formatCode="0.00"/>
    <numFmt numFmtId="172" formatCode="0"/>
    <numFmt numFmtId="173" formatCode="\$0.000"/>
    <numFmt numFmtId="174" formatCode="0.00%;\(0.00%\);\-"/>
    <numFmt numFmtId="175" formatCode="#,##0.0;\(#,##0.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94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D294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555555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2940"/>
        <bgColor rgb="FF003366"/>
      </patternFill>
    </fill>
    <fill>
      <patternFill patternType="solid">
        <fgColor rgb="FFE3E7EF"/>
        <bgColor rgb="FFF3F4F7"/>
      </patternFill>
    </fill>
    <fill>
      <patternFill patternType="solid">
        <fgColor rgb="FFFFFF00"/>
        <bgColor rgb="FFFFFF00"/>
      </patternFill>
    </fill>
    <fill>
      <patternFill patternType="solid">
        <fgColor rgb="FFF3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7BDC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DC9"/>
      <rgbColor rgb="FF878787"/>
      <rgbColor rgb="FF9999FF"/>
      <rgbColor rgb="FF993366"/>
      <rgbColor rgb="FFF3F4F7"/>
      <rgbColor rgb="FFE3E7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8A94A8"/>
      <rgbColor rgb="FF003366"/>
      <rgbColor rgb="FF1BAF7A"/>
      <rgbColor rgb="FF003300"/>
      <rgbColor rgb="FF333300"/>
      <rgbColor rgb="FF993300"/>
      <rgbColor rgb="FF993366"/>
      <rgbColor rgb="FF333399"/>
      <rgbColor rgb="FF1D29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sales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Forecast'!$C$115:$AL$115</c:f>
              <c:numCache>
                <c:formatCode>\$#,##0;"($"#,##0\);\-</c:formatCode>
                <c:ptCount val="36"/>
                <c:pt idx="0">
                  <c:v>11.0898619821429</c:v>
                </c:pt>
                <c:pt idx="1">
                  <c:v>61.0347973114286</c:v>
                </c:pt>
                <c:pt idx="2">
                  <c:v>125.355934015457</c:v>
                </c:pt>
                <c:pt idx="3">
                  <c:v>176.680193127356</c:v>
                </c:pt>
                <c:pt idx="4">
                  <c:v>183.796820784219</c:v>
                </c:pt>
                <c:pt idx="5">
                  <c:v>274.35843636921</c:v>
                </c:pt>
                <c:pt idx="6">
                  <c:v>351.988415040889</c:v>
                </c:pt>
                <c:pt idx="7">
                  <c:v>352.703367665365</c:v>
                </c:pt>
                <c:pt idx="8">
                  <c:v>402.539975340037</c:v>
                </c:pt>
                <c:pt idx="9">
                  <c:v>412.782076999452</c:v>
                </c:pt>
                <c:pt idx="10">
                  <c:v>392.584877639884</c:v>
                </c:pt>
                <c:pt idx="11">
                  <c:v>417.318019921611</c:v>
                </c:pt>
                <c:pt idx="12">
                  <c:v>480.497074257222</c:v>
                </c:pt>
                <c:pt idx="13">
                  <c:v>677.461952371275</c:v>
                </c:pt>
                <c:pt idx="14">
                  <c:v>725.160533797733</c:v>
                </c:pt>
                <c:pt idx="15">
                  <c:v>692.134548788874</c:v>
                </c:pt>
                <c:pt idx="16">
                  <c:v>513.623924043153</c:v>
                </c:pt>
                <c:pt idx="17">
                  <c:v>587.945201019994</c:v>
                </c:pt>
                <c:pt idx="18">
                  <c:v>636.092793074491</c:v>
                </c:pt>
                <c:pt idx="19">
                  <c:v>593.035722966476</c:v>
                </c:pt>
                <c:pt idx="20">
                  <c:v>643.180699861174</c:v>
                </c:pt>
                <c:pt idx="21">
                  <c:v>629.602706370495</c:v>
                </c:pt>
                <c:pt idx="22">
                  <c:v>580.430609757376</c:v>
                </c:pt>
                <c:pt idx="23">
                  <c:v>597.985474728723</c:v>
                </c:pt>
                <c:pt idx="24">
                  <c:v>676.532445927234</c:v>
                </c:pt>
                <c:pt idx="25">
                  <c:v>937.258734971868</c:v>
                </c:pt>
                <c:pt idx="26">
                  <c:v>985.8304705088</c:v>
                </c:pt>
                <c:pt idx="27">
                  <c:v>924.599993306475</c:v>
                </c:pt>
                <c:pt idx="28">
                  <c:v>674.213050464466</c:v>
                </c:pt>
                <c:pt idx="29">
                  <c:v>758.325568163973</c:v>
                </c:pt>
                <c:pt idx="30">
                  <c:v>806.132930844828</c:v>
                </c:pt>
                <c:pt idx="31">
                  <c:v>738.46947461809</c:v>
                </c:pt>
                <c:pt idx="32">
                  <c:v>786.937806932098</c:v>
                </c:pt>
                <c:pt idx="33">
                  <c:v>756.880029180082</c:v>
                </c:pt>
                <c:pt idx="34">
                  <c:v>685.576705534349</c:v>
                </c:pt>
                <c:pt idx="35">
                  <c:v>693.954138823253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Forecast'!$C$242:$AL$242</c:f>
              <c:numCache>
                <c:formatCode>\$#,##0;"($"#,##0\);\-</c:formatCode>
                <c:ptCount val="36"/>
                <c:pt idx="0">
                  <c:v>42.8942049107143</c:v>
                </c:pt>
                <c:pt idx="1">
                  <c:v>230.376276</c:v>
                </c:pt>
                <c:pt idx="2">
                  <c:v>479.33739036</c:v>
                </c:pt>
                <c:pt idx="3">
                  <c:v>691.317169982847</c:v>
                </c:pt>
                <c:pt idx="4">
                  <c:v>741.593841740496</c:v>
                </c:pt>
                <c:pt idx="5">
                  <c:v>1143.72008412465</c:v>
                </c:pt>
                <c:pt idx="6">
                  <c:v>1509.51836752706</c:v>
                </c:pt>
                <c:pt idx="7">
                  <c:v>1559.93981813027</c:v>
                </c:pt>
                <c:pt idx="8">
                  <c:v>1844.94413173897</c:v>
                </c:pt>
                <c:pt idx="9">
                  <c:v>1957.03441013886</c:v>
                </c:pt>
                <c:pt idx="10">
                  <c:v>1929.69075420988</c:v>
                </c:pt>
                <c:pt idx="11">
                  <c:v>2126.59383244079</c:v>
                </c:pt>
                <c:pt idx="12">
                  <c:v>2529.32509604267</c:v>
                </c:pt>
                <c:pt idx="13">
                  <c:v>3635.45222085633</c:v>
                </c:pt>
                <c:pt idx="14">
                  <c:v>3955.06335792937</c:v>
                </c:pt>
                <c:pt idx="15">
                  <c:v>3942.0865269003</c:v>
                </c:pt>
                <c:pt idx="16">
                  <c:v>3057.05165694598</c:v>
                </c:pt>
                <c:pt idx="17">
                  <c:v>3577.59316213244</c:v>
                </c:pt>
                <c:pt idx="18">
                  <c:v>3887.7107199034</c:v>
                </c:pt>
                <c:pt idx="19">
                  <c:v>3646.34664997457</c:v>
                </c:pt>
                <c:pt idx="20">
                  <c:v>3901.35110457347</c:v>
                </c:pt>
                <c:pt idx="21">
                  <c:v>3960.29139197852</c:v>
                </c:pt>
                <c:pt idx="22">
                  <c:v>4007.10476873268</c:v>
                </c:pt>
                <c:pt idx="23">
                  <c:v>4239.20962008813</c:v>
                </c:pt>
                <c:pt idx="24">
                  <c:v>4733.4208453555</c:v>
                </c:pt>
                <c:pt idx="25">
                  <c:v>6406.09256905544</c:v>
                </c:pt>
                <c:pt idx="26">
                  <c:v>6725.21461762991</c:v>
                </c:pt>
                <c:pt idx="27">
                  <c:v>6651.85908086003</c:v>
                </c:pt>
                <c:pt idx="28">
                  <c:v>5053.46187545412</c:v>
                </c:pt>
                <c:pt idx="29">
                  <c:v>5748.89296161177</c:v>
                </c:pt>
                <c:pt idx="30">
                  <c:v>6112.29874915369</c:v>
                </c:pt>
                <c:pt idx="31">
                  <c:v>5610.29602552907</c:v>
                </c:pt>
                <c:pt idx="32">
                  <c:v>5871.48314930741</c:v>
                </c:pt>
                <c:pt idx="33">
                  <c:v>5839.65513111715</c:v>
                </c:pt>
                <c:pt idx="34">
                  <c:v>5792.31653424493</c:v>
                </c:pt>
                <c:pt idx="35">
                  <c:v>5996.87502059108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Forecast'!$C$369:$AL$369</c:f>
              <c:numCache>
                <c:formatCode>\$#,##0;"($"#,##0\);\-</c:formatCode>
                <c:ptCount val="36"/>
                <c:pt idx="0">
                  <c:v>93.1237296428571</c:v>
                </c:pt>
                <c:pt idx="1">
                  <c:v>471.9350376</c:v>
                </c:pt>
                <c:pt idx="2">
                  <c:v>968.178047886</c:v>
                </c:pt>
                <c:pt idx="3">
                  <c:v>1372.95707327036</c:v>
                </c:pt>
                <c:pt idx="4">
                  <c:v>1479.15755710926</c:v>
                </c:pt>
                <c:pt idx="5">
                  <c:v>2288.1948798794</c:v>
                </c:pt>
                <c:pt idx="6">
                  <c:v>3019.9874991456</c:v>
                </c:pt>
                <c:pt idx="7">
                  <c:v>3137.61294993368</c:v>
                </c:pt>
                <c:pt idx="8">
                  <c:v>3734.92803416578</c:v>
                </c:pt>
                <c:pt idx="9">
                  <c:v>4014.70876856941</c:v>
                </c:pt>
                <c:pt idx="10">
                  <c:v>4117.0502900752</c:v>
                </c:pt>
                <c:pt idx="11">
                  <c:v>4660.8365127404</c:v>
                </c:pt>
                <c:pt idx="12">
                  <c:v>5519.70311017475</c:v>
                </c:pt>
                <c:pt idx="13">
                  <c:v>7854.74868312673</c:v>
                </c:pt>
                <c:pt idx="14">
                  <c:v>8553.64692552098</c:v>
                </c:pt>
                <c:pt idx="15">
                  <c:v>8667.50985672023</c:v>
                </c:pt>
                <c:pt idx="16">
                  <c:v>6743.94587237712</c:v>
                </c:pt>
                <c:pt idx="17">
                  <c:v>7849.82470417473</c:v>
                </c:pt>
                <c:pt idx="18">
                  <c:v>8613.80497429753</c:v>
                </c:pt>
                <c:pt idx="19">
                  <c:v>8161.09609835756</c:v>
                </c:pt>
                <c:pt idx="20">
                  <c:v>8815.88616329749</c:v>
                </c:pt>
                <c:pt idx="21">
                  <c:v>9185.56399997922</c:v>
                </c:pt>
                <c:pt idx="22">
                  <c:v>9516.70521022673</c:v>
                </c:pt>
                <c:pt idx="23">
                  <c:v>10308.3048929471</c:v>
                </c:pt>
                <c:pt idx="24">
                  <c:v>11744.8527660836</c:v>
                </c:pt>
                <c:pt idx="25">
                  <c:v>16270.5802515219</c:v>
                </c:pt>
                <c:pt idx="26">
                  <c:v>17501.8626611932</c:v>
                </c:pt>
                <c:pt idx="27">
                  <c:v>17350.7507833663</c:v>
                </c:pt>
                <c:pt idx="28">
                  <c:v>13221.5606344841</c:v>
                </c:pt>
                <c:pt idx="29">
                  <c:v>15123.4059170195</c:v>
                </c:pt>
                <c:pt idx="30">
                  <c:v>16319.749282892</c:v>
                </c:pt>
                <c:pt idx="31">
                  <c:v>15207.6804939871</c:v>
                </c:pt>
                <c:pt idx="32">
                  <c:v>16213.2941706917</c:v>
                </c:pt>
                <c:pt idx="33">
                  <c:v>16296.8073154371</c:v>
                </c:pt>
                <c:pt idx="34">
                  <c:v>16165.8862313831</c:v>
                </c:pt>
                <c:pt idx="35">
                  <c:v>16926.1393482689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145272"/>
        <c:axId val="20735055"/>
      </c:lineChart>
      <c:catAx>
        <c:axId val="4414527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35055"/>
        <c:crosses val="autoZero"/>
        <c:auto val="1"/>
        <c:lblAlgn val="ctr"/>
        <c:lblOffset val="100"/>
        <c:noMultiLvlLbl val="0"/>
      </c:catAx>
      <c:valAx>
        <c:axId val="207350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452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account balance by scenario (month end)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Flow'!$C$28:$AL$28</c:f>
              <c:numCache>
                <c:formatCode>\$#,##0;"($"#,##0\);\-</c:formatCode>
                <c:ptCount val="36"/>
                <c:pt idx="0">
                  <c:v>-5481.38042647641</c:v>
                </c:pt>
                <c:pt idx="1">
                  <c:v>-7609.20196810353</c:v>
                </c:pt>
                <c:pt idx="2">
                  <c:v>-10351.6392004408</c:v>
                </c:pt>
                <c:pt idx="3">
                  <c:v>-12157.5557604647</c:v>
                </c:pt>
                <c:pt idx="4">
                  <c:v>-14052.0301117565</c:v>
                </c:pt>
                <c:pt idx="5">
                  <c:v>-18985.8937650196</c:v>
                </c:pt>
                <c:pt idx="6">
                  <c:v>-26331.3438360967</c:v>
                </c:pt>
                <c:pt idx="7">
                  <c:v>-32616.1486590148</c:v>
                </c:pt>
                <c:pt idx="8">
                  <c:v>-34048.2932578337</c:v>
                </c:pt>
                <c:pt idx="9">
                  <c:v>-35050.8591534786</c:v>
                </c:pt>
                <c:pt idx="10">
                  <c:v>-35787.1833641737</c:v>
                </c:pt>
                <c:pt idx="11">
                  <c:v>-36512.7765385284</c:v>
                </c:pt>
                <c:pt idx="12">
                  <c:v>-38223.7927718052</c:v>
                </c:pt>
                <c:pt idx="13">
                  <c:v>-39031.0775711885</c:v>
                </c:pt>
                <c:pt idx="14">
                  <c:v>-39808.2430177895</c:v>
                </c:pt>
                <c:pt idx="15">
                  <c:v>-40968.2514566541</c:v>
                </c:pt>
                <c:pt idx="16">
                  <c:v>-41894.7555181755</c:v>
                </c:pt>
                <c:pt idx="17">
                  <c:v>-42671.377889395</c:v>
                </c:pt>
                <c:pt idx="18">
                  <c:v>-44896.587288996</c:v>
                </c:pt>
                <c:pt idx="19">
                  <c:v>-45693.1416372636</c:v>
                </c:pt>
                <c:pt idx="20">
                  <c:v>-46461.1868241968</c:v>
                </c:pt>
                <c:pt idx="21">
                  <c:v>-47241.408937751</c:v>
                </c:pt>
                <c:pt idx="22">
                  <c:v>-48028.7768680904</c:v>
                </c:pt>
                <c:pt idx="23">
                  <c:v>-48811.6030856516</c:v>
                </c:pt>
                <c:pt idx="24">
                  <c:v>-50507.4461703805</c:v>
                </c:pt>
                <c:pt idx="25">
                  <c:v>-51275.0435692832</c:v>
                </c:pt>
                <c:pt idx="26">
                  <c:v>-52008.4207868004</c:v>
                </c:pt>
                <c:pt idx="27">
                  <c:v>-53122.7880013265</c:v>
                </c:pt>
                <c:pt idx="28">
                  <c:v>-54031.9001401432</c:v>
                </c:pt>
                <c:pt idx="29">
                  <c:v>-54792.1317839457</c:v>
                </c:pt>
                <c:pt idx="30">
                  <c:v>-57014.2401986072</c:v>
                </c:pt>
                <c:pt idx="31">
                  <c:v>-57816.1853520852</c:v>
                </c:pt>
                <c:pt idx="32">
                  <c:v>-58589.7504637548</c:v>
                </c:pt>
                <c:pt idx="33">
                  <c:v>-59386.4837521896</c:v>
                </c:pt>
                <c:pt idx="34">
                  <c:v>-60200.1169305152</c:v>
                </c:pt>
                <c:pt idx="35">
                  <c:v>-61015.6273157922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Flow'!$C$55:$AL$55</c:f>
              <c:numCache>
                <c:formatCode>\$#,##0;"($"#,##0\);\-</c:formatCode>
                <c:ptCount val="36"/>
                <c:pt idx="0">
                  <c:v>-5454.53138868705</c:v>
                </c:pt>
                <c:pt idx="1">
                  <c:v>-7649.02034327305</c:v>
                </c:pt>
                <c:pt idx="2">
                  <c:v>-10394.33606712</c:v>
                </c:pt>
                <c:pt idx="3">
                  <c:v>-12127.8435207191</c:v>
                </c:pt>
                <c:pt idx="4">
                  <c:v>-13896.2299126687</c:v>
                </c:pt>
                <c:pt idx="5">
                  <c:v>-18549.0246623025</c:v>
                </c:pt>
                <c:pt idx="6">
                  <c:v>-25527.932082648</c:v>
                </c:pt>
                <c:pt idx="7">
                  <c:v>-31358.7096678435</c:v>
                </c:pt>
                <c:pt idx="8">
                  <c:v>-32166.0226553831</c:v>
                </c:pt>
                <c:pt idx="9">
                  <c:v>-32491.9328502187</c:v>
                </c:pt>
                <c:pt idx="10">
                  <c:v>-32504.8746337114</c:v>
                </c:pt>
                <c:pt idx="11">
                  <c:v>-32440.8507199002</c:v>
                </c:pt>
                <c:pt idx="12">
                  <c:v>-33402.8150729181</c:v>
                </c:pt>
                <c:pt idx="13">
                  <c:v>-33000.1082002477</c:v>
                </c:pt>
                <c:pt idx="14">
                  <c:v>-32423.6627401337</c:v>
                </c:pt>
                <c:pt idx="15">
                  <c:v>-32015.3789391761</c:v>
                </c:pt>
                <c:pt idx="16">
                  <c:v>-31534.3280189399</c:v>
                </c:pt>
                <c:pt idx="17">
                  <c:v>-30808.2532654733</c:v>
                </c:pt>
                <c:pt idx="18">
                  <c:v>-31259.4005161651</c:v>
                </c:pt>
                <c:pt idx="19">
                  <c:v>-30524.1785271974</c:v>
                </c:pt>
                <c:pt idx="20">
                  <c:v>-29664.5898483817</c:v>
                </c:pt>
                <c:pt idx="21">
                  <c:v>-33735.7619214709</c:v>
                </c:pt>
                <c:pt idx="22">
                  <c:v>-32928.116947503</c:v>
                </c:pt>
                <c:pt idx="23">
                  <c:v>-31874.3295171522</c:v>
                </c:pt>
                <c:pt idx="24">
                  <c:v>-31647.9376397164</c:v>
                </c:pt>
                <c:pt idx="25">
                  <c:v>-30286.4497761321</c:v>
                </c:pt>
                <c:pt idx="26">
                  <c:v>-28747.88919995</c:v>
                </c:pt>
                <c:pt idx="27">
                  <c:v>-27432.2945498619</c:v>
                </c:pt>
                <c:pt idx="28">
                  <c:v>-26174.4976806496</c:v>
                </c:pt>
                <c:pt idx="29">
                  <c:v>-24700.2063615275</c:v>
                </c:pt>
                <c:pt idx="30">
                  <c:v>-24346.6650063085</c:v>
                </c:pt>
                <c:pt idx="31">
                  <c:v>-22979.3932225202</c:v>
                </c:pt>
                <c:pt idx="32">
                  <c:v>-21504.3278715266</c:v>
                </c:pt>
                <c:pt idx="33">
                  <c:v>-20213.1836487953</c:v>
                </c:pt>
                <c:pt idx="34">
                  <c:v>-18930.5511378609</c:v>
                </c:pt>
                <c:pt idx="35">
                  <c:v>-17360.3045626798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Flow'!$C$82:$AL$82</c:f>
              <c:numCache>
                <c:formatCode>\$#,##0;"($"#,##0\);\-</c:formatCode>
                <c:ptCount val="36"/>
                <c:pt idx="0">
                  <c:v>-5411.77043791322</c:v>
                </c:pt>
                <c:pt idx="1">
                  <c:v>-7625.18582549562</c:v>
                </c:pt>
                <c:pt idx="2">
                  <c:v>-10291.8285878317</c:v>
                </c:pt>
                <c:pt idx="3">
                  <c:v>-11854.068987641</c:v>
                </c:pt>
                <c:pt idx="4">
                  <c:v>-13380.2723081091</c:v>
                </c:pt>
                <c:pt idx="5">
                  <c:v>-17571.9740442323</c:v>
                </c:pt>
                <c:pt idx="6">
                  <c:v>-23962.0117721534</c:v>
                </c:pt>
                <c:pt idx="7">
                  <c:v>-29089.029799028</c:v>
                </c:pt>
                <c:pt idx="8">
                  <c:v>-28988.9407034274</c:v>
                </c:pt>
                <c:pt idx="9">
                  <c:v>-28608.8384527072</c:v>
                </c:pt>
                <c:pt idx="10">
                  <c:v>-27796.0631563528</c:v>
                </c:pt>
                <c:pt idx="11">
                  <c:v>-26719.3565139834</c:v>
                </c:pt>
                <c:pt idx="12">
                  <c:v>-26168.0455785714</c:v>
                </c:pt>
                <c:pt idx="13">
                  <c:v>-24167.0292440197</c:v>
                </c:pt>
                <c:pt idx="14">
                  <c:v>-21770.9083361964</c:v>
                </c:pt>
                <c:pt idx="15">
                  <c:v>-19424.2472734363</c:v>
                </c:pt>
                <c:pt idx="16">
                  <c:v>-17166.0956902951</c:v>
                </c:pt>
                <c:pt idx="17">
                  <c:v>-14493.3763191362</c:v>
                </c:pt>
                <c:pt idx="18">
                  <c:v>-17402.3877480923</c:v>
                </c:pt>
                <c:pt idx="19">
                  <c:v>-14671.3416169404</c:v>
                </c:pt>
                <c:pt idx="20">
                  <c:v>-11609.4594869081</c:v>
                </c:pt>
                <c:pt idx="21">
                  <c:v>-8969.77883717232</c:v>
                </c:pt>
                <c:pt idx="22">
                  <c:v>-6174.63648399815</c:v>
                </c:pt>
                <c:pt idx="23">
                  <c:v>-2702.08850235899</c:v>
                </c:pt>
                <c:pt idx="24">
                  <c:v>503.689599443281</c:v>
                </c:pt>
                <c:pt idx="25">
                  <c:v>3089.22694281781</c:v>
                </c:pt>
                <c:pt idx="26">
                  <c:v>9094.42620857264</c:v>
                </c:pt>
                <c:pt idx="27">
                  <c:v>15124.6580346139</c:v>
                </c:pt>
                <c:pt idx="28">
                  <c:v>20560.3699308663</c:v>
                </c:pt>
                <c:pt idx="29">
                  <c:v>26373.9236882399</c:v>
                </c:pt>
                <c:pt idx="30">
                  <c:v>28464.60602606</c:v>
                </c:pt>
                <c:pt idx="31">
                  <c:v>34274.849945911</c:v>
                </c:pt>
                <c:pt idx="32">
                  <c:v>40465.994143312</c:v>
                </c:pt>
                <c:pt idx="33">
                  <c:v>43632.9005782802</c:v>
                </c:pt>
                <c:pt idx="34">
                  <c:v>49506.1346667565</c:v>
                </c:pt>
                <c:pt idx="35">
                  <c:v>56122.7618813144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355893"/>
        <c:axId val="12436780"/>
      </c:lineChart>
      <c:catAx>
        <c:axId val="81355893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36780"/>
        <c:crosses val="autoZero"/>
        <c:auto val="1"/>
        <c:lblAlgn val="ctr"/>
        <c:lblOffset val="100"/>
        <c:noMultiLvlLbl val="0"/>
      </c:catAx>
      <c:valAx>
        <c:axId val="124367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558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operating result by model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Dashboard!$A$49:$A$51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Dashboard!$B$49:$B$51</c:f>
              <c:numCache>
                <c:formatCode>\$#,##0;"($"#,##0\);\-</c:formatCode>
                <c:ptCount val="3"/>
                <c:pt idx="0">
                  <c:v>-11106.1063984008</c:v>
                </c:pt>
                <c:pt idx="1">
                  <c:v>-12388.3539803869</c:v>
                </c:pt>
                <c:pt idx="2">
                  <c:v>-12366.8179933873</c:v>
                </c:pt>
              </c:numCache>
            </c:numRef>
          </c:val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Dashboard!$A$49:$A$51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Dashboard!$C$49:$C$51</c:f>
              <c:numCache>
                <c:formatCode>\$#,##0;"($"#,##0\);\-</c:formatCode>
                <c:ptCount val="3"/>
                <c:pt idx="0">
                  <c:v>-6497.15471545005</c:v>
                </c:pt>
                <c:pt idx="1">
                  <c:v>8146.47137900164</c:v>
                </c:pt>
                <c:pt idx="2">
                  <c:v>17918.9639104463</c:v>
                </c:pt>
              </c:numCache>
            </c:numRef>
          </c:val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Dashboard!$A$49:$A$51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Dashboard!$D$49:$D$51</c:f>
              <c:numCache>
                <c:formatCode>\$#,##0;"($"#,##0\);\-</c:formatCode>
                <c:ptCount val="3"/>
                <c:pt idx="0">
                  <c:v>972.230790809848</c:v>
                </c:pt>
                <c:pt idx="1">
                  <c:v>38453.6823183631</c:v>
                </c:pt>
                <c:pt idx="2">
                  <c:v>81612.7369017731</c:v>
                </c:pt>
              </c:numCache>
            </c:numRef>
          </c:val>
        </c:ser>
        <c:gapWidth val="150"/>
        <c:overlap val="0"/>
        <c:axId val="40481912"/>
        <c:axId val="55443340"/>
      </c:barChart>
      <c:catAx>
        <c:axId val="40481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43340"/>
        <c:crosses val="autoZero"/>
        <c:auto val="1"/>
        <c:lblAlgn val="ctr"/>
        <c:lblOffset val="100"/>
        <c:noMultiLvlLbl val="0"/>
      </c:catAx>
      <c:valAx>
        <c:axId val="554433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819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14</xdr:col>
      <xdr:colOff>408960</xdr:colOff>
      <xdr:row>18</xdr:row>
      <xdr:rowOff>67320</xdr:rowOff>
    </xdr:to>
    <xdr:graphicFrame>
      <xdr:nvGraphicFramePr>
        <xdr:cNvPr id="0" name="Chart 1"/>
        <xdr:cNvGraphicFramePr/>
      </xdr:nvGraphicFramePr>
      <xdr:xfrm>
        <a:off x="14449320" y="952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131040</xdr:rowOff>
    </xdr:from>
    <xdr:to>
      <xdr:col>14</xdr:col>
      <xdr:colOff>408960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14449320" y="42768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37</xdr:row>
      <xdr:rowOff>131040</xdr:rowOff>
    </xdr:from>
    <xdr:to>
      <xdr:col>14</xdr:col>
      <xdr:colOff>408960</xdr:colOff>
      <xdr:row>52</xdr:row>
      <xdr:rowOff>153000</xdr:rowOff>
    </xdr:to>
    <xdr:graphicFrame>
      <xdr:nvGraphicFramePr>
        <xdr:cNvPr id="2" name="Chart 3"/>
        <xdr:cNvGraphicFramePr/>
      </xdr:nvGraphicFramePr>
      <xdr:xfrm>
        <a:off x="14449320" y="75153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true"/>
  </sheetPr>
  <dimension ref="A1:E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6</v>
      </c>
    </row>
    <row r="6" customFormat="false" ht="15" hidden="false" customHeight="false" outlineLevel="0" collapsed="false">
      <c r="A6" s="5" t="s">
        <v>7</v>
      </c>
      <c r="B6" s="6"/>
      <c r="C6" s="6"/>
      <c r="D6" s="6"/>
      <c r="E6" s="6"/>
    </row>
    <row r="7" customFormat="false" ht="15" hidden="false" customHeight="false" outlineLevel="0" collapsed="false">
      <c r="A7" s="7" t="s">
        <v>8</v>
      </c>
      <c r="B7" s="8" t="n">
        <f aca="false">'36-Month Forecast'!AM115</f>
        <v>3162.23277619705</v>
      </c>
      <c r="C7" s="8" t="n">
        <f aca="false">'36-Month Forecast'!AM242</f>
        <v>14256.9602813045</v>
      </c>
      <c r="D7" s="8" t="n">
        <f aca="false">'36-Month Forecast'!AM369</f>
        <v>29358.670380018</v>
      </c>
      <c r="E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'36-Month Forecast'!AN115</f>
        <v>7357.15124103698</v>
      </c>
      <c r="C8" s="8" t="n">
        <f aca="false">'36-Month Forecast'!AN242</f>
        <v>44338.5862760579</v>
      </c>
      <c r="D8" s="8" t="n">
        <f aca="false">'36-Month Forecast'!AN369</f>
        <v>99790.7404912002</v>
      </c>
      <c r="E8" s="9"/>
    </row>
    <row r="9" customFormat="false" ht="15" hidden="false" customHeight="false" outlineLevel="0" collapsed="false">
      <c r="A9" s="7" t="s">
        <v>11</v>
      </c>
      <c r="B9" s="8" t="n">
        <f aca="false">'36-Month Forecast'!AO115</f>
        <v>9424.71134927551</v>
      </c>
      <c r="C9" s="8" t="n">
        <f aca="false">'36-Month Forecast'!AO242</f>
        <v>70541.8665599101</v>
      </c>
      <c r="D9" s="8" t="n">
        <f aca="false">'36-Month Forecast'!AO369</f>
        <v>188342.569856329</v>
      </c>
      <c r="E9" s="9"/>
    </row>
    <row r="10" customFormat="false" ht="15" hidden="false" customHeight="false" outlineLevel="0" collapsed="false">
      <c r="A10" s="7" t="s">
        <v>12</v>
      </c>
      <c r="B10" s="8" t="n">
        <f aca="false">'36-Month Forecast'!AM116</f>
        <v>1682.86560159921</v>
      </c>
      <c r="C10" s="8" t="n">
        <f aca="false">'36-Month Forecast'!AM243</f>
        <v>7941.81728454995</v>
      </c>
      <c r="D10" s="8" t="n">
        <f aca="false">'36-Month Forecast'!AM370</f>
        <v>17061.2027908099</v>
      </c>
      <c r="E10" s="9" t="s">
        <v>13</v>
      </c>
    </row>
    <row r="11" customFormat="false" ht="15" hidden="false" customHeight="false" outlineLevel="0" collapsed="false">
      <c r="A11" s="7" t="s">
        <v>14</v>
      </c>
      <c r="B11" s="8" t="n">
        <f aca="false">'36-Month Forecast'!AN116</f>
        <v>3925.24801961305</v>
      </c>
      <c r="C11" s="8" t="n">
        <f aca="false">'36-Month Forecast'!AN243</f>
        <v>26260.0733790016</v>
      </c>
      <c r="D11" s="8" t="n">
        <f aca="false">'36-Month Forecast'!AN370</f>
        <v>61242.7843183631</v>
      </c>
      <c r="E11" s="9"/>
    </row>
    <row r="12" customFormat="false" ht="15" hidden="false" customHeight="false" outlineLevel="0" collapsed="false">
      <c r="A12" s="7" t="s">
        <v>15</v>
      </c>
      <c r="B12" s="8" t="n">
        <f aca="false">'36-Month Forecast'!AO116</f>
        <v>5146.78400661275</v>
      </c>
      <c r="C12" s="8" t="n">
        <f aca="false">'36-Month Forecast'!AO243</f>
        <v>42134.5659104463</v>
      </c>
      <c r="D12" s="8" t="n">
        <f aca="false">'36-Month Forecast'!AO370</f>
        <v>111228.338901773</v>
      </c>
      <c r="E12" s="9"/>
    </row>
    <row r="13" customFormat="false" ht="15" hidden="false" customHeight="false" outlineLevel="0" collapsed="false">
      <c r="A13" s="10" t="s">
        <v>16</v>
      </c>
      <c r="B13" s="11" t="n">
        <f aca="false">'36-Month Forecast'!AM121</f>
        <v>-11106.1063984008</v>
      </c>
      <c r="C13" s="11" t="n">
        <f aca="false">'36-Month Forecast'!AM248</f>
        <v>-6497.15471545005</v>
      </c>
      <c r="D13" s="11" t="n">
        <f aca="false">'36-Month Forecast'!AM375</f>
        <v>972.230790809848</v>
      </c>
      <c r="E13" s="9" t="s">
        <v>17</v>
      </c>
    </row>
    <row r="14" customFormat="false" ht="15" hidden="false" customHeight="false" outlineLevel="0" collapsed="false">
      <c r="A14" s="10" t="s">
        <v>18</v>
      </c>
      <c r="B14" s="11" t="n">
        <f aca="false">'36-Month Forecast'!AN121</f>
        <v>-12388.3539803869</v>
      </c>
      <c r="C14" s="11" t="n">
        <f aca="false">'36-Month Forecast'!AN248</f>
        <v>8146.47137900164</v>
      </c>
      <c r="D14" s="11" t="n">
        <f aca="false">'36-Month Forecast'!AN375</f>
        <v>38453.6823183631</v>
      </c>
      <c r="E14" s="9"/>
    </row>
    <row r="15" customFormat="false" ht="15" hidden="false" customHeight="false" outlineLevel="0" collapsed="false">
      <c r="A15" s="10" t="s">
        <v>19</v>
      </c>
      <c r="B15" s="11" t="n">
        <f aca="false">'36-Month Forecast'!AO121</f>
        <v>-12366.8179933873</v>
      </c>
      <c r="C15" s="11" t="n">
        <f aca="false">'36-Month Forecast'!AO248</f>
        <v>17918.9639104463</v>
      </c>
      <c r="D15" s="11" t="n">
        <f aca="false">'36-Month Forecast'!AO375</f>
        <v>81612.7369017731</v>
      </c>
      <c r="E15" s="9"/>
    </row>
    <row r="16" customFormat="false" ht="15" hidden="false" customHeight="false" outlineLevel="0" collapsed="false">
      <c r="A16" s="7" t="s">
        <v>20</v>
      </c>
      <c r="B16" s="8" t="n">
        <f aca="false">'36-Month Forecast'!AP122+'36-Month Forecast'!AP123</f>
        <v>21661</v>
      </c>
      <c r="C16" s="8" t="n">
        <f aca="false">'36-Month Forecast'!AP249+'36-Month Forecast'!AP250</f>
        <v>26940</v>
      </c>
      <c r="D16" s="8" t="n">
        <f aca="false">'36-Month Forecast'!AP376+'36-Month Forecast'!AP377</f>
        <v>26940</v>
      </c>
      <c r="E16" s="9" t="s">
        <v>21</v>
      </c>
    </row>
    <row r="17" customFormat="false" ht="15" hidden="false" customHeight="false" outlineLevel="0" collapsed="false">
      <c r="A17" s="7" t="s">
        <v>22</v>
      </c>
      <c r="B17" s="8" t="n">
        <f aca="false">'36-Month Forecast'!AP130</f>
        <v>3625</v>
      </c>
      <c r="C17" s="8" t="n">
        <f aca="false">'36-Month Forecast'!AP257</f>
        <v>3625</v>
      </c>
      <c r="D17" s="8" t="n">
        <f aca="false">'36-Month Forecast'!AP384</f>
        <v>14500</v>
      </c>
      <c r="E17" s="9" t="s">
        <v>23</v>
      </c>
    </row>
    <row r="18" customFormat="false" ht="15" hidden="false" customHeight="false" outlineLevel="0" collapsed="false">
      <c r="A18" s="10" t="s">
        <v>24</v>
      </c>
      <c r="B18" s="11" t="n">
        <f aca="false">'36-Month Forecast'!AL125</f>
        <v>-57522.278372175</v>
      </c>
      <c r="C18" s="11" t="n">
        <f aca="false">'36-Month Forecast'!AL252</f>
        <v>-7371.7194260021</v>
      </c>
      <c r="D18" s="11" t="n">
        <f aca="false">'36-Month Forecast'!AL379</f>
        <v>94098.6500109461</v>
      </c>
      <c r="E18" s="9"/>
    </row>
    <row r="20" customFormat="false" ht="15" hidden="false" customHeight="false" outlineLevel="0" collapsed="false">
      <c r="A20" s="5" t="s">
        <v>25</v>
      </c>
      <c r="B20" s="6"/>
      <c r="C20" s="6"/>
      <c r="D20" s="6"/>
      <c r="E20" s="6"/>
    </row>
    <row r="21" customFormat="false" ht="15" hidden="false" customHeight="false" outlineLevel="0" collapsed="false">
      <c r="A21" s="10" t="s">
        <v>26</v>
      </c>
      <c r="B21" s="11" t="n">
        <f aca="false">'Break-even'!B13</f>
        <v>61015.6273157922</v>
      </c>
      <c r="C21" s="11" t="n">
        <f aca="false">'Break-even'!C13</f>
        <v>33735.7619214709</v>
      </c>
      <c r="D21" s="11" t="n">
        <f aca="false">'Break-even'!D13</f>
        <v>29089.029799028</v>
      </c>
      <c r="E21" s="9" t="s">
        <v>27</v>
      </c>
    </row>
    <row r="22" customFormat="false" ht="15" hidden="false" customHeight="false" outlineLevel="0" collapsed="false">
      <c r="A22" s="7" t="s">
        <v>28</v>
      </c>
      <c r="B22" s="12" t="n">
        <f aca="false">IF(ISNUMBER('Break-even'!B14),DATE(YEAR(Assumptions!$C$8),MONTH(Assumptions!$C$8)+'Break-even'!B14-1,1),"Not within 36 months")</f>
        <v>47362</v>
      </c>
      <c r="C22" s="12" t="n">
        <f aca="false">IF(ISNUMBER('Break-even'!C14),DATE(YEAR(Assumptions!$C$8),MONTH(Assumptions!$C$8)+'Break-even'!C14-1,1),"Not within 36 months")</f>
        <v>46935</v>
      </c>
      <c r="D22" s="12" t="n">
        <f aca="false">IF(ISNUMBER('Break-even'!D14),DATE(YEAR(Assumptions!$C$8),MONTH(Assumptions!$C$8)+'Break-even'!D14-1,1),"Not within 36 months")</f>
        <v>46508</v>
      </c>
      <c r="E22" s="9"/>
    </row>
    <row r="23" customFormat="false" ht="15" hidden="false" customHeight="false" outlineLevel="0" collapsed="false">
      <c r="A23" s="10" t="s">
        <v>29</v>
      </c>
      <c r="B23" s="13" t="str">
        <f aca="false">'Break-even'!B10</f>
        <v>Not within 36 months</v>
      </c>
      <c r="C23" s="13" t="n">
        <f aca="false">'Break-even'!C10</f>
        <v>46874</v>
      </c>
      <c r="D23" s="13" t="n">
        <f aca="false">'Break-even'!D10</f>
        <v>46508</v>
      </c>
      <c r="E23" s="9" t="s">
        <v>30</v>
      </c>
    </row>
    <row r="24" customFormat="false" ht="15" hidden="false" customHeight="false" outlineLevel="0" collapsed="false">
      <c r="A24" s="7" t="s">
        <v>31</v>
      </c>
      <c r="B24" s="12" t="str">
        <f aca="false">'Break-even'!B12</f>
        <v>Not within 36 months</v>
      </c>
      <c r="C24" s="12" t="str">
        <f aca="false">'Break-even'!C12</f>
        <v>Not within 36 months</v>
      </c>
      <c r="D24" s="12" t="n">
        <f aca="false">'Break-even'!D12</f>
        <v>47027</v>
      </c>
      <c r="E24" s="9"/>
    </row>
    <row r="25" customFormat="false" ht="15" hidden="false" customHeight="false" outlineLevel="0" collapsed="false">
      <c r="A25" s="7" t="s">
        <v>32</v>
      </c>
      <c r="B25" s="8" t="n">
        <f aca="false">'Cash Flow'!AL30</f>
        <v>-61015.6273157922</v>
      </c>
      <c r="C25" s="8" t="n">
        <f aca="false">'Cash Flow'!AL57</f>
        <v>-10484.0199800697</v>
      </c>
      <c r="D25" s="8" t="n">
        <f aca="false">'Cash Flow'!AL84</f>
        <v>85496.3629177473</v>
      </c>
      <c r="E25" s="9"/>
    </row>
    <row r="26" customFormat="false" ht="15" hidden="false" customHeight="false" outlineLevel="0" collapsed="false">
      <c r="A26" s="7" t="s">
        <v>33</v>
      </c>
      <c r="B26" s="8" t="n">
        <f aca="false">'Cash Flow'!AL32</f>
        <v>-64693.0528157922</v>
      </c>
      <c r="C26" s="8" t="n">
        <f aca="false">'Cash Flow'!AL59</f>
        <v>-22713.2300626798</v>
      </c>
      <c r="D26" s="8" t="n">
        <f aca="false">'Cash Flow'!AL86</f>
        <v>49419.8363813144</v>
      </c>
      <c r="E26" s="9" t="s">
        <v>34</v>
      </c>
    </row>
    <row r="28" customFormat="false" ht="15" hidden="false" customHeight="false" outlineLevel="0" collapsed="false">
      <c r="A28" s="5" t="s">
        <v>35</v>
      </c>
      <c r="B28" s="6"/>
      <c r="C28" s="6"/>
      <c r="D28" s="6"/>
      <c r="E28" s="6"/>
    </row>
    <row r="29" customFormat="false" ht="15" hidden="false" customHeight="false" outlineLevel="0" collapsed="false">
      <c r="A29" s="7" t="s">
        <v>36</v>
      </c>
      <c r="B29" s="14" t="n">
        <f aca="false">'36-Month Forecast'!AL111</f>
        <v>54.0247061848501</v>
      </c>
      <c r="C29" s="14" t="n">
        <f aca="false">'36-Month Forecast'!AL238</f>
        <v>383.463193240009</v>
      </c>
      <c r="D29" s="14" t="n">
        <f aca="false">'36-Month Forecast'!AL365</f>
        <v>958.364545057188</v>
      </c>
      <c r="E29" s="9"/>
    </row>
    <row r="30" customFormat="false" ht="15" hidden="false" customHeight="false" outlineLevel="0" collapsed="false">
      <c r="A30" s="7" t="s">
        <v>37</v>
      </c>
      <c r="B30" s="15" t="n">
        <f aca="false">IF('36-Month Forecast'!AO111=0,0,'36-Month Forecast'!AO115/'36-Month Forecast'!AO111)</f>
        <v>12.8412874596284</v>
      </c>
      <c r="C30" s="15" t="n">
        <f aca="false">IF('36-Month Forecast'!AO238=0,0,'36-Month Forecast'!AO242/'36-Month Forecast'!AO238)</f>
        <v>14.7386152577723</v>
      </c>
      <c r="D30" s="15" t="n">
        <f aca="false">IF('36-Month Forecast'!AO365=0,0,'36-Month Forecast'!AO369/'36-Month Forecast'!AO365)</f>
        <v>16.6518963517467</v>
      </c>
      <c r="E30" s="9"/>
    </row>
    <row r="31" customFormat="false" ht="15" hidden="false" customHeight="false" outlineLevel="0" collapsed="false">
      <c r="A31" s="7" t="s">
        <v>38</v>
      </c>
      <c r="B31" s="14" t="n">
        <f aca="false">'36-Month Forecast'!AL109</f>
        <v>621.266564248887</v>
      </c>
      <c r="C31" s="14" t="n">
        <f aca="false">'36-Month Forecast'!AL236</f>
        <v>3969.51425570931</v>
      </c>
      <c r="D31" s="14" t="n">
        <f aca="false">'36-Month Forecast'!AL363</f>
        <v>11000.3076561452</v>
      </c>
      <c r="E31" s="9"/>
    </row>
    <row r="32" customFormat="false" ht="15" hidden="false" customHeight="false" outlineLevel="0" collapsed="false">
      <c r="A32" s="7" t="s">
        <v>39</v>
      </c>
      <c r="B32" s="16" t="n">
        <f aca="false">IF('36-Month Forecast'!AP116=0,0,('36-Month Forecast'!AP25+'36-Month Forecast'!AP35+'36-Month Forecast'!AP65+'36-Month Forecast'!AP75)/'36-Month Forecast'!AP116)</f>
        <v>0.565157658493496</v>
      </c>
      <c r="C32" s="16" t="n">
        <f aca="false">IF('36-Month Forecast'!AP243=0,0,('36-Month Forecast'!AP152+'36-Month Forecast'!AP162+'36-Month Forecast'!AP192+'36-Month Forecast'!AP202)/'36-Month Forecast'!AP243)</f>
        <v>0.559156329403229</v>
      </c>
      <c r="D32" s="16" t="n">
        <f aca="false">IF('36-Month Forecast'!AP370=0,0,('36-Month Forecast'!AP279+'36-Month Forecast'!AP289+'36-Month Forecast'!AP319+'36-Month Forecast'!AP329)/'36-Month Forecast'!AP370)</f>
        <v>0.589795550361947</v>
      </c>
      <c r="E32" s="9"/>
    </row>
    <row r="33" customFormat="false" ht="15" hidden="false" customHeight="false" outlineLevel="0" collapsed="false">
      <c r="A33" s="7" t="s">
        <v>40</v>
      </c>
      <c r="B33" s="16" t="n">
        <f aca="false">IF('36-Month Forecast'!AP116=0,0,('36-Month Forecast'!AP45+'36-Month Forecast'!AP55)/'36-Month Forecast'!AP116)</f>
        <v>0.386351168701549</v>
      </c>
      <c r="C33" s="16" t="n">
        <f aca="false">IF('36-Month Forecast'!AP243=0,0,('36-Month Forecast'!AP172+'36-Month Forecast'!AP182)/'36-Month Forecast'!AP243)</f>
        <v>0.297750526437036</v>
      </c>
      <c r="D33" s="16" t="n">
        <f aca="false">IF('36-Month Forecast'!AP370=0,0,('36-Month Forecast'!AP299+'36-Month Forecast'!AP309)/'36-Month Forecast'!AP370)</f>
        <v>0.253318415322104</v>
      </c>
      <c r="E33" s="9"/>
    </row>
    <row r="34" customFormat="false" ht="15" hidden="false" customHeight="false" outlineLevel="0" collapsed="false">
      <c r="A34" s="7" t="s">
        <v>41</v>
      </c>
      <c r="B34" s="16" t="n">
        <f aca="false">IF('36-Month Forecast'!AP116=0,0,'36-Month Forecast'!AP85/'36-Month Forecast'!AP116)</f>
        <v>0.0484911728049551</v>
      </c>
      <c r="C34" s="16" t="n">
        <f aca="false">IF('36-Month Forecast'!AP243=0,0,'36-Month Forecast'!AP212/'36-Month Forecast'!AP243)</f>
        <v>0.0343321989298915</v>
      </c>
      <c r="D34" s="16" t="n">
        <f aca="false">IF('36-Month Forecast'!AP370=0,0,'36-Month Forecast'!AP339/'36-Month Forecast'!AP370)</f>
        <v>0.0337460244920513</v>
      </c>
      <c r="E34" s="9"/>
    </row>
    <row r="35" customFormat="false" ht="15" hidden="false" customHeight="false" outlineLevel="0" collapsed="false">
      <c r="A35" s="7" t="s">
        <v>42</v>
      </c>
      <c r="B35" s="16" t="n">
        <f aca="false">IF('36-Month Forecast'!AP116=0,0,'36-Month Forecast'!AP95/'36-Month Forecast'!AP116)</f>
        <v>0</v>
      </c>
      <c r="C35" s="16" t="n">
        <f aca="false">IF('36-Month Forecast'!AP243=0,0,'36-Month Forecast'!AP222/'36-Month Forecast'!AP243)</f>
        <v>0.101290929867448</v>
      </c>
      <c r="D35" s="16" t="n">
        <f aca="false">IF('36-Month Forecast'!AP370=0,0,'36-Month Forecast'!AP349/'36-Month Forecast'!AP370)</f>
        <v>0.102143111252204</v>
      </c>
      <c r="E35" s="9"/>
    </row>
    <row r="36" customFormat="false" ht="15" hidden="false" customHeight="false" outlineLevel="0" collapsed="false">
      <c r="A36" s="7" t="s">
        <v>43</v>
      </c>
      <c r="B36" s="16" t="n">
        <f aca="false">IF('36-Month Forecast'!AP116=0,0,'36-Month Forecast'!AP105/'36-Month Forecast'!AP116)</f>
        <v>0</v>
      </c>
      <c r="C36" s="16" t="n">
        <f aca="false">IF('36-Month Forecast'!AP243=0,0,'36-Month Forecast'!AP232/'36-Month Forecast'!AP243)</f>
        <v>0.00747001536239554</v>
      </c>
      <c r="D36" s="16" t="n">
        <f aca="false">IF('36-Month Forecast'!AP370=0,0,'36-Month Forecast'!AP359/'36-Month Forecast'!AP370)</f>
        <v>0.0209968985716946</v>
      </c>
      <c r="E36" s="9"/>
    </row>
    <row r="37" customFormat="false" ht="15" hidden="false" customHeight="false" outlineLevel="0" collapsed="false">
      <c r="A37" s="7" t="s">
        <v>44</v>
      </c>
      <c r="B37" s="14" t="n">
        <f aca="false">'36-Month Forecast'!$B$12</f>
        <v>2.634654</v>
      </c>
      <c r="C37" s="14" t="n">
        <f aca="false">'36-Month Forecast'!$B$139</f>
        <v>9.83901</v>
      </c>
      <c r="D37" s="14" t="n">
        <f aca="false">'36-Month Forecast'!$B$266</f>
        <v>21.317855</v>
      </c>
      <c r="E37" s="9" t="s">
        <v>45</v>
      </c>
    </row>
    <row r="38" customFormat="false" ht="15" hidden="false" customHeight="false" outlineLevel="0" collapsed="false">
      <c r="A38" s="7" t="s">
        <v>46</v>
      </c>
      <c r="B38" s="14" t="n">
        <f aca="false">'36-Month Forecast'!$B$14</f>
        <v>718</v>
      </c>
      <c r="C38" s="14" t="n">
        <f aca="false">'36-Month Forecast'!$B$141</f>
        <v>718</v>
      </c>
      <c r="D38" s="14" t="n">
        <f aca="false">'36-Month Forecast'!$B$268</f>
        <v>718</v>
      </c>
      <c r="E38" s="9" t="s">
        <v>47</v>
      </c>
    </row>
    <row r="39" customFormat="false" ht="15" hidden="false" customHeight="false" outlineLevel="0" collapsed="false">
      <c r="A39" s="7" t="s">
        <v>48</v>
      </c>
      <c r="B39" s="14" t="n">
        <f aca="false">'36-Month Forecast'!AL132</f>
        <v>884.714218209617</v>
      </c>
      <c r="C39" s="14" t="n">
        <f aca="false">'36-Month Forecast'!AL259</f>
        <v>107.606062238456</v>
      </c>
      <c r="D39" s="14" t="n">
        <f aca="false">'36-Month Forecast'!AL386</f>
        <v>401.421676886947</v>
      </c>
      <c r="E39" s="9" t="s">
        <v>49</v>
      </c>
    </row>
    <row r="41" customFormat="false" ht="15" hidden="false" customHeight="false" outlineLevel="0" collapsed="false">
      <c r="A41" s="10" t="s">
        <v>50</v>
      </c>
    </row>
    <row r="42" customFormat="false" ht="15" hidden="false" customHeight="false" outlineLevel="0" collapsed="false">
      <c r="A42" s="9" t="s">
        <v>51</v>
      </c>
    </row>
    <row r="43" customFormat="false" ht="15" hidden="false" customHeight="false" outlineLevel="0" collapsed="false">
      <c r="A43" s="9" t="s">
        <v>52</v>
      </c>
    </row>
    <row r="44" customFormat="false" ht="15" hidden="false" customHeight="false" outlineLevel="0" collapsed="false">
      <c r="A44" s="9" t="s">
        <v>53</v>
      </c>
    </row>
    <row r="45" customFormat="false" ht="15" hidden="false" customHeight="false" outlineLevel="0" collapsed="false">
      <c r="A45" s="9" t="s">
        <v>54</v>
      </c>
    </row>
    <row r="46" customFormat="false" ht="15" hidden="false" customHeight="false" outlineLevel="0" collapsed="false">
      <c r="A46" s="9" t="s">
        <v>55</v>
      </c>
    </row>
    <row r="48" customFormat="false" ht="15" hidden="false" customHeight="false" outlineLevel="0" collapsed="false">
      <c r="A48" s="10" t="s">
        <v>56</v>
      </c>
    </row>
    <row r="49" customFormat="false" ht="15" hidden="false" customHeight="false" outlineLevel="0" collapsed="false">
      <c r="A49" s="7" t="s">
        <v>57</v>
      </c>
      <c r="B49" s="17" t="n">
        <f aca="false">B13</f>
        <v>-11106.1063984008</v>
      </c>
      <c r="C49" s="17" t="n">
        <f aca="false">C13</f>
        <v>-6497.15471545005</v>
      </c>
      <c r="D49" s="17" t="n">
        <f aca="false">D13</f>
        <v>972.230790809848</v>
      </c>
    </row>
    <row r="50" customFormat="false" ht="15" hidden="false" customHeight="false" outlineLevel="0" collapsed="false">
      <c r="A50" s="7" t="s">
        <v>58</v>
      </c>
      <c r="B50" s="17" t="n">
        <f aca="false">B14</f>
        <v>-12388.3539803869</v>
      </c>
      <c r="C50" s="17" t="n">
        <f aca="false">C14</f>
        <v>8146.47137900164</v>
      </c>
      <c r="D50" s="17" t="n">
        <f aca="false">D14</f>
        <v>38453.6823183631</v>
      </c>
    </row>
    <row r="51" customFormat="false" ht="15" hidden="false" customHeight="false" outlineLevel="0" collapsed="false">
      <c r="A51" s="7" t="s">
        <v>59</v>
      </c>
      <c r="B51" s="17" t="n">
        <f aca="false">B15</f>
        <v>-12366.8179933873</v>
      </c>
      <c r="C51" s="17" t="n">
        <f aca="false">C15</f>
        <v>17918.9639104463</v>
      </c>
      <c r="D51" s="17" t="n">
        <f aca="false">D15</f>
        <v>81612.7369017731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true"/>
  </sheetPr>
  <dimension ref="A1:H1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8"/>
    <col collapsed="false" customWidth="true" hidden="false" outlineLevel="0" max="6" min="3" style="0" width="14"/>
    <col collapsed="false" customWidth="true" hidden="false" outlineLevel="0" max="7" min="7" style="0" width="7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8" t="s">
        <v>60</v>
      </c>
    </row>
    <row r="2" customFormat="false" ht="30" hidden="false" customHeight="true" outlineLevel="0" collapsed="false">
      <c r="A2" s="2" t="s">
        <v>61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A5" s="3" t="s">
        <v>62</v>
      </c>
      <c r="B5" s="4" t="s">
        <v>63</v>
      </c>
      <c r="C5" s="4" t="s">
        <v>64</v>
      </c>
      <c r="D5" s="4" t="s">
        <v>4</v>
      </c>
      <c r="E5" s="4" t="s">
        <v>5</v>
      </c>
      <c r="F5" s="4" t="s">
        <v>65</v>
      </c>
      <c r="G5" s="4" t="s">
        <v>66</v>
      </c>
      <c r="H5" s="4" t="s">
        <v>67</v>
      </c>
    </row>
    <row r="7" customFormat="false" ht="15" hidden="false" customHeight="false" outlineLevel="0" collapsed="false">
      <c r="A7" s="5" t="s">
        <v>68</v>
      </c>
      <c r="B7" s="6"/>
      <c r="C7" s="6"/>
      <c r="D7" s="6"/>
      <c r="E7" s="6"/>
      <c r="F7" s="6"/>
      <c r="G7" s="6"/>
      <c r="H7" s="6"/>
    </row>
    <row r="8" customFormat="false" ht="15" hidden="false" customHeight="false" outlineLevel="0" collapsed="false">
      <c r="A8" s="9" t="s">
        <v>69</v>
      </c>
      <c r="B8" s="19" t="s">
        <v>70</v>
      </c>
      <c r="C8" s="20" t="n">
        <v>46296</v>
      </c>
      <c r="F8" s="7" t="s">
        <v>71</v>
      </c>
      <c r="G8" s="19" t="s">
        <v>72</v>
      </c>
      <c r="H8" s="7" t="s">
        <v>73</v>
      </c>
    </row>
    <row r="9" customFormat="false" ht="15" hidden="false" customHeight="false" outlineLevel="0" collapsed="false">
      <c r="A9" s="9" t="s">
        <v>74</v>
      </c>
      <c r="B9" s="19" t="s">
        <v>75</v>
      </c>
      <c r="C9" s="21" t="n">
        <v>0.5</v>
      </c>
      <c r="F9" s="7" t="s">
        <v>76</v>
      </c>
      <c r="G9" s="19" t="s">
        <v>77</v>
      </c>
      <c r="H9" s="7" t="s">
        <v>78</v>
      </c>
    </row>
    <row r="10" customFormat="false" ht="23.85" hidden="false" customHeight="false" outlineLevel="0" collapsed="false">
      <c r="A10" s="9" t="s">
        <v>79</v>
      </c>
      <c r="B10" s="19" t="s">
        <v>80</v>
      </c>
      <c r="C10" s="22" t="n">
        <v>6</v>
      </c>
      <c r="F10" s="7" t="s">
        <v>81</v>
      </c>
      <c r="G10" s="19" t="s">
        <v>82</v>
      </c>
      <c r="H10" s="7" t="s">
        <v>78</v>
      </c>
    </row>
    <row r="11" customFormat="false" ht="23.85" hidden="false" customHeight="false" outlineLevel="0" collapsed="false">
      <c r="A11" s="9" t="s">
        <v>83</v>
      </c>
      <c r="B11" s="19" t="s">
        <v>84</v>
      </c>
      <c r="C11" s="23" t="n">
        <v>0.06</v>
      </c>
      <c r="F11" s="7" t="s">
        <v>85</v>
      </c>
      <c r="G11" s="19" t="s">
        <v>86</v>
      </c>
      <c r="H11" s="7" t="s">
        <v>87</v>
      </c>
    </row>
    <row r="12" customFormat="false" ht="15" hidden="false" customHeight="false" outlineLevel="0" collapsed="false">
      <c r="A12" s="9" t="s">
        <v>88</v>
      </c>
      <c r="B12" s="19" t="s">
        <v>89</v>
      </c>
      <c r="C12" s="23" t="n">
        <v>0.02</v>
      </c>
      <c r="F12" s="7" t="s">
        <v>85</v>
      </c>
      <c r="G12" s="19" t="s">
        <v>90</v>
      </c>
      <c r="H12" s="7" t="s">
        <v>78</v>
      </c>
    </row>
    <row r="13" customFormat="false" ht="15" hidden="false" customHeight="false" outlineLevel="0" collapsed="false">
      <c r="A13" s="9" t="s">
        <v>91</v>
      </c>
      <c r="B13" s="19" t="s">
        <v>92</v>
      </c>
      <c r="C13" s="23" t="n">
        <v>0.05</v>
      </c>
      <c r="F13" s="7" t="s">
        <v>85</v>
      </c>
      <c r="G13" s="19" t="s">
        <v>93</v>
      </c>
      <c r="H13" s="7" t="s">
        <v>78</v>
      </c>
    </row>
    <row r="14" customFormat="false" ht="15" hidden="false" customHeight="false" outlineLevel="0" collapsed="false">
      <c r="A14" s="9" t="s">
        <v>94</v>
      </c>
      <c r="B14" s="19" t="s">
        <v>95</v>
      </c>
      <c r="C14" s="23" t="n">
        <v>0.25</v>
      </c>
      <c r="F14" s="7" t="s">
        <v>96</v>
      </c>
      <c r="G14" s="19" t="s">
        <v>97</v>
      </c>
      <c r="H14" s="7" t="s">
        <v>98</v>
      </c>
    </row>
    <row r="15" customFormat="false" ht="15" hidden="false" customHeight="false" outlineLevel="0" collapsed="false">
      <c r="A15" s="9" t="s">
        <v>99</v>
      </c>
      <c r="B15" s="19" t="s">
        <v>100</v>
      </c>
      <c r="C15" s="24" t="n">
        <v>0</v>
      </c>
      <c r="F15" s="7" t="s">
        <v>101</v>
      </c>
      <c r="G15" s="19" t="s">
        <v>102</v>
      </c>
      <c r="H15" s="7" t="s">
        <v>73</v>
      </c>
    </row>
    <row r="16" customFormat="false" ht="15" hidden="false" customHeight="false" outlineLevel="0" collapsed="false">
      <c r="A16" s="9" t="s">
        <v>103</v>
      </c>
      <c r="B16" s="19" t="s">
        <v>104</v>
      </c>
      <c r="C16" s="25" t="n">
        <v>0</v>
      </c>
      <c r="F16" s="7" t="s">
        <v>101</v>
      </c>
      <c r="G16" s="19" t="s">
        <v>105</v>
      </c>
      <c r="H16" s="7" t="s">
        <v>78</v>
      </c>
    </row>
    <row r="17" customFormat="false" ht="15" hidden="false" customHeight="false" outlineLevel="0" collapsed="false">
      <c r="A17" s="9" t="s">
        <v>106</v>
      </c>
      <c r="B17" s="19" t="s">
        <v>107</v>
      </c>
      <c r="C17" s="23" t="n">
        <v>0.1</v>
      </c>
      <c r="F17" s="7" t="s">
        <v>96</v>
      </c>
      <c r="G17" s="19" t="s">
        <v>108</v>
      </c>
      <c r="H17" s="7" t="s">
        <v>78</v>
      </c>
    </row>
    <row r="18" customFormat="false" ht="15" hidden="false" customHeight="false" outlineLevel="0" collapsed="false">
      <c r="A18" s="9" t="s">
        <v>109</v>
      </c>
      <c r="B18" s="19" t="s">
        <v>110</v>
      </c>
      <c r="C18" s="22" t="n">
        <v>3</v>
      </c>
      <c r="F18" s="7" t="s">
        <v>81</v>
      </c>
      <c r="G18" s="19" t="s">
        <v>111</v>
      </c>
      <c r="H18" s="7" t="s">
        <v>73</v>
      </c>
    </row>
    <row r="20" customFormat="false" ht="15" hidden="false" customHeight="false" outlineLevel="0" collapsed="false">
      <c r="A20" s="5" t="s">
        <v>112</v>
      </c>
      <c r="B20" s="6"/>
      <c r="C20" s="6"/>
      <c r="D20" s="6"/>
      <c r="E20" s="6"/>
      <c r="F20" s="6"/>
      <c r="G20" s="6"/>
      <c r="H20" s="6"/>
    </row>
    <row r="21" customFormat="false" ht="23.85" hidden="false" customHeight="false" outlineLevel="0" collapsed="false">
      <c r="A21" s="9" t="s">
        <v>113</v>
      </c>
      <c r="B21" s="19" t="s">
        <v>114</v>
      </c>
      <c r="C21" s="23" t="n">
        <v>0.029</v>
      </c>
      <c r="F21" s="7" t="s">
        <v>85</v>
      </c>
      <c r="G21" s="19" t="s">
        <v>115</v>
      </c>
      <c r="H21" s="7" t="s">
        <v>87</v>
      </c>
    </row>
    <row r="22" customFormat="false" ht="15" hidden="false" customHeight="false" outlineLevel="0" collapsed="false">
      <c r="A22" s="9" t="s">
        <v>116</v>
      </c>
      <c r="B22" s="19" t="s">
        <v>117</v>
      </c>
      <c r="C22" s="26" t="n">
        <v>0.3</v>
      </c>
      <c r="F22" s="7" t="s">
        <v>118</v>
      </c>
      <c r="G22" s="19" t="s">
        <v>119</v>
      </c>
      <c r="H22" s="7" t="s">
        <v>87</v>
      </c>
    </row>
    <row r="23" customFormat="false" ht="15" hidden="false" customHeight="false" outlineLevel="0" collapsed="false">
      <c r="A23" s="9" t="s">
        <v>120</v>
      </c>
      <c r="B23" s="19" t="s">
        <v>121</v>
      </c>
      <c r="C23" s="23" t="n">
        <v>0.065</v>
      </c>
      <c r="F23" s="7" t="s">
        <v>85</v>
      </c>
      <c r="G23" s="19" t="s">
        <v>122</v>
      </c>
      <c r="H23" s="7" t="s">
        <v>87</v>
      </c>
    </row>
    <row r="24" customFormat="false" ht="15" hidden="false" customHeight="false" outlineLevel="0" collapsed="false">
      <c r="A24" s="9" t="s">
        <v>123</v>
      </c>
      <c r="B24" s="19" t="s">
        <v>124</v>
      </c>
      <c r="C24" s="23" t="n">
        <v>0.03</v>
      </c>
      <c r="F24" s="7" t="s">
        <v>85</v>
      </c>
      <c r="G24" s="19" t="s">
        <v>119</v>
      </c>
      <c r="H24" s="7" t="s">
        <v>87</v>
      </c>
    </row>
    <row r="25" customFormat="false" ht="15" hidden="false" customHeight="false" outlineLevel="0" collapsed="false">
      <c r="A25" s="9" t="s">
        <v>125</v>
      </c>
      <c r="B25" s="19" t="s">
        <v>126</v>
      </c>
      <c r="C25" s="26" t="n">
        <v>0.25</v>
      </c>
      <c r="F25" s="7" t="s">
        <v>118</v>
      </c>
      <c r="G25" s="19" t="s">
        <v>119</v>
      </c>
      <c r="H25" s="7" t="s">
        <v>87</v>
      </c>
    </row>
    <row r="26" customFormat="false" ht="15" hidden="false" customHeight="false" outlineLevel="0" collapsed="false">
      <c r="A26" s="9" t="s">
        <v>127</v>
      </c>
      <c r="B26" s="19" t="s">
        <v>128</v>
      </c>
      <c r="C26" s="26" t="n">
        <v>0.2</v>
      </c>
      <c r="F26" s="7" t="s">
        <v>129</v>
      </c>
      <c r="G26" s="19" t="s">
        <v>119</v>
      </c>
      <c r="H26" s="7" t="s">
        <v>87</v>
      </c>
    </row>
    <row r="27" customFormat="false" ht="15" hidden="false" customHeight="false" outlineLevel="0" collapsed="false">
      <c r="A27" s="9" t="s">
        <v>130</v>
      </c>
      <c r="B27" s="19" t="s">
        <v>131</v>
      </c>
      <c r="C27" s="23" t="n">
        <v>0.15</v>
      </c>
      <c r="F27" s="7" t="s">
        <v>85</v>
      </c>
      <c r="G27" s="19" t="s">
        <v>132</v>
      </c>
      <c r="H27" s="7" t="s">
        <v>87</v>
      </c>
    </row>
    <row r="28" customFormat="false" ht="15" hidden="false" customHeight="false" outlineLevel="0" collapsed="false">
      <c r="A28" s="9" t="s">
        <v>133</v>
      </c>
      <c r="B28" s="19" t="s">
        <v>134</v>
      </c>
      <c r="C28" s="23" t="n">
        <v>0.1</v>
      </c>
      <c r="F28" s="7" t="s">
        <v>135</v>
      </c>
      <c r="G28" s="19" t="s">
        <v>136</v>
      </c>
      <c r="H28" s="7" t="s">
        <v>78</v>
      </c>
    </row>
    <row r="29" customFormat="false" ht="15" hidden="false" customHeight="false" outlineLevel="0" collapsed="false">
      <c r="A29" s="9" t="s">
        <v>137</v>
      </c>
      <c r="B29" s="19" t="s">
        <v>138</v>
      </c>
      <c r="C29" s="23" t="n">
        <v>0.6</v>
      </c>
      <c r="F29" s="7" t="s">
        <v>139</v>
      </c>
      <c r="G29" s="19" t="s">
        <v>140</v>
      </c>
      <c r="H29" s="7" t="s">
        <v>87</v>
      </c>
    </row>
    <row r="30" customFormat="false" ht="15" hidden="false" customHeight="false" outlineLevel="0" collapsed="false">
      <c r="A30" s="9" t="s">
        <v>141</v>
      </c>
      <c r="B30" s="19" t="s">
        <v>142</v>
      </c>
      <c r="C30" s="26" t="n">
        <v>1</v>
      </c>
      <c r="F30" s="7" t="s">
        <v>143</v>
      </c>
      <c r="G30" s="19" t="s">
        <v>144</v>
      </c>
      <c r="H30" s="7" t="s">
        <v>87</v>
      </c>
    </row>
    <row r="31" customFormat="false" ht="15" hidden="false" customHeight="false" outlineLevel="0" collapsed="false">
      <c r="A31" s="9" t="s">
        <v>145</v>
      </c>
      <c r="B31" s="19" t="s">
        <v>146</v>
      </c>
      <c r="C31" s="26" t="n">
        <v>0.07</v>
      </c>
      <c r="F31" s="7" t="s">
        <v>147</v>
      </c>
      <c r="G31" s="19" t="s">
        <v>119</v>
      </c>
      <c r="H31" s="7" t="s">
        <v>87</v>
      </c>
    </row>
    <row r="32" customFormat="false" ht="15" hidden="false" customHeight="false" outlineLevel="0" collapsed="false">
      <c r="A32" s="9" t="s">
        <v>148</v>
      </c>
      <c r="B32" s="19" t="s">
        <v>149</v>
      </c>
      <c r="C32" s="27" t="n">
        <v>0.012</v>
      </c>
      <c r="F32" s="7" t="s">
        <v>147</v>
      </c>
      <c r="G32" s="19" t="s">
        <v>150</v>
      </c>
      <c r="H32" s="7" t="s">
        <v>151</v>
      </c>
    </row>
    <row r="33" customFormat="false" ht="15" hidden="false" customHeight="false" outlineLevel="0" collapsed="false">
      <c r="A33" s="9" t="s">
        <v>152</v>
      </c>
      <c r="B33" s="19" t="s">
        <v>153</v>
      </c>
      <c r="C33" s="22" t="n">
        <v>82</v>
      </c>
      <c r="F33" s="7" t="s">
        <v>154</v>
      </c>
      <c r="G33" s="19" t="s">
        <v>155</v>
      </c>
      <c r="H33" s="7" t="s">
        <v>87</v>
      </c>
    </row>
    <row r="34" customFormat="false" ht="15" hidden="false" customHeight="false" outlineLevel="0" collapsed="false">
      <c r="A34" s="9" t="s">
        <v>156</v>
      </c>
      <c r="B34" s="19" t="s">
        <v>157</v>
      </c>
      <c r="C34" s="22" t="n">
        <v>32</v>
      </c>
      <c r="F34" s="7" t="s">
        <v>154</v>
      </c>
      <c r="G34" s="19" t="s">
        <v>158</v>
      </c>
      <c r="H34" s="7" t="s">
        <v>73</v>
      </c>
    </row>
    <row r="35" customFormat="false" ht="15" hidden="false" customHeight="false" outlineLevel="0" collapsed="false">
      <c r="A35" s="9" t="s">
        <v>159</v>
      </c>
      <c r="B35" s="19" t="s">
        <v>160</v>
      </c>
      <c r="C35" s="28" t="n">
        <v>0.55</v>
      </c>
      <c r="F35" s="7" t="s">
        <v>139</v>
      </c>
      <c r="G35" s="19" t="s">
        <v>161</v>
      </c>
      <c r="H35" s="7" t="s">
        <v>73</v>
      </c>
    </row>
    <row r="36" customFormat="false" ht="15" hidden="false" customHeight="false" outlineLevel="0" collapsed="false">
      <c r="A36" s="9" t="s">
        <v>162</v>
      </c>
      <c r="B36" s="19" t="s">
        <v>163</v>
      </c>
      <c r="C36" s="26" t="n">
        <v>8.5</v>
      </c>
      <c r="F36" s="7" t="s">
        <v>143</v>
      </c>
      <c r="G36" s="19" t="s">
        <v>164</v>
      </c>
      <c r="H36" s="7" t="s">
        <v>151</v>
      </c>
    </row>
    <row r="37" customFormat="false" ht="15" hidden="false" customHeight="false" outlineLevel="0" collapsed="false">
      <c r="A37" s="9" t="s">
        <v>165</v>
      </c>
      <c r="B37" s="19" t="s">
        <v>166</v>
      </c>
      <c r="C37" s="26" t="n">
        <v>3.24</v>
      </c>
      <c r="F37" s="7" t="s">
        <v>143</v>
      </c>
      <c r="G37" s="19" t="s">
        <v>167</v>
      </c>
      <c r="H37" s="7" t="s">
        <v>168</v>
      </c>
    </row>
    <row r="38" customFormat="false" ht="23.85" hidden="false" customHeight="false" outlineLevel="0" collapsed="false">
      <c r="A38" s="9" t="s">
        <v>169</v>
      </c>
      <c r="B38" s="19" t="s">
        <v>170</v>
      </c>
      <c r="C38" s="23" t="n">
        <v>0.1</v>
      </c>
      <c r="F38" s="7" t="s">
        <v>85</v>
      </c>
      <c r="G38" s="19" t="s">
        <v>171</v>
      </c>
      <c r="H38" s="7" t="s">
        <v>87</v>
      </c>
    </row>
    <row r="39" customFormat="false" ht="15" hidden="false" customHeight="false" outlineLevel="0" collapsed="false">
      <c r="A39" s="9" t="s">
        <v>172</v>
      </c>
      <c r="B39" s="19" t="s">
        <v>173</v>
      </c>
      <c r="C39" s="26" t="n">
        <v>0.5</v>
      </c>
      <c r="F39" s="7" t="s">
        <v>118</v>
      </c>
      <c r="G39" s="19" t="s">
        <v>119</v>
      </c>
      <c r="H39" s="7" t="s">
        <v>87</v>
      </c>
    </row>
    <row r="40" customFormat="false" ht="15" hidden="false" customHeight="false" outlineLevel="0" collapsed="false">
      <c r="A40" s="9" t="s">
        <v>174</v>
      </c>
      <c r="B40" s="19" t="s">
        <v>175</v>
      </c>
      <c r="C40" s="23" t="n">
        <v>0.55</v>
      </c>
      <c r="F40" s="7" t="s">
        <v>85</v>
      </c>
      <c r="G40" s="19" t="s">
        <v>176</v>
      </c>
      <c r="H40" s="7" t="s">
        <v>87</v>
      </c>
    </row>
    <row r="41" customFormat="false" ht="15" hidden="false" customHeight="false" outlineLevel="0" collapsed="false">
      <c r="A41" s="9" t="s">
        <v>177</v>
      </c>
      <c r="B41" s="19" t="s">
        <v>178</v>
      </c>
      <c r="C41" s="26" t="n">
        <v>0.3</v>
      </c>
      <c r="F41" s="7" t="s">
        <v>129</v>
      </c>
      <c r="G41" s="19" t="s">
        <v>119</v>
      </c>
      <c r="H41" s="7" t="s">
        <v>87</v>
      </c>
    </row>
    <row r="42" customFormat="false" ht="15" hidden="false" customHeight="false" outlineLevel="0" collapsed="false">
      <c r="A42" s="9" t="s">
        <v>179</v>
      </c>
      <c r="B42" s="19" t="s">
        <v>180</v>
      </c>
      <c r="C42" s="23" t="n">
        <v>0.15</v>
      </c>
      <c r="F42" s="7" t="s">
        <v>85</v>
      </c>
      <c r="G42" s="19" t="s">
        <v>181</v>
      </c>
      <c r="H42" s="7" t="s">
        <v>87</v>
      </c>
    </row>
    <row r="43" customFormat="false" ht="15" hidden="false" customHeight="false" outlineLevel="0" collapsed="false">
      <c r="A43" s="9" t="s">
        <v>182</v>
      </c>
      <c r="B43" s="19" t="s">
        <v>183</v>
      </c>
      <c r="C43" s="26" t="n">
        <v>3.5</v>
      </c>
      <c r="F43" s="7" t="s">
        <v>184</v>
      </c>
      <c r="G43" s="19" t="s">
        <v>185</v>
      </c>
      <c r="H43" s="7" t="s">
        <v>151</v>
      </c>
    </row>
    <row r="44" customFormat="false" ht="15" hidden="false" customHeight="false" outlineLevel="0" collapsed="false">
      <c r="A44" s="9" t="s">
        <v>186</v>
      </c>
      <c r="B44" s="19" t="s">
        <v>187</v>
      </c>
      <c r="C44" s="23" t="n">
        <v>0.15</v>
      </c>
      <c r="F44" s="7" t="s">
        <v>188</v>
      </c>
      <c r="G44" s="19" t="s">
        <v>189</v>
      </c>
      <c r="H44" s="7" t="s">
        <v>87</v>
      </c>
    </row>
    <row r="45" customFormat="false" ht="15" hidden="false" customHeight="false" outlineLevel="0" collapsed="false">
      <c r="A45" s="9" t="s">
        <v>190</v>
      </c>
      <c r="B45" s="19" t="s">
        <v>191</v>
      </c>
      <c r="C45" s="23" t="n">
        <v>0.03</v>
      </c>
      <c r="F45" s="7" t="s">
        <v>188</v>
      </c>
      <c r="G45" s="19" t="s">
        <v>192</v>
      </c>
      <c r="H45" s="7" t="s">
        <v>87</v>
      </c>
    </row>
    <row r="46" customFormat="false" ht="15" hidden="false" customHeight="false" outlineLevel="0" collapsed="false">
      <c r="A46" s="9" t="s">
        <v>193</v>
      </c>
      <c r="B46" s="19" t="s">
        <v>194</v>
      </c>
      <c r="C46" s="23" t="n">
        <v>0.5</v>
      </c>
      <c r="F46" s="7" t="s">
        <v>195</v>
      </c>
      <c r="G46" s="19" t="s">
        <v>196</v>
      </c>
      <c r="H46" s="7" t="s">
        <v>73</v>
      </c>
    </row>
    <row r="47" customFormat="false" ht="23.85" hidden="false" customHeight="false" outlineLevel="0" collapsed="false">
      <c r="A47" s="9" t="s">
        <v>197</v>
      </c>
      <c r="B47" s="19" t="s">
        <v>198</v>
      </c>
      <c r="C47" s="23" t="n">
        <v>0.15</v>
      </c>
      <c r="F47" s="7" t="s">
        <v>85</v>
      </c>
      <c r="G47" s="19" t="s">
        <v>199</v>
      </c>
      <c r="H47" s="7" t="s">
        <v>151</v>
      </c>
    </row>
    <row r="48" customFormat="false" ht="15" hidden="false" customHeight="false" outlineLevel="0" collapsed="false">
      <c r="A48" s="9" t="s">
        <v>200</v>
      </c>
      <c r="B48" s="19" t="s">
        <v>201</v>
      </c>
      <c r="C48" s="23" t="n">
        <v>0.05</v>
      </c>
      <c r="F48" s="7" t="s">
        <v>85</v>
      </c>
      <c r="G48" s="19" t="s">
        <v>202</v>
      </c>
      <c r="H48" s="7" t="s">
        <v>151</v>
      </c>
    </row>
    <row r="49" customFormat="false" ht="15" hidden="false" customHeight="false" outlineLevel="0" collapsed="false">
      <c r="A49" s="9" t="s">
        <v>203</v>
      </c>
      <c r="B49" s="19" t="s">
        <v>204</v>
      </c>
      <c r="C49" s="26" t="n">
        <v>12.5</v>
      </c>
      <c r="F49" s="7" t="s">
        <v>184</v>
      </c>
      <c r="G49" s="19" t="s">
        <v>205</v>
      </c>
      <c r="H49" s="7" t="s">
        <v>151</v>
      </c>
    </row>
    <row r="51" customFormat="false" ht="15" hidden="false" customHeight="false" outlineLevel="0" collapsed="false">
      <c r="A51" s="5" t="s">
        <v>206</v>
      </c>
      <c r="B51" s="6"/>
      <c r="C51" s="6"/>
      <c r="D51" s="6"/>
      <c r="E51" s="6"/>
      <c r="F51" s="6"/>
      <c r="G51" s="6"/>
      <c r="H51" s="6"/>
    </row>
    <row r="52" customFormat="false" ht="15" hidden="false" customHeight="false" outlineLevel="0" collapsed="false">
      <c r="A52" s="9" t="s">
        <v>207</v>
      </c>
      <c r="B52" s="19" t="s">
        <v>208</v>
      </c>
      <c r="C52" s="26" t="n">
        <v>12.99</v>
      </c>
      <c r="F52" s="7" t="s">
        <v>101</v>
      </c>
      <c r="G52" s="19" t="s">
        <v>209</v>
      </c>
      <c r="H52" s="7" t="s">
        <v>73</v>
      </c>
    </row>
    <row r="53" customFormat="false" ht="15" hidden="false" customHeight="false" outlineLevel="0" collapsed="false">
      <c r="A53" s="9" t="s">
        <v>210</v>
      </c>
      <c r="B53" s="19" t="s">
        <v>211</v>
      </c>
      <c r="C53" s="26" t="n">
        <v>1.8</v>
      </c>
      <c r="F53" s="7" t="s">
        <v>143</v>
      </c>
      <c r="G53" s="19" t="s">
        <v>212</v>
      </c>
      <c r="H53" s="7" t="s">
        <v>87</v>
      </c>
    </row>
    <row r="54" customFormat="false" ht="15" hidden="false" customHeight="false" outlineLevel="0" collapsed="false">
      <c r="A54" s="9" t="s">
        <v>213</v>
      </c>
      <c r="B54" s="19" t="s">
        <v>214</v>
      </c>
      <c r="C54" s="26" t="n">
        <v>4</v>
      </c>
      <c r="F54" s="7" t="s">
        <v>143</v>
      </c>
      <c r="G54" s="19" t="s">
        <v>119</v>
      </c>
      <c r="H54" s="7" t="s">
        <v>87</v>
      </c>
    </row>
    <row r="55" customFormat="false" ht="15" hidden="false" customHeight="false" outlineLevel="0" collapsed="false">
      <c r="A55" s="9" t="s">
        <v>215</v>
      </c>
      <c r="B55" s="7" t="s">
        <v>216</v>
      </c>
      <c r="C55" s="29" t="n">
        <f aca="false">C53+Assumptions!$C$9*(C54-C53)</f>
        <v>2.9</v>
      </c>
      <c r="F55" s="7" t="s">
        <v>143</v>
      </c>
      <c r="G55" s="19" t="s">
        <v>217</v>
      </c>
      <c r="H55" s="7" t="s">
        <v>218</v>
      </c>
    </row>
    <row r="56" customFormat="false" ht="15" hidden="false" customHeight="false" outlineLevel="0" collapsed="false">
      <c r="A56" s="9" t="s">
        <v>219</v>
      </c>
      <c r="B56" s="19" t="s">
        <v>220</v>
      </c>
      <c r="C56" s="23" t="n">
        <v>0.25</v>
      </c>
      <c r="F56" s="7" t="s">
        <v>221</v>
      </c>
      <c r="G56" s="19" t="s">
        <v>222</v>
      </c>
      <c r="H56" s="7" t="s">
        <v>168</v>
      </c>
    </row>
    <row r="57" customFormat="false" ht="15" hidden="false" customHeight="false" outlineLevel="0" collapsed="false">
      <c r="A57" s="9" t="s">
        <v>223</v>
      </c>
      <c r="B57" s="7" t="s">
        <v>224</v>
      </c>
      <c r="C57" s="29" t="n">
        <f aca="false">Assumptions!$C$55*(1+Assumptions!$C$56)</f>
        <v>3.625</v>
      </c>
      <c r="F57" s="7" t="s">
        <v>143</v>
      </c>
      <c r="G57" s="19" t="s">
        <v>225</v>
      </c>
      <c r="H57" s="7" t="s">
        <v>218</v>
      </c>
    </row>
    <row r="58" customFormat="false" ht="15" hidden="false" customHeight="false" outlineLevel="0" collapsed="false">
      <c r="A58" s="9" t="s">
        <v>226</v>
      </c>
      <c r="B58" s="19" t="s">
        <v>227</v>
      </c>
      <c r="C58" s="26" t="n">
        <v>3.5</v>
      </c>
      <c r="F58" s="7" t="s">
        <v>118</v>
      </c>
      <c r="G58" s="19" t="s">
        <v>228</v>
      </c>
      <c r="H58" s="7" t="s">
        <v>151</v>
      </c>
    </row>
    <row r="59" customFormat="false" ht="15" hidden="false" customHeight="false" outlineLevel="0" collapsed="false">
      <c r="A59" s="9" t="s">
        <v>229</v>
      </c>
      <c r="B59" s="19" t="s">
        <v>230</v>
      </c>
      <c r="C59" s="26" t="n">
        <v>1</v>
      </c>
      <c r="F59" s="7" t="s">
        <v>184</v>
      </c>
      <c r="G59" s="19" t="s">
        <v>185</v>
      </c>
      <c r="H59" s="7" t="s">
        <v>151</v>
      </c>
    </row>
    <row r="60" customFormat="false" ht="15" hidden="false" customHeight="false" outlineLevel="0" collapsed="false">
      <c r="A60" s="9" t="s">
        <v>231</v>
      </c>
      <c r="B60" s="19" t="s">
        <v>232</v>
      </c>
      <c r="C60" s="24" t="n">
        <v>100</v>
      </c>
      <c r="F60" s="7" t="s">
        <v>233</v>
      </c>
      <c r="G60" s="19" t="s">
        <v>185</v>
      </c>
      <c r="H60" s="7" t="s">
        <v>151</v>
      </c>
    </row>
    <row r="61" customFormat="false" ht="15" hidden="false" customHeight="false" outlineLevel="0" collapsed="false">
      <c r="A61" s="9" t="s">
        <v>234</v>
      </c>
      <c r="B61" s="19" t="s">
        <v>235</v>
      </c>
      <c r="C61" s="26" t="n">
        <v>39.99</v>
      </c>
      <c r="F61" s="7" t="s">
        <v>233</v>
      </c>
      <c r="G61" s="19" t="s">
        <v>236</v>
      </c>
      <c r="H61" s="7" t="s">
        <v>87</v>
      </c>
    </row>
    <row r="62" customFormat="false" ht="15" hidden="false" customHeight="false" outlineLevel="0" collapsed="false">
      <c r="A62" s="9" t="s">
        <v>237</v>
      </c>
      <c r="B62" s="19" t="s">
        <v>238</v>
      </c>
      <c r="C62" s="30" t="n">
        <v>1000</v>
      </c>
      <c r="F62" s="7" t="s">
        <v>239</v>
      </c>
      <c r="G62" s="19" t="s">
        <v>240</v>
      </c>
      <c r="H62" s="7" t="s">
        <v>78</v>
      </c>
    </row>
    <row r="63" customFormat="false" ht="15" hidden="false" customHeight="false" outlineLevel="0" collapsed="false">
      <c r="A63" s="9" t="s">
        <v>241</v>
      </c>
      <c r="B63" s="19" t="s">
        <v>242</v>
      </c>
      <c r="C63" s="23" t="n">
        <v>0.4</v>
      </c>
      <c r="F63" s="7" t="s">
        <v>96</v>
      </c>
      <c r="G63" s="19" t="s">
        <v>243</v>
      </c>
      <c r="H63" s="7" t="s">
        <v>98</v>
      </c>
    </row>
    <row r="64" customFormat="false" ht="15" hidden="false" customHeight="false" outlineLevel="0" collapsed="false">
      <c r="A64" s="9" t="s">
        <v>244</v>
      </c>
      <c r="B64" s="19" t="s">
        <v>245</v>
      </c>
      <c r="C64" s="22" t="n">
        <v>3</v>
      </c>
      <c r="F64" s="7" t="s">
        <v>81</v>
      </c>
      <c r="G64" s="19" t="s">
        <v>246</v>
      </c>
      <c r="H64" s="7" t="s">
        <v>73</v>
      </c>
    </row>
    <row r="65" customFormat="false" ht="15" hidden="false" customHeight="false" outlineLevel="0" collapsed="false">
      <c r="A65" s="9" t="s">
        <v>247</v>
      </c>
      <c r="B65" s="19" t="s">
        <v>248</v>
      </c>
      <c r="C65" s="23" t="n">
        <v>0.15</v>
      </c>
      <c r="F65" s="7" t="s">
        <v>96</v>
      </c>
      <c r="G65" s="19" t="s">
        <v>249</v>
      </c>
      <c r="H65" s="7" t="s">
        <v>73</v>
      </c>
    </row>
    <row r="66" customFormat="false" ht="23.85" hidden="false" customHeight="false" outlineLevel="0" collapsed="false">
      <c r="A66" s="9" t="s">
        <v>250</v>
      </c>
      <c r="B66" s="19" t="s">
        <v>251</v>
      </c>
      <c r="C66" s="24" t="n">
        <v>179</v>
      </c>
      <c r="F66" s="7" t="s">
        <v>101</v>
      </c>
      <c r="G66" s="19" t="s">
        <v>252</v>
      </c>
      <c r="H66" s="7" t="s">
        <v>73</v>
      </c>
    </row>
    <row r="67" customFormat="false" ht="15" hidden="false" customHeight="false" outlineLevel="0" collapsed="false">
      <c r="A67" s="9" t="s">
        <v>253</v>
      </c>
      <c r="B67" s="19" t="s">
        <v>254</v>
      </c>
      <c r="C67" s="22" t="n">
        <v>3</v>
      </c>
      <c r="F67" s="7" t="s">
        <v>81</v>
      </c>
      <c r="G67" s="19" t="s">
        <v>255</v>
      </c>
      <c r="H67" s="7" t="s">
        <v>78</v>
      </c>
    </row>
    <row r="69" customFormat="false" ht="15" hidden="false" customHeight="false" outlineLevel="0" collapsed="false">
      <c r="A69" s="5" t="s">
        <v>256</v>
      </c>
      <c r="B69" s="6"/>
      <c r="C69" s="6"/>
      <c r="D69" s="6"/>
      <c r="E69" s="6"/>
      <c r="F69" s="6"/>
      <c r="G69" s="6"/>
      <c r="H69" s="6"/>
    </row>
    <row r="70" customFormat="false" ht="15" hidden="false" customHeight="false" outlineLevel="0" collapsed="false">
      <c r="A70" s="9" t="s">
        <v>257</v>
      </c>
      <c r="B70" s="19" t="s">
        <v>258</v>
      </c>
      <c r="C70" s="22" t="n">
        <v>0</v>
      </c>
      <c r="F70" s="7" t="s">
        <v>81</v>
      </c>
      <c r="G70" s="19" t="s">
        <v>259</v>
      </c>
      <c r="H70" s="7" t="s">
        <v>73</v>
      </c>
    </row>
    <row r="71" customFormat="false" ht="15" hidden="false" customHeight="false" outlineLevel="0" collapsed="false">
      <c r="A71" s="9" t="s">
        <v>260</v>
      </c>
      <c r="B71" s="19" t="s">
        <v>261</v>
      </c>
      <c r="C71" s="22" t="n">
        <v>0</v>
      </c>
      <c r="F71" s="7" t="s">
        <v>81</v>
      </c>
      <c r="G71" s="19" t="s">
        <v>262</v>
      </c>
      <c r="H71" s="7" t="s">
        <v>73</v>
      </c>
    </row>
    <row r="72" customFormat="false" ht="15" hidden="false" customHeight="false" outlineLevel="0" collapsed="false">
      <c r="A72" s="9" t="s">
        <v>263</v>
      </c>
      <c r="B72" s="19" t="s">
        <v>264</v>
      </c>
      <c r="C72" s="22" t="n">
        <v>2</v>
      </c>
      <c r="F72" s="7" t="s">
        <v>81</v>
      </c>
      <c r="G72" s="19" t="s">
        <v>265</v>
      </c>
      <c r="H72" s="7" t="s">
        <v>73</v>
      </c>
    </row>
    <row r="73" customFormat="false" ht="15" hidden="false" customHeight="false" outlineLevel="0" collapsed="false">
      <c r="A73" s="9" t="s">
        <v>266</v>
      </c>
      <c r="B73" s="19" t="s">
        <v>267</v>
      </c>
      <c r="C73" s="22" t="n">
        <v>3</v>
      </c>
      <c r="F73" s="7" t="s">
        <v>81</v>
      </c>
      <c r="G73" s="19" t="s">
        <v>268</v>
      </c>
      <c r="H73" s="7" t="s">
        <v>73</v>
      </c>
    </row>
    <row r="74" customFormat="false" ht="15" hidden="false" customHeight="false" outlineLevel="0" collapsed="false">
      <c r="A74" s="9" t="s">
        <v>269</v>
      </c>
      <c r="B74" s="19" t="s">
        <v>270</v>
      </c>
      <c r="C74" s="22" t="n">
        <v>0</v>
      </c>
      <c r="F74" s="7" t="s">
        <v>81</v>
      </c>
      <c r="G74" s="19" t="s">
        <v>271</v>
      </c>
      <c r="H74" s="7" t="s">
        <v>73</v>
      </c>
    </row>
    <row r="75" customFormat="false" ht="15" hidden="false" customHeight="false" outlineLevel="0" collapsed="false">
      <c r="A75" s="9" t="s">
        <v>272</v>
      </c>
      <c r="B75" s="19" t="s">
        <v>273</v>
      </c>
      <c r="C75" s="22" t="n">
        <v>0</v>
      </c>
      <c r="F75" s="7" t="s">
        <v>81</v>
      </c>
      <c r="G75" s="19" t="s">
        <v>274</v>
      </c>
      <c r="H75" s="7" t="s">
        <v>73</v>
      </c>
    </row>
    <row r="76" customFormat="false" ht="15" hidden="false" customHeight="false" outlineLevel="0" collapsed="false">
      <c r="A76" s="9" t="s">
        <v>275</v>
      </c>
      <c r="B76" s="19" t="s">
        <v>276</v>
      </c>
      <c r="C76" s="22" t="n">
        <v>0</v>
      </c>
      <c r="F76" s="7" t="s">
        <v>81</v>
      </c>
      <c r="G76" s="19" t="s">
        <v>277</v>
      </c>
      <c r="H76" s="7" t="s">
        <v>73</v>
      </c>
    </row>
    <row r="77" customFormat="false" ht="15" hidden="false" customHeight="false" outlineLevel="0" collapsed="false">
      <c r="A77" s="9" t="s">
        <v>278</v>
      </c>
      <c r="B77" s="19" t="s">
        <v>279</v>
      </c>
      <c r="C77" s="22" t="n">
        <v>1</v>
      </c>
      <c r="F77" s="7" t="s">
        <v>81</v>
      </c>
      <c r="G77" s="19" t="s">
        <v>280</v>
      </c>
      <c r="H77" s="7" t="s">
        <v>73</v>
      </c>
    </row>
    <row r="78" customFormat="false" ht="15" hidden="false" customHeight="false" outlineLevel="0" collapsed="false">
      <c r="A78" s="9" t="s">
        <v>281</v>
      </c>
      <c r="B78" s="19" t="s">
        <v>282</v>
      </c>
      <c r="C78" s="22" t="n">
        <v>1</v>
      </c>
      <c r="F78" s="7" t="s">
        <v>81</v>
      </c>
      <c r="G78" s="19" t="s">
        <v>283</v>
      </c>
      <c r="H78" s="7" t="s">
        <v>78</v>
      </c>
    </row>
    <row r="80" customFormat="false" ht="15" hidden="false" customHeight="false" outlineLevel="0" collapsed="false">
      <c r="A80" s="5" t="s">
        <v>284</v>
      </c>
      <c r="B80" s="6"/>
      <c r="C80" s="6"/>
      <c r="D80" s="6"/>
      <c r="E80" s="6"/>
      <c r="F80" s="6"/>
      <c r="G80" s="6"/>
      <c r="H80" s="6"/>
    </row>
    <row r="81" customFormat="false" ht="23.85" hidden="false" customHeight="false" outlineLevel="0" collapsed="false">
      <c r="A81" s="3" t="s">
        <v>62</v>
      </c>
      <c r="B81" s="4" t="s">
        <v>285</v>
      </c>
      <c r="C81" s="4" t="s">
        <v>286</v>
      </c>
      <c r="D81" s="4" t="s">
        <v>287</v>
      </c>
      <c r="E81" s="4"/>
      <c r="F81" s="4" t="s">
        <v>65</v>
      </c>
      <c r="G81" s="4" t="s">
        <v>66</v>
      </c>
      <c r="H81" s="4" t="s">
        <v>67</v>
      </c>
    </row>
    <row r="82" customFormat="false" ht="35.05" hidden="false" customHeight="false" outlineLevel="0" collapsed="false">
      <c r="A82" s="9" t="s">
        <v>288</v>
      </c>
      <c r="B82" s="7" t="s">
        <v>289</v>
      </c>
      <c r="C82" s="31" t="n">
        <v>1.25</v>
      </c>
      <c r="D82" s="31" t="n">
        <v>1.1</v>
      </c>
      <c r="F82" s="7" t="s">
        <v>290</v>
      </c>
      <c r="G82" s="19" t="s">
        <v>291</v>
      </c>
      <c r="H82" s="7" t="s">
        <v>78</v>
      </c>
    </row>
    <row r="83" customFormat="false" ht="15" hidden="false" customHeight="false" outlineLevel="0" collapsed="false">
      <c r="A83" s="9" t="s">
        <v>292</v>
      </c>
      <c r="B83" s="7" t="s">
        <v>293</v>
      </c>
      <c r="C83" s="31" t="n">
        <v>0.9</v>
      </c>
      <c r="D83" s="31" t="n">
        <v>1</v>
      </c>
      <c r="F83" s="7" t="s">
        <v>290</v>
      </c>
      <c r="H83" s="7" t="s">
        <v>78</v>
      </c>
    </row>
    <row r="84" customFormat="false" ht="15" hidden="false" customHeight="false" outlineLevel="0" collapsed="false">
      <c r="A84" s="9" t="s">
        <v>294</v>
      </c>
      <c r="B84" s="7" t="s">
        <v>295</v>
      </c>
      <c r="C84" s="31" t="n">
        <v>1</v>
      </c>
      <c r="D84" s="31" t="n">
        <v>1</v>
      </c>
      <c r="F84" s="7" t="s">
        <v>290</v>
      </c>
      <c r="H84" s="7" t="s">
        <v>78</v>
      </c>
    </row>
    <row r="85" customFormat="false" ht="15" hidden="false" customHeight="false" outlineLevel="0" collapsed="false">
      <c r="A85" s="9" t="s">
        <v>296</v>
      </c>
      <c r="B85" s="7" t="s">
        <v>297</v>
      </c>
      <c r="C85" s="31" t="n">
        <v>1.05</v>
      </c>
      <c r="D85" s="31" t="n">
        <v>0.9</v>
      </c>
      <c r="F85" s="7" t="s">
        <v>290</v>
      </c>
      <c r="H85" s="7" t="s">
        <v>78</v>
      </c>
    </row>
    <row r="86" customFormat="false" ht="15" hidden="false" customHeight="false" outlineLevel="0" collapsed="false">
      <c r="A86" s="9" t="s">
        <v>298</v>
      </c>
      <c r="B86" s="7" t="s">
        <v>299</v>
      </c>
      <c r="C86" s="31" t="n">
        <v>0.95</v>
      </c>
      <c r="D86" s="31" t="n">
        <v>0.7</v>
      </c>
      <c r="F86" s="7" t="s">
        <v>290</v>
      </c>
      <c r="H86" s="7" t="s">
        <v>78</v>
      </c>
    </row>
    <row r="87" customFormat="false" ht="15" hidden="false" customHeight="false" outlineLevel="0" collapsed="false">
      <c r="A87" s="9" t="s">
        <v>300</v>
      </c>
      <c r="B87" s="7" t="s">
        <v>301</v>
      </c>
      <c r="C87" s="31" t="n">
        <v>1</v>
      </c>
      <c r="D87" s="31" t="n">
        <v>0.4</v>
      </c>
      <c r="F87" s="7" t="s">
        <v>290</v>
      </c>
      <c r="H87" s="7" t="s">
        <v>78</v>
      </c>
    </row>
    <row r="88" customFormat="false" ht="15" hidden="false" customHeight="false" outlineLevel="0" collapsed="false">
      <c r="A88" s="9" t="s">
        <v>302</v>
      </c>
      <c r="B88" s="7" t="s">
        <v>303</v>
      </c>
      <c r="C88" s="31" t="n">
        <v>0.95</v>
      </c>
      <c r="D88" s="31" t="n">
        <v>0.6</v>
      </c>
      <c r="F88" s="7" t="s">
        <v>290</v>
      </c>
      <c r="H88" s="7" t="s">
        <v>78</v>
      </c>
    </row>
    <row r="89" customFormat="false" ht="15" hidden="false" customHeight="false" outlineLevel="0" collapsed="false">
      <c r="A89" s="9" t="s">
        <v>304</v>
      </c>
      <c r="B89" s="7" t="s">
        <v>305</v>
      </c>
      <c r="C89" s="31" t="n">
        <v>0.85</v>
      </c>
      <c r="D89" s="31" t="n">
        <v>1.3</v>
      </c>
      <c r="F89" s="7" t="s">
        <v>290</v>
      </c>
      <c r="H89" s="7" t="s">
        <v>78</v>
      </c>
    </row>
    <row r="90" customFormat="false" ht="15" hidden="false" customHeight="false" outlineLevel="0" collapsed="false">
      <c r="A90" s="9" t="s">
        <v>306</v>
      </c>
      <c r="B90" s="7" t="s">
        <v>307</v>
      </c>
      <c r="C90" s="31" t="n">
        <v>0.85</v>
      </c>
      <c r="D90" s="31" t="n">
        <v>1.4</v>
      </c>
      <c r="F90" s="7" t="s">
        <v>290</v>
      </c>
      <c r="H90" s="7" t="s">
        <v>78</v>
      </c>
    </row>
    <row r="91" customFormat="false" ht="15" hidden="false" customHeight="false" outlineLevel="0" collapsed="false">
      <c r="A91" s="9" t="s">
        <v>308</v>
      </c>
      <c r="B91" s="7" t="s">
        <v>309</v>
      </c>
      <c r="C91" s="31" t="n">
        <v>0.95</v>
      </c>
      <c r="D91" s="31" t="n">
        <v>1.2</v>
      </c>
      <c r="F91" s="7" t="s">
        <v>290</v>
      </c>
      <c r="H91" s="7" t="s">
        <v>78</v>
      </c>
    </row>
    <row r="92" customFormat="false" ht="15" hidden="false" customHeight="false" outlineLevel="0" collapsed="false">
      <c r="A92" s="9" t="s">
        <v>310</v>
      </c>
      <c r="B92" s="7" t="s">
        <v>311</v>
      </c>
      <c r="C92" s="31" t="n">
        <v>1.3</v>
      </c>
      <c r="D92" s="31" t="n">
        <v>1</v>
      </c>
      <c r="F92" s="7" t="s">
        <v>290</v>
      </c>
      <c r="H92" s="7" t="s">
        <v>78</v>
      </c>
    </row>
    <row r="93" customFormat="false" ht="15" hidden="false" customHeight="false" outlineLevel="0" collapsed="false">
      <c r="A93" s="9" t="s">
        <v>312</v>
      </c>
      <c r="B93" s="7" t="s">
        <v>313</v>
      </c>
      <c r="C93" s="31" t="n">
        <v>1.35</v>
      </c>
      <c r="D93" s="31" t="n">
        <v>0.7</v>
      </c>
      <c r="F93" s="7" t="s">
        <v>290</v>
      </c>
      <c r="H93" s="7" t="s">
        <v>78</v>
      </c>
    </row>
    <row r="95" customFormat="false" ht="15" hidden="false" customHeight="false" outlineLevel="0" collapsed="false">
      <c r="A95" s="5" t="s">
        <v>314</v>
      </c>
      <c r="B95" s="6"/>
      <c r="C95" s="6"/>
      <c r="D95" s="6"/>
      <c r="E95" s="6"/>
      <c r="F95" s="6"/>
      <c r="G95" s="6"/>
      <c r="H95" s="6"/>
    </row>
    <row r="96" customFormat="false" ht="15" hidden="false" customHeight="false" outlineLevel="0" collapsed="false">
      <c r="A96" s="3" t="s">
        <v>62</v>
      </c>
      <c r="B96" s="4" t="s">
        <v>315</v>
      </c>
      <c r="C96" s="4" t="s">
        <v>3</v>
      </c>
      <c r="D96" s="4" t="s">
        <v>4</v>
      </c>
      <c r="E96" s="4" t="s">
        <v>5</v>
      </c>
      <c r="F96" s="4" t="s">
        <v>65</v>
      </c>
      <c r="G96" s="4" t="s">
        <v>66</v>
      </c>
      <c r="H96" s="4" t="s">
        <v>67</v>
      </c>
    </row>
    <row r="97" customFormat="false" ht="15" hidden="false" customHeight="false" outlineLevel="0" collapsed="false">
      <c r="A97" s="32"/>
      <c r="B97" s="33" t="s">
        <v>316</v>
      </c>
      <c r="C97" s="32"/>
      <c r="D97" s="32"/>
      <c r="E97" s="32"/>
      <c r="F97" s="32"/>
      <c r="G97" s="32"/>
      <c r="H97" s="32"/>
    </row>
    <row r="98" customFormat="false" ht="15" hidden="false" customHeight="false" outlineLevel="0" collapsed="false">
      <c r="A98" s="9" t="s">
        <v>317</v>
      </c>
      <c r="B98" s="19" t="s">
        <v>318</v>
      </c>
      <c r="C98" s="34" t="n">
        <v>1</v>
      </c>
      <c r="D98" s="34" t="n">
        <v>1</v>
      </c>
      <c r="E98" s="34" t="n">
        <v>1</v>
      </c>
      <c r="F98" s="7" t="s">
        <v>319</v>
      </c>
      <c r="G98" s="19"/>
      <c r="H98" s="7" t="s">
        <v>78</v>
      </c>
    </row>
    <row r="99" customFormat="false" ht="15" hidden="false" customHeight="false" outlineLevel="0" collapsed="false">
      <c r="A99" s="9" t="s">
        <v>320</v>
      </c>
      <c r="B99" s="19" t="s">
        <v>321</v>
      </c>
      <c r="C99" s="22" t="n">
        <v>1</v>
      </c>
      <c r="D99" s="22" t="n">
        <v>1</v>
      </c>
      <c r="E99" s="22" t="n">
        <v>1</v>
      </c>
      <c r="F99" s="7" t="s">
        <v>322</v>
      </c>
      <c r="G99" s="19" t="s">
        <v>323</v>
      </c>
      <c r="H99" s="7" t="s">
        <v>324</v>
      </c>
    </row>
    <row r="100" customFormat="false" ht="15" hidden="false" customHeight="false" outlineLevel="0" collapsed="false">
      <c r="A100" s="9" t="s">
        <v>325</v>
      </c>
      <c r="B100" s="19" t="s">
        <v>326</v>
      </c>
      <c r="C100" s="35" t="n">
        <v>300</v>
      </c>
      <c r="D100" s="35" t="n">
        <v>600</v>
      </c>
      <c r="E100" s="35" t="n">
        <v>1000</v>
      </c>
      <c r="F100" s="7" t="s">
        <v>327</v>
      </c>
      <c r="G100" s="19" t="s">
        <v>328</v>
      </c>
      <c r="H100" s="7" t="s">
        <v>78</v>
      </c>
    </row>
    <row r="101" customFormat="false" ht="15" hidden="false" customHeight="false" outlineLevel="0" collapsed="false">
      <c r="A101" s="9" t="s">
        <v>329</v>
      </c>
      <c r="B101" s="19" t="s">
        <v>330</v>
      </c>
      <c r="C101" s="23" t="n">
        <v>0.08</v>
      </c>
      <c r="D101" s="23" t="n">
        <v>0.12</v>
      </c>
      <c r="E101" s="23" t="n">
        <v>0.12</v>
      </c>
      <c r="F101" s="7" t="s">
        <v>331</v>
      </c>
      <c r="G101" s="19"/>
      <c r="H101" s="7" t="s">
        <v>78</v>
      </c>
    </row>
    <row r="102" customFormat="false" ht="15" hidden="false" customHeight="false" outlineLevel="0" collapsed="false">
      <c r="A102" s="9" t="s">
        <v>332</v>
      </c>
      <c r="B102" s="19" t="s">
        <v>333</v>
      </c>
      <c r="C102" s="23" t="n">
        <v>0.04</v>
      </c>
      <c r="D102" s="23" t="n">
        <v>0.06</v>
      </c>
      <c r="E102" s="23" t="n">
        <v>0.07</v>
      </c>
      <c r="F102" s="7" t="s">
        <v>331</v>
      </c>
      <c r="G102" s="19"/>
      <c r="H102" s="7" t="s">
        <v>78</v>
      </c>
    </row>
    <row r="103" customFormat="false" ht="15" hidden="false" customHeight="false" outlineLevel="0" collapsed="false">
      <c r="A103" s="9" t="s">
        <v>334</v>
      </c>
      <c r="B103" s="19" t="s">
        <v>335</v>
      </c>
      <c r="C103" s="23" t="n">
        <v>0.02</v>
      </c>
      <c r="D103" s="23" t="n">
        <v>0.03</v>
      </c>
      <c r="E103" s="23" t="n">
        <v>0.04</v>
      </c>
      <c r="F103" s="7" t="s">
        <v>331</v>
      </c>
      <c r="G103" s="19"/>
      <c r="H103" s="7" t="s">
        <v>78</v>
      </c>
    </row>
    <row r="104" customFormat="false" ht="15" hidden="false" customHeight="false" outlineLevel="0" collapsed="false">
      <c r="A104" s="9" t="s">
        <v>336</v>
      </c>
      <c r="B104" s="19" t="s">
        <v>337</v>
      </c>
      <c r="C104" s="36" t="n">
        <v>0.01</v>
      </c>
      <c r="D104" s="36" t="n">
        <v>0.015</v>
      </c>
      <c r="E104" s="36" t="n">
        <v>0.02</v>
      </c>
      <c r="F104" s="7" t="s">
        <v>338</v>
      </c>
      <c r="G104" s="19" t="s">
        <v>339</v>
      </c>
      <c r="H104" s="7" t="s">
        <v>98</v>
      </c>
    </row>
    <row r="105" customFormat="false" ht="15" hidden="false" customHeight="false" outlineLevel="0" collapsed="false">
      <c r="A105" s="9" t="s">
        <v>340</v>
      </c>
      <c r="B105" s="19" t="s">
        <v>341</v>
      </c>
      <c r="C105" s="31" t="n">
        <v>1.15</v>
      </c>
      <c r="D105" s="31" t="n">
        <v>1.25</v>
      </c>
      <c r="E105" s="31" t="n">
        <v>1.35</v>
      </c>
      <c r="F105" s="7" t="s">
        <v>342</v>
      </c>
      <c r="G105" s="19"/>
      <c r="H105" s="7" t="s">
        <v>78</v>
      </c>
    </row>
    <row r="106" customFormat="false" ht="15" hidden="false" customHeight="false" outlineLevel="0" collapsed="false">
      <c r="A106" s="9" t="s">
        <v>343</v>
      </c>
      <c r="B106" s="19" t="s">
        <v>344</v>
      </c>
      <c r="C106" s="23" t="n">
        <v>0.15</v>
      </c>
      <c r="D106" s="23" t="n">
        <v>0.2</v>
      </c>
      <c r="E106" s="23" t="n">
        <v>0.25</v>
      </c>
      <c r="F106" s="7" t="s">
        <v>345</v>
      </c>
      <c r="G106" s="19" t="s">
        <v>346</v>
      </c>
      <c r="H106" s="7" t="s">
        <v>78</v>
      </c>
    </row>
    <row r="107" customFormat="false" ht="15" hidden="false" customHeight="false" outlineLevel="0" collapsed="false">
      <c r="A107" s="32"/>
      <c r="B107" s="33" t="s">
        <v>347</v>
      </c>
      <c r="C107" s="32"/>
      <c r="D107" s="32"/>
      <c r="E107" s="32"/>
      <c r="F107" s="32"/>
      <c r="G107" s="32"/>
      <c r="H107" s="32"/>
    </row>
    <row r="108" customFormat="false" ht="15" hidden="false" customHeight="false" outlineLevel="0" collapsed="false">
      <c r="A108" s="9" t="s">
        <v>348</v>
      </c>
      <c r="B108" s="19" t="s">
        <v>318</v>
      </c>
      <c r="C108" s="34" t="n">
        <v>1</v>
      </c>
      <c r="D108" s="34" t="n">
        <v>1</v>
      </c>
      <c r="E108" s="34" t="n">
        <v>1</v>
      </c>
      <c r="F108" s="7" t="s">
        <v>319</v>
      </c>
      <c r="G108" s="19"/>
      <c r="H108" s="7" t="s">
        <v>78</v>
      </c>
    </row>
    <row r="109" customFormat="false" ht="15" hidden="false" customHeight="false" outlineLevel="0" collapsed="false">
      <c r="A109" s="9" t="s">
        <v>349</v>
      </c>
      <c r="B109" s="19" t="s">
        <v>321</v>
      </c>
      <c r="C109" s="22" t="n">
        <v>1</v>
      </c>
      <c r="D109" s="22" t="n">
        <v>1</v>
      </c>
      <c r="E109" s="22" t="n">
        <v>1</v>
      </c>
      <c r="F109" s="7" t="s">
        <v>322</v>
      </c>
      <c r="G109" s="19" t="s">
        <v>350</v>
      </c>
      <c r="H109" s="7" t="s">
        <v>324</v>
      </c>
    </row>
    <row r="110" customFormat="false" ht="15" hidden="false" customHeight="false" outlineLevel="0" collapsed="false">
      <c r="A110" s="9" t="s">
        <v>351</v>
      </c>
      <c r="B110" s="19" t="s">
        <v>326</v>
      </c>
      <c r="C110" s="35" t="n">
        <v>400</v>
      </c>
      <c r="D110" s="35" t="n">
        <v>800</v>
      </c>
      <c r="E110" s="35" t="n">
        <v>1200</v>
      </c>
      <c r="F110" s="7" t="s">
        <v>327</v>
      </c>
      <c r="G110" s="19" t="s">
        <v>328</v>
      </c>
      <c r="H110" s="7" t="s">
        <v>78</v>
      </c>
    </row>
    <row r="111" customFormat="false" ht="15" hidden="false" customHeight="false" outlineLevel="0" collapsed="false">
      <c r="A111" s="9" t="s">
        <v>352</v>
      </c>
      <c r="B111" s="19" t="s">
        <v>330</v>
      </c>
      <c r="C111" s="23" t="n">
        <v>0.08</v>
      </c>
      <c r="D111" s="23" t="n">
        <v>0.12</v>
      </c>
      <c r="E111" s="23" t="n">
        <v>0.12</v>
      </c>
      <c r="F111" s="7" t="s">
        <v>331</v>
      </c>
      <c r="G111" s="19"/>
      <c r="H111" s="7" t="s">
        <v>78</v>
      </c>
    </row>
    <row r="112" customFormat="false" ht="15" hidden="false" customHeight="false" outlineLevel="0" collapsed="false">
      <c r="A112" s="9" t="s">
        <v>353</v>
      </c>
      <c r="B112" s="19" t="s">
        <v>333</v>
      </c>
      <c r="C112" s="23" t="n">
        <v>0.03</v>
      </c>
      <c r="D112" s="23" t="n">
        <v>0.05</v>
      </c>
      <c r="E112" s="23" t="n">
        <v>0.06</v>
      </c>
      <c r="F112" s="7" t="s">
        <v>331</v>
      </c>
      <c r="G112" s="19"/>
      <c r="H112" s="7" t="s">
        <v>78</v>
      </c>
    </row>
    <row r="113" customFormat="false" ht="15" hidden="false" customHeight="false" outlineLevel="0" collapsed="false">
      <c r="A113" s="9" t="s">
        <v>354</v>
      </c>
      <c r="B113" s="19" t="s">
        <v>335</v>
      </c>
      <c r="C113" s="23" t="n">
        <v>0.01</v>
      </c>
      <c r="D113" s="23" t="n">
        <v>0.02</v>
      </c>
      <c r="E113" s="23" t="n">
        <v>0.03</v>
      </c>
      <c r="F113" s="7" t="s">
        <v>331</v>
      </c>
      <c r="G113" s="19"/>
      <c r="H113" s="7" t="s">
        <v>78</v>
      </c>
    </row>
    <row r="114" customFormat="false" ht="15" hidden="false" customHeight="false" outlineLevel="0" collapsed="false">
      <c r="A114" s="9" t="s">
        <v>355</v>
      </c>
      <c r="B114" s="19" t="s">
        <v>337</v>
      </c>
      <c r="C114" s="36" t="n">
        <v>0.01</v>
      </c>
      <c r="D114" s="36" t="n">
        <v>0.02</v>
      </c>
      <c r="E114" s="36" t="n">
        <v>0.025</v>
      </c>
      <c r="F114" s="7" t="s">
        <v>338</v>
      </c>
      <c r="G114" s="19"/>
      <c r="H114" s="7" t="s">
        <v>78</v>
      </c>
    </row>
    <row r="115" customFormat="false" ht="15" hidden="false" customHeight="false" outlineLevel="0" collapsed="false">
      <c r="A115" s="9" t="s">
        <v>356</v>
      </c>
      <c r="B115" s="19" t="s">
        <v>341</v>
      </c>
      <c r="C115" s="31" t="n">
        <v>1.1</v>
      </c>
      <c r="D115" s="31" t="n">
        <v>1.2</v>
      </c>
      <c r="E115" s="31" t="n">
        <v>1.3</v>
      </c>
      <c r="F115" s="7" t="s">
        <v>342</v>
      </c>
      <c r="G115" s="19"/>
      <c r="H115" s="7" t="s">
        <v>78</v>
      </c>
    </row>
    <row r="116" customFormat="false" ht="15" hidden="false" customHeight="false" outlineLevel="0" collapsed="false">
      <c r="A116" s="32"/>
      <c r="B116" s="33" t="s">
        <v>357</v>
      </c>
      <c r="C116" s="32"/>
      <c r="D116" s="32"/>
      <c r="E116" s="32"/>
      <c r="F116" s="32"/>
      <c r="G116" s="32"/>
      <c r="H116" s="32"/>
    </row>
    <row r="117" customFormat="false" ht="15" hidden="false" customHeight="false" outlineLevel="0" collapsed="false">
      <c r="A117" s="9" t="s">
        <v>358</v>
      </c>
      <c r="B117" s="19" t="s">
        <v>318</v>
      </c>
      <c r="C117" s="34" t="n">
        <v>1</v>
      </c>
      <c r="D117" s="34" t="n">
        <v>1</v>
      </c>
      <c r="E117" s="34" t="n">
        <v>1</v>
      </c>
      <c r="F117" s="7" t="s">
        <v>319</v>
      </c>
      <c r="G117" s="19"/>
      <c r="H117" s="7" t="s">
        <v>78</v>
      </c>
    </row>
    <row r="118" customFormat="false" ht="15" hidden="false" customHeight="false" outlineLevel="0" collapsed="false">
      <c r="A118" s="9" t="s">
        <v>359</v>
      </c>
      <c r="B118" s="19" t="s">
        <v>321</v>
      </c>
      <c r="C118" s="22" t="n">
        <v>2</v>
      </c>
      <c r="D118" s="22" t="n">
        <v>2</v>
      </c>
      <c r="E118" s="22" t="n">
        <v>2</v>
      </c>
      <c r="F118" s="7" t="s">
        <v>322</v>
      </c>
      <c r="G118" s="19" t="s">
        <v>360</v>
      </c>
      <c r="H118" s="7" t="s">
        <v>324</v>
      </c>
    </row>
    <row r="119" customFormat="false" ht="15" hidden="false" customHeight="false" outlineLevel="0" collapsed="false">
      <c r="A119" s="9" t="s">
        <v>361</v>
      </c>
      <c r="B119" s="19" t="s">
        <v>326</v>
      </c>
      <c r="C119" s="35" t="n">
        <v>300</v>
      </c>
      <c r="D119" s="35" t="n">
        <v>600</v>
      </c>
      <c r="E119" s="35" t="n">
        <v>900</v>
      </c>
      <c r="F119" s="7" t="s">
        <v>327</v>
      </c>
      <c r="G119" s="19" t="s">
        <v>328</v>
      </c>
      <c r="H119" s="7" t="s">
        <v>78</v>
      </c>
    </row>
    <row r="120" customFormat="false" ht="15" hidden="false" customHeight="false" outlineLevel="0" collapsed="false">
      <c r="A120" s="9" t="s">
        <v>362</v>
      </c>
      <c r="B120" s="19" t="s">
        <v>330</v>
      </c>
      <c r="C120" s="23" t="n">
        <v>0.06</v>
      </c>
      <c r="D120" s="23" t="n">
        <v>0.1</v>
      </c>
      <c r="E120" s="23" t="n">
        <v>0.1</v>
      </c>
      <c r="F120" s="7" t="s">
        <v>331</v>
      </c>
      <c r="G120" s="19"/>
      <c r="H120" s="7" t="s">
        <v>78</v>
      </c>
    </row>
    <row r="121" customFormat="false" ht="15" hidden="false" customHeight="false" outlineLevel="0" collapsed="false">
      <c r="A121" s="9" t="s">
        <v>363</v>
      </c>
      <c r="B121" s="19" t="s">
        <v>333</v>
      </c>
      <c r="C121" s="23" t="n">
        <v>0.03</v>
      </c>
      <c r="D121" s="23" t="n">
        <v>0.04</v>
      </c>
      <c r="E121" s="23" t="n">
        <v>0.05</v>
      </c>
      <c r="F121" s="7" t="s">
        <v>331</v>
      </c>
      <c r="G121" s="19"/>
      <c r="H121" s="7" t="s">
        <v>78</v>
      </c>
    </row>
    <row r="122" customFormat="false" ht="15" hidden="false" customHeight="false" outlineLevel="0" collapsed="false">
      <c r="A122" s="9" t="s">
        <v>364</v>
      </c>
      <c r="B122" s="19" t="s">
        <v>335</v>
      </c>
      <c r="C122" s="23" t="n">
        <v>0.01</v>
      </c>
      <c r="D122" s="23" t="n">
        <v>0.02</v>
      </c>
      <c r="E122" s="23" t="n">
        <v>0.03</v>
      </c>
      <c r="F122" s="7" t="s">
        <v>331</v>
      </c>
      <c r="G122" s="19"/>
      <c r="H122" s="7" t="s">
        <v>78</v>
      </c>
    </row>
    <row r="123" customFormat="false" ht="15" hidden="false" customHeight="false" outlineLevel="0" collapsed="false">
      <c r="A123" s="9" t="s">
        <v>365</v>
      </c>
      <c r="B123" s="19" t="s">
        <v>337</v>
      </c>
      <c r="C123" s="36" t="n">
        <v>0.03</v>
      </c>
      <c r="D123" s="36" t="n">
        <v>0.05</v>
      </c>
      <c r="E123" s="36" t="n">
        <v>0.06</v>
      </c>
      <c r="F123" s="7" t="s">
        <v>338</v>
      </c>
      <c r="G123" s="19"/>
      <c r="H123" s="7" t="s">
        <v>78</v>
      </c>
    </row>
    <row r="124" customFormat="false" ht="15" hidden="false" customHeight="false" outlineLevel="0" collapsed="false">
      <c r="A124" s="9" t="s">
        <v>366</v>
      </c>
      <c r="B124" s="19" t="s">
        <v>341</v>
      </c>
      <c r="C124" s="31" t="n">
        <v>1</v>
      </c>
      <c r="D124" s="31" t="n">
        <v>1.05</v>
      </c>
      <c r="E124" s="31" t="n">
        <v>1.1</v>
      </c>
      <c r="F124" s="7" t="s">
        <v>342</v>
      </c>
      <c r="G124" s="19"/>
      <c r="H124" s="7" t="s">
        <v>78</v>
      </c>
    </row>
    <row r="125" customFormat="false" ht="15" hidden="false" customHeight="false" outlineLevel="0" collapsed="false">
      <c r="A125" s="32"/>
      <c r="B125" s="33" t="s">
        <v>367</v>
      </c>
      <c r="C125" s="32"/>
      <c r="D125" s="32"/>
      <c r="E125" s="32"/>
      <c r="F125" s="32"/>
      <c r="G125" s="32"/>
      <c r="H125" s="32"/>
    </row>
    <row r="126" customFormat="false" ht="15" hidden="false" customHeight="false" outlineLevel="0" collapsed="false">
      <c r="A126" s="9" t="s">
        <v>368</v>
      </c>
      <c r="B126" s="19" t="s">
        <v>318</v>
      </c>
      <c r="C126" s="34" t="n">
        <v>1</v>
      </c>
      <c r="D126" s="34" t="n">
        <v>1</v>
      </c>
      <c r="E126" s="34" t="n">
        <v>1</v>
      </c>
      <c r="F126" s="7" t="s">
        <v>319</v>
      </c>
      <c r="G126" s="19"/>
      <c r="H126" s="7" t="s">
        <v>78</v>
      </c>
    </row>
    <row r="127" customFormat="false" ht="15" hidden="false" customHeight="false" outlineLevel="0" collapsed="false">
      <c r="A127" s="9" t="s">
        <v>369</v>
      </c>
      <c r="B127" s="19" t="s">
        <v>321</v>
      </c>
      <c r="C127" s="22" t="n">
        <v>3</v>
      </c>
      <c r="D127" s="22" t="n">
        <v>3</v>
      </c>
      <c r="E127" s="22" t="n">
        <v>3</v>
      </c>
      <c r="F127" s="7" t="s">
        <v>322</v>
      </c>
      <c r="G127" s="19" t="s">
        <v>370</v>
      </c>
      <c r="H127" s="7" t="s">
        <v>324</v>
      </c>
    </row>
    <row r="128" customFormat="false" ht="15" hidden="false" customHeight="false" outlineLevel="0" collapsed="false">
      <c r="A128" s="9" t="s">
        <v>371</v>
      </c>
      <c r="B128" s="19" t="s">
        <v>326</v>
      </c>
      <c r="C128" s="35" t="n">
        <v>100</v>
      </c>
      <c r="D128" s="35" t="n">
        <v>200</v>
      </c>
      <c r="E128" s="35" t="n">
        <v>300</v>
      </c>
      <c r="F128" s="7" t="s">
        <v>327</v>
      </c>
      <c r="G128" s="19" t="s">
        <v>328</v>
      </c>
      <c r="H128" s="7" t="s">
        <v>78</v>
      </c>
    </row>
    <row r="129" customFormat="false" ht="15" hidden="false" customHeight="false" outlineLevel="0" collapsed="false">
      <c r="A129" s="9" t="s">
        <v>372</v>
      </c>
      <c r="B129" s="19" t="s">
        <v>330</v>
      </c>
      <c r="C129" s="23" t="n">
        <v>0.04</v>
      </c>
      <c r="D129" s="23" t="n">
        <v>0.06</v>
      </c>
      <c r="E129" s="23" t="n">
        <v>0.06</v>
      </c>
      <c r="F129" s="7" t="s">
        <v>331</v>
      </c>
      <c r="G129" s="19"/>
      <c r="H129" s="7" t="s">
        <v>78</v>
      </c>
    </row>
    <row r="130" customFormat="false" ht="15" hidden="false" customHeight="false" outlineLevel="0" collapsed="false">
      <c r="A130" s="9" t="s">
        <v>373</v>
      </c>
      <c r="B130" s="19" t="s">
        <v>333</v>
      </c>
      <c r="C130" s="23" t="n">
        <v>0.02</v>
      </c>
      <c r="D130" s="23" t="n">
        <v>0.03</v>
      </c>
      <c r="E130" s="23" t="n">
        <v>0.04</v>
      </c>
      <c r="F130" s="7" t="s">
        <v>331</v>
      </c>
      <c r="G130" s="19"/>
      <c r="H130" s="7" t="s">
        <v>78</v>
      </c>
    </row>
    <row r="131" customFormat="false" ht="15" hidden="false" customHeight="false" outlineLevel="0" collapsed="false">
      <c r="A131" s="9" t="s">
        <v>374</v>
      </c>
      <c r="B131" s="19" t="s">
        <v>335</v>
      </c>
      <c r="C131" s="23" t="n">
        <v>0.01</v>
      </c>
      <c r="D131" s="23" t="n">
        <v>0.02</v>
      </c>
      <c r="E131" s="23" t="n">
        <v>0.02</v>
      </c>
      <c r="F131" s="7" t="s">
        <v>331</v>
      </c>
      <c r="G131" s="19"/>
      <c r="H131" s="7" t="s">
        <v>78</v>
      </c>
    </row>
    <row r="132" customFormat="false" ht="15" hidden="false" customHeight="false" outlineLevel="0" collapsed="false">
      <c r="A132" s="9" t="s">
        <v>375</v>
      </c>
      <c r="B132" s="19" t="s">
        <v>337</v>
      </c>
      <c r="C132" s="36" t="n">
        <v>0.02</v>
      </c>
      <c r="D132" s="36" t="n">
        <v>0.03</v>
      </c>
      <c r="E132" s="36" t="n">
        <v>0.035</v>
      </c>
      <c r="F132" s="7" t="s">
        <v>338</v>
      </c>
      <c r="G132" s="19"/>
      <c r="H132" s="7" t="s">
        <v>78</v>
      </c>
    </row>
    <row r="133" customFormat="false" ht="15" hidden="false" customHeight="false" outlineLevel="0" collapsed="false">
      <c r="A133" s="9" t="s">
        <v>376</v>
      </c>
      <c r="B133" s="19" t="s">
        <v>341</v>
      </c>
      <c r="C133" s="31" t="n">
        <v>1</v>
      </c>
      <c r="D133" s="31" t="n">
        <v>1</v>
      </c>
      <c r="E133" s="31" t="n">
        <v>1.05</v>
      </c>
      <c r="F133" s="7" t="s">
        <v>342</v>
      </c>
      <c r="G133" s="19"/>
      <c r="H133" s="7" t="s">
        <v>78</v>
      </c>
    </row>
    <row r="134" customFormat="false" ht="15" hidden="false" customHeight="false" outlineLevel="0" collapsed="false">
      <c r="A134" s="32"/>
      <c r="B134" s="33" t="s">
        <v>377</v>
      </c>
      <c r="C134" s="32"/>
      <c r="D134" s="32"/>
      <c r="E134" s="32"/>
      <c r="F134" s="32"/>
      <c r="G134" s="32"/>
      <c r="H134" s="32"/>
    </row>
    <row r="135" customFormat="false" ht="15" hidden="false" customHeight="false" outlineLevel="0" collapsed="false">
      <c r="A135" s="9" t="s">
        <v>378</v>
      </c>
      <c r="B135" s="19" t="s">
        <v>318</v>
      </c>
      <c r="C135" s="34" t="n">
        <v>1</v>
      </c>
      <c r="D135" s="34" t="n">
        <v>1</v>
      </c>
      <c r="E135" s="34" t="n">
        <v>1</v>
      </c>
      <c r="F135" s="7" t="s">
        <v>319</v>
      </c>
      <c r="G135" s="19"/>
      <c r="H135" s="7" t="s">
        <v>78</v>
      </c>
    </row>
    <row r="136" customFormat="false" ht="15" hidden="false" customHeight="false" outlineLevel="0" collapsed="false">
      <c r="A136" s="9" t="s">
        <v>379</v>
      </c>
      <c r="B136" s="19" t="s">
        <v>321</v>
      </c>
      <c r="C136" s="22" t="n">
        <v>4</v>
      </c>
      <c r="D136" s="22" t="n">
        <v>4</v>
      </c>
      <c r="E136" s="22" t="n">
        <v>4</v>
      </c>
      <c r="F136" s="7" t="s">
        <v>322</v>
      </c>
      <c r="G136" s="19" t="s">
        <v>380</v>
      </c>
      <c r="H136" s="7" t="s">
        <v>324</v>
      </c>
    </row>
    <row r="137" customFormat="false" ht="15" hidden="false" customHeight="false" outlineLevel="0" collapsed="false">
      <c r="A137" s="9" t="s">
        <v>381</v>
      </c>
      <c r="B137" s="19" t="s">
        <v>337</v>
      </c>
      <c r="C137" s="36" t="n">
        <v>0.008</v>
      </c>
      <c r="D137" s="36" t="n">
        <v>0.012</v>
      </c>
      <c r="E137" s="36" t="n">
        <v>0.016</v>
      </c>
      <c r="F137" s="7" t="s">
        <v>338</v>
      </c>
      <c r="G137" s="19"/>
      <c r="H137" s="7" t="s">
        <v>78</v>
      </c>
    </row>
    <row r="138" customFormat="false" ht="15" hidden="false" customHeight="false" outlineLevel="0" collapsed="false">
      <c r="A138" s="9" t="s">
        <v>382</v>
      </c>
      <c r="B138" s="19" t="s">
        <v>341</v>
      </c>
      <c r="C138" s="31" t="n">
        <v>1.1</v>
      </c>
      <c r="D138" s="31" t="n">
        <v>1.2</v>
      </c>
      <c r="E138" s="31" t="n">
        <v>1.3</v>
      </c>
      <c r="F138" s="7" t="s">
        <v>342</v>
      </c>
      <c r="G138" s="19"/>
      <c r="H138" s="7" t="s">
        <v>78</v>
      </c>
    </row>
    <row r="139" customFormat="false" ht="15" hidden="false" customHeight="false" outlineLevel="0" collapsed="false">
      <c r="A139" s="32"/>
      <c r="B139" s="33" t="s">
        <v>383</v>
      </c>
      <c r="C139" s="32"/>
      <c r="D139" s="32"/>
      <c r="E139" s="32"/>
      <c r="F139" s="32"/>
      <c r="G139" s="32"/>
      <c r="H139" s="32"/>
    </row>
    <row r="140" customFormat="false" ht="15" hidden="false" customHeight="false" outlineLevel="0" collapsed="false">
      <c r="A140" s="9" t="s">
        <v>384</v>
      </c>
      <c r="B140" s="19" t="s">
        <v>318</v>
      </c>
      <c r="C140" s="34" t="n">
        <v>1</v>
      </c>
      <c r="D140" s="34" t="n">
        <v>1</v>
      </c>
      <c r="E140" s="34" t="n">
        <v>1</v>
      </c>
      <c r="F140" s="7" t="s">
        <v>319</v>
      </c>
      <c r="G140" s="19"/>
      <c r="H140" s="7" t="s">
        <v>78</v>
      </c>
    </row>
    <row r="141" customFormat="false" ht="15" hidden="false" customHeight="false" outlineLevel="0" collapsed="false">
      <c r="A141" s="9" t="s">
        <v>385</v>
      </c>
      <c r="B141" s="19" t="s">
        <v>321</v>
      </c>
      <c r="C141" s="22" t="n">
        <v>4</v>
      </c>
      <c r="D141" s="22" t="n">
        <v>4</v>
      </c>
      <c r="E141" s="22" t="n">
        <v>4</v>
      </c>
      <c r="F141" s="7" t="s">
        <v>322</v>
      </c>
      <c r="G141" s="19" t="s">
        <v>386</v>
      </c>
      <c r="H141" s="7" t="s">
        <v>324</v>
      </c>
    </row>
    <row r="142" customFormat="false" ht="15" hidden="false" customHeight="false" outlineLevel="0" collapsed="false">
      <c r="A142" s="9" t="s">
        <v>387</v>
      </c>
      <c r="B142" s="19" t="s">
        <v>388</v>
      </c>
      <c r="C142" s="36" t="n">
        <v>0.01</v>
      </c>
      <c r="D142" s="36" t="n">
        <v>0.015</v>
      </c>
      <c r="E142" s="36" t="n">
        <v>0.02</v>
      </c>
      <c r="F142" s="7" t="s">
        <v>338</v>
      </c>
      <c r="G142" s="19"/>
      <c r="H142" s="7" t="s">
        <v>78</v>
      </c>
    </row>
    <row r="143" customFormat="false" ht="15" hidden="false" customHeight="false" outlineLevel="0" collapsed="false">
      <c r="A143" s="9" t="s">
        <v>389</v>
      </c>
      <c r="B143" s="19" t="s">
        <v>341</v>
      </c>
      <c r="C143" s="31" t="n">
        <v>1</v>
      </c>
      <c r="D143" s="31" t="n">
        <v>1</v>
      </c>
      <c r="E143" s="31" t="n">
        <v>1</v>
      </c>
      <c r="F143" s="7" t="s">
        <v>342</v>
      </c>
      <c r="G143" s="19"/>
      <c r="H143" s="7" t="s">
        <v>78</v>
      </c>
    </row>
    <row r="144" customFormat="false" ht="15" hidden="false" customHeight="false" outlineLevel="0" collapsed="false">
      <c r="A144" s="9" t="s">
        <v>390</v>
      </c>
      <c r="B144" s="19" t="s">
        <v>391</v>
      </c>
      <c r="C144" s="23" t="n">
        <v>0.1</v>
      </c>
      <c r="D144" s="23" t="n">
        <v>0.15</v>
      </c>
      <c r="E144" s="23" t="n">
        <v>0.2</v>
      </c>
      <c r="F144" s="7" t="s">
        <v>139</v>
      </c>
      <c r="G144" s="19" t="s">
        <v>392</v>
      </c>
      <c r="H144" s="7" t="s">
        <v>78</v>
      </c>
    </row>
    <row r="145" customFormat="false" ht="15" hidden="false" customHeight="false" outlineLevel="0" collapsed="false">
      <c r="A145" s="32"/>
      <c r="B145" s="33" t="s">
        <v>393</v>
      </c>
      <c r="C145" s="32"/>
      <c r="D145" s="32"/>
      <c r="E145" s="32"/>
      <c r="F145" s="32"/>
      <c r="G145" s="32"/>
      <c r="H145" s="32"/>
    </row>
    <row r="146" customFormat="false" ht="15" hidden="false" customHeight="false" outlineLevel="0" collapsed="false">
      <c r="A146" s="9" t="s">
        <v>394</v>
      </c>
      <c r="B146" s="19" t="s">
        <v>318</v>
      </c>
      <c r="C146" s="34" t="n">
        <v>1</v>
      </c>
      <c r="D146" s="34" t="n">
        <v>1</v>
      </c>
      <c r="E146" s="34" t="n">
        <v>1</v>
      </c>
      <c r="F146" s="7" t="s">
        <v>319</v>
      </c>
      <c r="G146" s="19"/>
      <c r="H146" s="7" t="s">
        <v>78</v>
      </c>
    </row>
    <row r="147" customFormat="false" ht="15" hidden="false" customHeight="false" outlineLevel="0" collapsed="false">
      <c r="A147" s="9" t="s">
        <v>395</v>
      </c>
      <c r="B147" s="19" t="s">
        <v>321</v>
      </c>
      <c r="C147" s="22" t="n">
        <v>5</v>
      </c>
      <c r="D147" s="22" t="n">
        <v>5</v>
      </c>
      <c r="E147" s="22" t="n">
        <v>5</v>
      </c>
      <c r="F147" s="7" t="s">
        <v>322</v>
      </c>
      <c r="G147" s="19" t="s">
        <v>396</v>
      </c>
      <c r="H147" s="7" t="s">
        <v>324</v>
      </c>
    </row>
    <row r="148" customFormat="false" ht="15" hidden="false" customHeight="false" outlineLevel="0" collapsed="false">
      <c r="A148" s="9" t="s">
        <v>397</v>
      </c>
      <c r="B148" s="19" t="s">
        <v>326</v>
      </c>
      <c r="C148" s="35" t="n">
        <v>150</v>
      </c>
      <c r="D148" s="35" t="n">
        <v>300</v>
      </c>
      <c r="E148" s="35" t="n">
        <v>500</v>
      </c>
      <c r="F148" s="7" t="s">
        <v>327</v>
      </c>
      <c r="G148" s="19" t="s">
        <v>328</v>
      </c>
      <c r="H148" s="7" t="s">
        <v>78</v>
      </c>
    </row>
    <row r="149" customFormat="false" ht="15" hidden="false" customHeight="false" outlineLevel="0" collapsed="false">
      <c r="A149" s="9" t="s">
        <v>398</v>
      </c>
      <c r="B149" s="19" t="s">
        <v>330</v>
      </c>
      <c r="C149" s="23" t="n">
        <v>0.04</v>
      </c>
      <c r="D149" s="23" t="n">
        <v>0.06</v>
      </c>
      <c r="E149" s="23" t="n">
        <v>0.06</v>
      </c>
      <c r="F149" s="7" t="s">
        <v>331</v>
      </c>
      <c r="G149" s="19"/>
      <c r="H149" s="7" t="s">
        <v>78</v>
      </c>
    </row>
    <row r="150" customFormat="false" ht="15" hidden="false" customHeight="false" outlineLevel="0" collapsed="false">
      <c r="A150" s="9" t="s">
        <v>399</v>
      </c>
      <c r="B150" s="19" t="s">
        <v>333</v>
      </c>
      <c r="C150" s="23" t="n">
        <v>0.02</v>
      </c>
      <c r="D150" s="23" t="n">
        <v>0.04</v>
      </c>
      <c r="E150" s="23" t="n">
        <v>0.05</v>
      </c>
      <c r="F150" s="7" t="s">
        <v>331</v>
      </c>
      <c r="G150" s="19"/>
      <c r="H150" s="7" t="s">
        <v>78</v>
      </c>
    </row>
    <row r="151" customFormat="false" ht="15" hidden="false" customHeight="false" outlineLevel="0" collapsed="false">
      <c r="A151" s="9" t="s">
        <v>400</v>
      </c>
      <c r="B151" s="19" t="s">
        <v>335</v>
      </c>
      <c r="C151" s="23" t="n">
        <v>0.01</v>
      </c>
      <c r="D151" s="23" t="n">
        <v>0.02</v>
      </c>
      <c r="E151" s="23" t="n">
        <v>0.03</v>
      </c>
      <c r="F151" s="7" t="s">
        <v>331</v>
      </c>
      <c r="G151" s="19"/>
      <c r="H151" s="7" t="s">
        <v>78</v>
      </c>
    </row>
    <row r="152" customFormat="false" ht="15" hidden="false" customHeight="false" outlineLevel="0" collapsed="false">
      <c r="A152" s="9" t="s">
        <v>401</v>
      </c>
      <c r="B152" s="19" t="s">
        <v>337</v>
      </c>
      <c r="C152" s="36" t="n">
        <v>0.015</v>
      </c>
      <c r="D152" s="36" t="n">
        <v>0.025</v>
      </c>
      <c r="E152" s="36" t="n">
        <v>0.03</v>
      </c>
      <c r="F152" s="7" t="s">
        <v>338</v>
      </c>
      <c r="G152" s="19"/>
      <c r="H152" s="7" t="s">
        <v>78</v>
      </c>
    </row>
    <row r="153" customFormat="false" ht="15" hidden="false" customHeight="false" outlineLevel="0" collapsed="false">
      <c r="A153" s="9" t="s">
        <v>402</v>
      </c>
      <c r="B153" s="19" t="s">
        <v>341</v>
      </c>
      <c r="C153" s="31" t="n">
        <v>1.1</v>
      </c>
      <c r="D153" s="31" t="n">
        <v>1.2</v>
      </c>
      <c r="E153" s="31" t="n">
        <v>1.3</v>
      </c>
      <c r="F153" s="7" t="s">
        <v>342</v>
      </c>
      <c r="G153" s="19"/>
      <c r="H153" s="7" t="s">
        <v>78</v>
      </c>
    </row>
    <row r="154" customFormat="false" ht="15" hidden="false" customHeight="false" outlineLevel="0" collapsed="false">
      <c r="A154" s="32"/>
      <c r="B154" s="33" t="s">
        <v>403</v>
      </c>
      <c r="C154" s="32"/>
      <c r="D154" s="32"/>
      <c r="E154" s="32"/>
      <c r="F154" s="32"/>
      <c r="G154" s="32"/>
      <c r="H154" s="32"/>
    </row>
    <row r="155" customFormat="false" ht="15" hidden="false" customHeight="false" outlineLevel="0" collapsed="false">
      <c r="A155" s="9" t="s">
        <v>404</v>
      </c>
      <c r="B155" s="19" t="s">
        <v>318</v>
      </c>
      <c r="C155" s="34" t="n">
        <v>0</v>
      </c>
      <c r="D155" s="34" t="n">
        <v>1</v>
      </c>
      <c r="E155" s="34" t="n">
        <v>1</v>
      </c>
      <c r="F155" s="7" t="s">
        <v>319</v>
      </c>
      <c r="G155" s="19" t="s">
        <v>405</v>
      </c>
      <c r="H155" s="7" t="s">
        <v>78</v>
      </c>
    </row>
    <row r="156" customFormat="false" ht="23.85" hidden="false" customHeight="false" outlineLevel="0" collapsed="false">
      <c r="A156" s="9" t="s">
        <v>406</v>
      </c>
      <c r="B156" s="19" t="s">
        <v>321</v>
      </c>
      <c r="C156" s="22" t="n">
        <v>13</v>
      </c>
      <c r="D156" s="22" t="n">
        <v>13</v>
      </c>
      <c r="E156" s="22" t="n">
        <v>10</v>
      </c>
      <c r="F156" s="7" t="s">
        <v>322</v>
      </c>
      <c r="G156" s="19" t="s">
        <v>407</v>
      </c>
      <c r="H156" s="7" t="s">
        <v>408</v>
      </c>
    </row>
    <row r="157" customFormat="false" ht="15" hidden="false" customHeight="false" outlineLevel="0" collapsed="false">
      <c r="A157" s="9" t="s">
        <v>409</v>
      </c>
      <c r="B157" s="19" t="s">
        <v>326</v>
      </c>
      <c r="C157" s="35" t="n">
        <v>150</v>
      </c>
      <c r="D157" s="35" t="n">
        <v>300</v>
      </c>
      <c r="E157" s="35" t="n">
        <v>400</v>
      </c>
      <c r="F157" s="7" t="s">
        <v>327</v>
      </c>
      <c r="G157" s="19" t="s">
        <v>328</v>
      </c>
      <c r="H157" s="7" t="s">
        <v>78</v>
      </c>
    </row>
    <row r="158" customFormat="false" ht="15" hidden="false" customHeight="false" outlineLevel="0" collapsed="false">
      <c r="A158" s="9" t="s">
        <v>410</v>
      </c>
      <c r="B158" s="19" t="s">
        <v>330</v>
      </c>
      <c r="C158" s="23" t="n">
        <v>0.04</v>
      </c>
      <c r="D158" s="23" t="n">
        <v>0.06</v>
      </c>
      <c r="E158" s="23" t="n">
        <v>0.06</v>
      </c>
      <c r="F158" s="7" t="s">
        <v>331</v>
      </c>
      <c r="G158" s="19"/>
      <c r="H158" s="7" t="s">
        <v>78</v>
      </c>
    </row>
    <row r="159" customFormat="false" ht="15" hidden="false" customHeight="false" outlineLevel="0" collapsed="false">
      <c r="A159" s="9" t="s">
        <v>411</v>
      </c>
      <c r="B159" s="19" t="s">
        <v>333</v>
      </c>
      <c r="C159" s="23" t="n">
        <v>0.04</v>
      </c>
      <c r="D159" s="23" t="n">
        <v>0.06</v>
      </c>
      <c r="E159" s="23" t="n">
        <v>0.06</v>
      </c>
      <c r="F159" s="7" t="s">
        <v>331</v>
      </c>
      <c r="G159" s="19"/>
      <c r="H159" s="7" t="s">
        <v>78</v>
      </c>
    </row>
    <row r="160" customFormat="false" ht="15" hidden="false" customHeight="false" outlineLevel="0" collapsed="false">
      <c r="A160" s="9" t="s">
        <v>412</v>
      </c>
      <c r="B160" s="19" t="s">
        <v>335</v>
      </c>
      <c r="C160" s="23" t="n">
        <v>0.02</v>
      </c>
      <c r="D160" s="23" t="n">
        <v>0.03</v>
      </c>
      <c r="E160" s="23" t="n">
        <v>0.03</v>
      </c>
      <c r="F160" s="7" t="s">
        <v>331</v>
      </c>
      <c r="G160" s="19"/>
      <c r="H160" s="7" t="s">
        <v>78</v>
      </c>
    </row>
    <row r="161" customFormat="false" ht="15" hidden="false" customHeight="false" outlineLevel="0" collapsed="false">
      <c r="A161" s="9" t="s">
        <v>413</v>
      </c>
      <c r="B161" s="19" t="s">
        <v>337</v>
      </c>
      <c r="C161" s="36" t="n">
        <v>0.01</v>
      </c>
      <c r="D161" s="36" t="n">
        <v>0.015</v>
      </c>
      <c r="E161" s="36" t="n">
        <v>0.02</v>
      </c>
      <c r="F161" s="7" t="s">
        <v>338</v>
      </c>
      <c r="G161" s="19"/>
      <c r="H161" s="7" t="s">
        <v>78</v>
      </c>
    </row>
    <row r="162" customFormat="false" ht="15" hidden="false" customHeight="false" outlineLevel="0" collapsed="false">
      <c r="A162" s="9" t="s">
        <v>414</v>
      </c>
      <c r="B162" s="19" t="s">
        <v>341</v>
      </c>
      <c r="C162" s="31" t="n">
        <v>1</v>
      </c>
      <c r="D162" s="31" t="n">
        <v>1.1</v>
      </c>
      <c r="E162" s="31" t="n">
        <v>1.2</v>
      </c>
      <c r="F162" s="7" t="s">
        <v>342</v>
      </c>
      <c r="G162" s="19"/>
      <c r="H162" s="7" t="s">
        <v>78</v>
      </c>
    </row>
    <row r="163" customFormat="false" ht="15" hidden="false" customHeight="false" outlineLevel="0" collapsed="false">
      <c r="A163" s="32"/>
      <c r="B163" s="33" t="s">
        <v>415</v>
      </c>
      <c r="C163" s="32"/>
      <c r="D163" s="32"/>
      <c r="E163" s="32"/>
      <c r="F163" s="32"/>
      <c r="G163" s="32"/>
      <c r="H163" s="32"/>
    </row>
    <row r="164" customFormat="false" ht="15" hidden="false" customHeight="false" outlineLevel="0" collapsed="false">
      <c r="A164" s="9" t="s">
        <v>416</v>
      </c>
      <c r="B164" s="19" t="s">
        <v>318</v>
      </c>
      <c r="C164" s="34" t="n">
        <v>0</v>
      </c>
      <c r="D164" s="34" t="n">
        <v>1</v>
      </c>
      <c r="E164" s="34" t="n">
        <v>1</v>
      </c>
      <c r="F164" s="7" t="s">
        <v>319</v>
      </c>
      <c r="G164" s="19" t="s">
        <v>405</v>
      </c>
      <c r="H164" s="7" t="s">
        <v>78</v>
      </c>
    </row>
    <row r="165" customFormat="false" ht="23.85" hidden="false" customHeight="false" outlineLevel="0" collapsed="false">
      <c r="A165" s="9" t="s">
        <v>417</v>
      </c>
      <c r="B165" s="19" t="s">
        <v>321</v>
      </c>
      <c r="C165" s="22" t="n">
        <v>25</v>
      </c>
      <c r="D165" s="22" t="n">
        <v>25</v>
      </c>
      <c r="E165" s="22" t="n">
        <v>22</v>
      </c>
      <c r="F165" s="7" t="s">
        <v>322</v>
      </c>
      <c r="G165" s="19" t="s">
        <v>418</v>
      </c>
      <c r="H165" s="7" t="s">
        <v>408</v>
      </c>
    </row>
    <row r="166" customFormat="false" ht="15" hidden="false" customHeight="false" outlineLevel="0" collapsed="false">
      <c r="A166" s="9" t="s">
        <v>419</v>
      </c>
      <c r="B166" s="19" t="s">
        <v>326</v>
      </c>
      <c r="C166" s="35" t="n">
        <v>300</v>
      </c>
      <c r="D166" s="35" t="n">
        <v>600</v>
      </c>
      <c r="E166" s="35" t="n">
        <v>1200</v>
      </c>
      <c r="F166" s="7" t="s">
        <v>327</v>
      </c>
      <c r="G166" s="19" t="s">
        <v>328</v>
      </c>
      <c r="H166" s="7" t="s">
        <v>78</v>
      </c>
    </row>
    <row r="167" customFormat="false" ht="15" hidden="false" customHeight="false" outlineLevel="0" collapsed="false">
      <c r="A167" s="9" t="s">
        <v>420</v>
      </c>
      <c r="B167" s="19" t="s">
        <v>330</v>
      </c>
      <c r="C167" s="23" t="n">
        <v>0.03</v>
      </c>
      <c r="D167" s="23" t="n">
        <v>0.05</v>
      </c>
      <c r="E167" s="23" t="n">
        <v>0.08</v>
      </c>
      <c r="F167" s="7" t="s">
        <v>331</v>
      </c>
      <c r="G167" s="19"/>
      <c r="H167" s="7" t="s">
        <v>78</v>
      </c>
    </row>
    <row r="168" customFormat="false" ht="15" hidden="false" customHeight="false" outlineLevel="0" collapsed="false">
      <c r="A168" s="9" t="s">
        <v>421</v>
      </c>
      <c r="B168" s="19" t="s">
        <v>333</v>
      </c>
      <c r="C168" s="23" t="n">
        <v>0.03</v>
      </c>
      <c r="D168" s="23" t="n">
        <v>0.05</v>
      </c>
      <c r="E168" s="23" t="n">
        <v>0.08</v>
      </c>
      <c r="F168" s="7" t="s">
        <v>331</v>
      </c>
      <c r="G168" s="19"/>
      <c r="H168" s="7" t="s">
        <v>78</v>
      </c>
    </row>
    <row r="169" customFormat="false" ht="15" hidden="false" customHeight="false" outlineLevel="0" collapsed="false">
      <c r="A169" s="9" t="s">
        <v>422</v>
      </c>
      <c r="B169" s="19" t="s">
        <v>335</v>
      </c>
      <c r="C169" s="23" t="n">
        <v>0.03</v>
      </c>
      <c r="D169" s="23" t="n">
        <v>0.05</v>
      </c>
      <c r="E169" s="23" t="n">
        <v>0.08</v>
      </c>
      <c r="F169" s="7" t="s">
        <v>331</v>
      </c>
      <c r="G169" s="19"/>
      <c r="H169" s="7" t="s">
        <v>78</v>
      </c>
    </row>
    <row r="170" customFormat="false" ht="15" hidden="false" customHeight="false" outlineLevel="0" collapsed="false">
      <c r="A170" s="9" t="s">
        <v>423</v>
      </c>
      <c r="B170" s="19" t="s">
        <v>337</v>
      </c>
      <c r="C170" s="36" t="n">
        <v>0.005</v>
      </c>
      <c r="D170" s="36" t="n">
        <v>0.01</v>
      </c>
      <c r="E170" s="36" t="n">
        <v>0.015</v>
      </c>
      <c r="F170" s="7" t="s">
        <v>338</v>
      </c>
      <c r="G170" s="19"/>
      <c r="H170" s="7" t="s">
        <v>78</v>
      </c>
    </row>
    <row r="171" customFormat="false" ht="15" hidden="false" customHeight="false" outlineLevel="0" collapsed="false">
      <c r="A171" s="9" t="s">
        <v>424</v>
      </c>
      <c r="B171" s="19" t="s">
        <v>425</v>
      </c>
      <c r="C171" s="31" t="n">
        <v>3</v>
      </c>
      <c r="D171" s="31" t="n">
        <v>4</v>
      </c>
      <c r="E171" s="31" t="n">
        <v>5</v>
      </c>
      <c r="F171" s="7" t="s">
        <v>342</v>
      </c>
      <c r="G171" s="19"/>
      <c r="H171" s="7" t="s">
        <v>78</v>
      </c>
    </row>
    <row r="173" customFormat="false" ht="15" hidden="false" customHeight="false" outlineLevel="0" collapsed="false">
      <c r="A173" s="5" t="s">
        <v>426</v>
      </c>
      <c r="B173" s="6"/>
      <c r="C173" s="6"/>
      <c r="D173" s="6"/>
      <c r="E173" s="6"/>
      <c r="F173" s="6"/>
      <c r="G173" s="6"/>
      <c r="H173" s="6"/>
    </row>
    <row r="174" customFormat="false" ht="15" hidden="false" customHeight="false" outlineLevel="0" collapsed="false">
      <c r="A174" s="9" t="s">
        <v>427</v>
      </c>
      <c r="B174" s="19" t="s">
        <v>428</v>
      </c>
      <c r="C174" s="28" t="n">
        <v>0.02</v>
      </c>
      <c r="D174" s="28" t="n">
        <v>0.03</v>
      </c>
      <c r="E174" s="28" t="n">
        <v>0.04</v>
      </c>
      <c r="F174" s="7" t="s">
        <v>345</v>
      </c>
      <c r="G174" s="19" t="s">
        <v>429</v>
      </c>
      <c r="H174" s="7" t="s">
        <v>78</v>
      </c>
    </row>
    <row r="175" customFormat="false" ht="15" hidden="false" customHeight="false" outlineLevel="0" collapsed="false">
      <c r="A175" s="9" t="s">
        <v>430</v>
      </c>
      <c r="B175" s="19" t="s">
        <v>431</v>
      </c>
      <c r="C175" s="23" t="n">
        <v>0.1</v>
      </c>
      <c r="D175" s="23" t="n">
        <v>0.15</v>
      </c>
      <c r="E175" s="23" t="n">
        <v>0.2</v>
      </c>
      <c r="F175" s="7" t="s">
        <v>432</v>
      </c>
      <c r="G175" s="19" t="s">
        <v>433</v>
      </c>
      <c r="H175" s="7" t="s">
        <v>78</v>
      </c>
    </row>
    <row r="176" customFormat="false" ht="15" hidden="false" customHeight="false" outlineLevel="0" collapsed="false">
      <c r="A176" s="9" t="s">
        <v>434</v>
      </c>
      <c r="B176" s="19" t="s">
        <v>435</v>
      </c>
      <c r="C176" s="23" t="n">
        <v>0.02</v>
      </c>
      <c r="D176" s="23" t="n">
        <v>0.015</v>
      </c>
      <c r="E176" s="23" t="n">
        <v>0.01</v>
      </c>
      <c r="F176" s="7" t="s">
        <v>139</v>
      </c>
      <c r="G176" s="19"/>
      <c r="H176" s="7" t="s">
        <v>78</v>
      </c>
    </row>
    <row r="178" customFormat="false" ht="15" hidden="false" customHeight="false" outlineLevel="0" collapsed="false">
      <c r="A178" s="5" t="s">
        <v>436</v>
      </c>
      <c r="B178" s="6"/>
      <c r="C178" s="6"/>
      <c r="D178" s="6"/>
      <c r="E178" s="6"/>
      <c r="F178" s="6"/>
      <c r="G178" s="6"/>
      <c r="H178" s="6"/>
    </row>
    <row r="179" customFormat="false" ht="15" hidden="false" customHeight="false" outlineLevel="0" collapsed="false">
      <c r="A179" s="9" t="s">
        <v>437</v>
      </c>
      <c r="B179" s="19" t="s">
        <v>438</v>
      </c>
      <c r="C179" s="22" t="n">
        <v>2</v>
      </c>
      <c r="D179" s="22" t="n">
        <v>2</v>
      </c>
      <c r="E179" s="22" t="n">
        <v>2</v>
      </c>
      <c r="F179" s="7" t="s">
        <v>322</v>
      </c>
      <c r="G179" s="19" t="s">
        <v>439</v>
      </c>
      <c r="H179" s="7" t="s">
        <v>73</v>
      </c>
    </row>
    <row r="180" customFormat="false" ht="15" hidden="false" customHeight="false" outlineLevel="0" collapsed="false">
      <c r="A180" s="9" t="s">
        <v>440</v>
      </c>
      <c r="B180" s="19" t="s">
        <v>441</v>
      </c>
      <c r="C180" s="24" t="n">
        <v>0</v>
      </c>
      <c r="D180" s="24" t="n">
        <v>150</v>
      </c>
      <c r="E180" s="24" t="n">
        <v>300</v>
      </c>
      <c r="F180" s="7" t="s">
        <v>233</v>
      </c>
      <c r="G180" s="19" t="s">
        <v>442</v>
      </c>
      <c r="H180" s="7" t="s">
        <v>98</v>
      </c>
    </row>
    <row r="181" customFormat="false" ht="15" hidden="false" customHeight="false" outlineLevel="0" collapsed="false">
      <c r="A181" s="9" t="s">
        <v>443</v>
      </c>
      <c r="B181" s="19" t="s">
        <v>444</v>
      </c>
      <c r="C181" s="24" t="n">
        <v>150</v>
      </c>
      <c r="D181" s="24" t="n">
        <v>300</v>
      </c>
      <c r="E181" s="24" t="n">
        <v>600</v>
      </c>
      <c r="F181" s="7" t="s">
        <v>233</v>
      </c>
      <c r="G181" s="19" t="s">
        <v>445</v>
      </c>
      <c r="H181" s="7" t="s">
        <v>98</v>
      </c>
    </row>
    <row r="182" customFormat="false" ht="15" hidden="false" customHeight="false" outlineLevel="0" collapsed="false">
      <c r="A182" s="9" t="s">
        <v>446</v>
      </c>
      <c r="B182" s="19" t="s">
        <v>447</v>
      </c>
      <c r="C182" s="24" t="n">
        <v>250</v>
      </c>
      <c r="D182" s="24" t="n">
        <v>450</v>
      </c>
      <c r="E182" s="24" t="n">
        <v>900</v>
      </c>
      <c r="F182" s="7" t="s">
        <v>233</v>
      </c>
      <c r="G182" s="19" t="s">
        <v>448</v>
      </c>
      <c r="H182" s="7" t="s">
        <v>78</v>
      </c>
    </row>
  </sheetData>
  <mergeCells count="1">
    <mergeCell ref="A2:H3"/>
  </mergeCells>
  <dataValidations count="2">
    <dataValidation allowBlank="false" errorStyle="stop" operator="between" showDropDown="false" showErrorMessage="false" showInputMessage="false" sqref="C98:E98 C108:E108 C117:E117 C126:E126 C135:E135 C140:E140 C146:E146 C155:E155 C164:E164" type="whole">
      <formula1>0</formula1>
      <formula2>1</formula2>
    </dataValidation>
    <dataValidation allowBlank="false" errorStyle="stop" operator="between" showDropDown="false" showErrorMessage="false" showInputMessage="false" sqref="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R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10" min="5" style="0" width="11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52"/>
    <col collapsed="false" customWidth="true" hidden="false" outlineLevel="0" max="18" min="18" style="0" width="80"/>
  </cols>
  <sheetData>
    <row r="1" customFormat="false" ht="17.35" hidden="false" customHeight="false" outlineLevel="0" collapsed="false">
      <c r="A1" s="18" t="s">
        <v>449</v>
      </c>
    </row>
    <row r="2" customFormat="false" ht="27.75" hidden="false" customHeight="true" outlineLevel="0" collapsed="false">
      <c r="A2" s="2" t="s">
        <v>450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45" hidden="false" customHeight="true" outlineLevel="0" collapsed="false">
      <c r="A5" s="3" t="s">
        <v>451</v>
      </c>
      <c r="B5" s="4" t="s">
        <v>452</v>
      </c>
      <c r="C5" s="4" t="s">
        <v>453</v>
      </c>
      <c r="D5" s="4" t="s">
        <v>454</v>
      </c>
      <c r="E5" s="4" t="s">
        <v>455</v>
      </c>
      <c r="F5" s="4" t="s">
        <v>456</v>
      </c>
      <c r="G5" s="4" t="s">
        <v>457</v>
      </c>
      <c r="H5" s="4" t="s">
        <v>458</v>
      </c>
      <c r="I5" s="4" t="s">
        <v>459</v>
      </c>
      <c r="J5" s="4" t="s">
        <v>460</v>
      </c>
      <c r="K5" s="4" t="s">
        <v>461</v>
      </c>
      <c r="L5" s="4" t="s">
        <v>462</v>
      </c>
      <c r="M5" s="4" t="s">
        <v>463</v>
      </c>
      <c r="N5" s="4" t="s">
        <v>464</v>
      </c>
      <c r="O5" s="4" t="s">
        <v>465</v>
      </c>
      <c r="P5" s="4" t="s">
        <v>466</v>
      </c>
      <c r="Q5" s="4" t="s">
        <v>467</v>
      </c>
      <c r="R5" s="4" t="s">
        <v>468</v>
      </c>
    </row>
    <row r="6" customFormat="false" ht="15" hidden="false" customHeight="false" outlineLevel="0" collapsed="false">
      <c r="A6" s="7" t="s">
        <v>469</v>
      </c>
      <c r="B6" s="7" t="s">
        <v>470</v>
      </c>
      <c r="C6" s="7" t="s">
        <v>471</v>
      </c>
      <c r="D6" s="7" t="s">
        <v>472</v>
      </c>
      <c r="E6" s="26" t="n">
        <v>6.5</v>
      </c>
      <c r="F6" s="37" t="n">
        <v>0</v>
      </c>
      <c r="G6" s="29" t="n">
        <v>0</v>
      </c>
      <c r="H6" s="16" t="n">
        <f aca="false">Assumptions!$C$21</f>
        <v>0.029</v>
      </c>
      <c r="I6" s="15" t="n">
        <f aca="false">Assumptions!$C$22</f>
        <v>0.3</v>
      </c>
      <c r="J6" s="16" t="n">
        <f aca="false">Assumptions!$C$12</f>
        <v>0.02</v>
      </c>
      <c r="K6" s="29" t="n">
        <v>0</v>
      </c>
      <c r="L6" s="29" t="n">
        <v>0</v>
      </c>
      <c r="M6" s="29" t="n">
        <f aca="false">E6*(1-F6-H6-J6)-G6-I6-K6-L6</f>
        <v>5.8815</v>
      </c>
      <c r="N6" s="37" t="n">
        <f aca="false">IF(E6=0,0,M6/E6)</f>
        <v>0.904846153846154</v>
      </c>
      <c r="O6" s="29" t="n">
        <v>0</v>
      </c>
      <c r="P6" s="22" t="n">
        <v>25</v>
      </c>
      <c r="Q6" s="7" t="s">
        <v>473</v>
      </c>
      <c r="R6" s="7" t="s">
        <v>474</v>
      </c>
    </row>
    <row r="7" customFormat="false" ht="15" hidden="false" customHeight="false" outlineLevel="0" collapsed="false">
      <c r="A7" s="7" t="s">
        <v>469</v>
      </c>
      <c r="B7" s="7" t="s">
        <v>475</v>
      </c>
      <c r="C7" s="7" t="s">
        <v>471</v>
      </c>
      <c r="D7" s="7" t="s">
        <v>472</v>
      </c>
      <c r="E7" s="26" t="n">
        <v>6.5</v>
      </c>
      <c r="F7" s="37" t="n">
        <v>0</v>
      </c>
      <c r="G7" s="29" t="n">
        <v>0</v>
      </c>
      <c r="H7" s="16" t="n">
        <f aca="false">Assumptions!$C$21</f>
        <v>0.029</v>
      </c>
      <c r="I7" s="15" t="n">
        <f aca="false">Assumptions!$C$22</f>
        <v>0.3</v>
      </c>
      <c r="J7" s="16" t="n">
        <f aca="false">Assumptions!$C$12</f>
        <v>0.02</v>
      </c>
      <c r="K7" s="29" t="n">
        <v>0</v>
      </c>
      <c r="L7" s="29" t="n">
        <v>0</v>
      </c>
      <c r="M7" s="29" t="n">
        <f aca="false">E7*(1-F7-H7-J7)-G7-I7-K7-L7</f>
        <v>5.8815</v>
      </c>
      <c r="N7" s="37" t="n">
        <f aca="false">IF(E7=0,0,M7/E7)</f>
        <v>0.904846153846154</v>
      </c>
      <c r="O7" s="29" t="n">
        <v>0</v>
      </c>
      <c r="P7" s="22" t="n">
        <v>15</v>
      </c>
      <c r="Q7" s="7" t="s">
        <v>473</v>
      </c>
      <c r="R7" s="7" t="s">
        <v>476</v>
      </c>
    </row>
    <row r="8" customFormat="false" ht="15" hidden="false" customHeight="false" outlineLevel="0" collapsed="false">
      <c r="A8" s="7" t="s">
        <v>469</v>
      </c>
      <c r="B8" s="7" t="s">
        <v>477</v>
      </c>
      <c r="C8" s="7" t="s">
        <v>471</v>
      </c>
      <c r="D8" s="7" t="s">
        <v>472</v>
      </c>
      <c r="E8" s="26" t="n">
        <v>11</v>
      </c>
      <c r="F8" s="37" t="n">
        <v>0</v>
      </c>
      <c r="G8" s="29" t="n">
        <v>0</v>
      </c>
      <c r="H8" s="16" t="n">
        <f aca="false">Assumptions!$C$21</f>
        <v>0.029</v>
      </c>
      <c r="I8" s="15" t="n">
        <f aca="false">Assumptions!$C$22</f>
        <v>0.3</v>
      </c>
      <c r="J8" s="16" t="n">
        <f aca="false">Assumptions!$C$12</f>
        <v>0.02</v>
      </c>
      <c r="K8" s="29" t="n">
        <v>0</v>
      </c>
      <c r="L8" s="29" t="n">
        <v>0</v>
      </c>
      <c r="M8" s="29" t="n">
        <f aca="false">E8*(1-F8-H8-J8)-G8-I8-K8-L8</f>
        <v>10.161</v>
      </c>
      <c r="N8" s="37" t="n">
        <f aca="false">IF(E8=0,0,M8/E8)</f>
        <v>0.923727272727273</v>
      </c>
      <c r="O8" s="29" t="n">
        <v>0</v>
      </c>
      <c r="P8" s="22" t="n">
        <v>20</v>
      </c>
      <c r="Q8" s="7" t="s">
        <v>473</v>
      </c>
      <c r="R8" s="7" t="s">
        <v>478</v>
      </c>
    </row>
    <row r="9" customFormat="false" ht="15" hidden="false" customHeight="false" outlineLevel="0" collapsed="false">
      <c r="A9" s="7" t="s">
        <v>469</v>
      </c>
      <c r="B9" s="7" t="s">
        <v>479</v>
      </c>
      <c r="C9" s="7" t="s">
        <v>471</v>
      </c>
      <c r="D9" s="7" t="s">
        <v>472</v>
      </c>
      <c r="E9" s="26" t="n">
        <v>11.99</v>
      </c>
      <c r="F9" s="37" t="n">
        <v>0</v>
      </c>
      <c r="G9" s="29" t="n">
        <v>0</v>
      </c>
      <c r="H9" s="16" t="n">
        <f aca="false">Assumptions!$C$21</f>
        <v>0.029</v>
      </c>
      <c r="I9" s="15" t="n">
        <f aca="false">Assumptions!$C$22</f>
        <v>0.3</v>
      </c>
      <c r="J9" s="16" t="n">
        <f aca="false">Assumptions!$C$12</f>
        <v>0.02</v>
      </c>
      <c r="K9" s="29" t="n">
        <v>0</v>
      </c>
      <c r="L9" s="29" t="n">
        <v>0</v>
      </c>
      <c r="M9" s="29" t="n">
        <f aca="false">E9*(1-F9-H9-J9)-G9-I9-K9-L9</f>
        <v>11.10249</v>
      </c>
      <c r="N9" s="37" t="n">
        <f aca="false">IF(E9=0,0,M9/E9)</f>
        <v>0.925979149291076</v>
      </c>
      <c r="O9" s="29" t="n">
        <v>0</v>
      </c>
      <c r="P9" s="22" t="n">
        <v>18</v>
      </c>
      <c r="Q9" s="7" t="s">
        <v>473</v>
      </c>
      <c r="R9" s="7" t="s">
        <v>480</v>
      </c>
    </row>
    <row r="10" customFormat="false" ht="15" hidden="false" customHeight="false" outlineLevel="0" collapsed="false">
      <c r="A10" s="7" t="s">
        <v>469</v>
      </c>
      <c r="B10" s="7" t="s">
        <v>481</v>
      </c>
      <c r="C10" s="7" t="s">
        <v>471</v>
      </c>
      <c r="D10" s="7" t="s">
        <v>472</v>
      </c>
      <c r="E10" s="26" t="n">
        <v>9.99</v>
      </c>
      <c r="F10" s="37" t="n">
        <v>0</v>
      </c>
      <c r="G10" s="29" t="n">
        <v>0</v>
      </c>
      <c r="H10" s="16" t="n">
        <f aca="false">Assumptions!$C$21</f>
        <v>0.029</v>
      </c>
      <c r="I10" s="15" t="n">
        <f aca="false">Assumptions!$C$22</f>
        <v>0.3</v>
      </c>
      <c r="J10" s="16" t="n">
        <f aca="false">Assumptions!$C$12</f>
        <v>0.02</v>
      </c>
      <c r="K10" s="29" t="n">
        <v>0</v>
      </c>
      <c r="L10" s="29" t="n">
        <v>0</v>
      </c>
      <c r="M10" s="29" t="n">
        <f aca="false">E10*(1-F10-H10-J10)-G10-I10-K10-L10</f>
        <v>9.20049</v>
      </c>
      <c r="N10" s="37" t="n">
        <f aca="false">IF(E10=0,0,M10/E10)</f>
        <v>0.92096996996997</v>
      </c>
      <c r="O10" s="29" t="n">
        <v>0</v>
      </c>
      <c r="P10" s="22" t="n">
        <v>10</v>
      </c>
      <c r="Q10" s="7" t="s">
        <v>473</v>
      </c>
      <c r="R10" s="7" t="s">
        <v>482</v>
      </c>
    </row>
    <row r="11" customFormat="false" ht="15" hidden="false" customHeight="false" outlineLevel="0" collapsed="false">
      <c r="A11" s="7" t="s">
        <v>469</v>
      </c>
      <c r="B11" s="7" t="s">
        <v>483</v>
      </c>
      <c r="C11" s="7" t="s">
        <v>471</v>
      </c>
      <c r="D11" s="7" t="s">
        <v>472</v>
      </c>
      <c r="E11" s="26" t="n">
        <v>6</v>
      </c>
      <c r="F11" s="37" t="n">
        <v>0</v>
      </c>
      <c r="G11" s="29" t="n">
        <v>0</v>
      </c>
      <c r="H11" s="16" t="n">
        <f aca="false">Assumptions!$C$21</f>
        <v>0.029</v>
      </c>
      <c r="I11" s="15" t="n">
        <f aca="false">Assumptions!$C$22</f>
        <v>0.3</v>
      </c>
      <c r="J11" s="16" t="n">
        <f aca="false">Assumptions!$C$12</f>
        <v>0.02</v>
      </c>
      <c r="K11" s="29" t="n">
        <v>0</v>
      </c>
      <c r="L11" s="29" t="n">
        <v>0</v>
      </c>
      <c r="M11" s="29" t="n">
        <f aca="false">E11*(1-F11-H11-J11)-G11-I11-K11-L11</f>
        <v>5.406</v>
      </c>
      <c r="N11" s="37" t="n">
        <f aca="false">IF(E11=0,0,M11/E11)</f>
        <v>0.901</v>
      </c>
      <c r="O11" s="29" t="n">
        <v>0</v>
      </c>
      <c r="P11" s="22" t="n">
        <v>5</v>
      </c>
      <c r="Q11" s="7" t="s">
        <v>473</v>
      </c>
      <c r="R11" s="7" t="s">
        <v>484</v>
      </c>
    </row>
    <row r="12" customFormat="false" ht="15" hidden="false" customHeight="false" outlineLevel="0" collapsed="false">
      <c r="A12" s="7" t="s">
        <v>469</v>
      </c>
      <c r="B12" s="7" t="s">
        <v>485</v>
      </c>
      <c r="C12" s="7" t="s">
        <v>471</v>
      </c>
      <c r="D12" s="7" t="s">
        <v>472</v>
      </c>
      <c r="E12" s="26" t="n">
        <v>6.99</v>
      </c>
      <c r="F12" s="37" t="n">
        <v>0</v>
      </c>
      <c r="G12" s="29" t="n">
        <v>0</v>
      </c>
      <c r="H12" s="16" t="n">
        <f aca="false">Assumptions!$C$21</f>
        <v>0.029</v>
      </c>
      <c r="I12" s="15" t="n">
        <f aca="false">Assumptions!$C$22</f>
        <v>0.3</v>
      </c>
      <c r="J12" s="16" t="n">
        <f aca="false">Assumptions!$C$12</f>
        <v>0.02</v>
      </c>
      <c r="K12" s="29" t="n">
        <v>0</v>
      </c>
      <c r="L12" s="29" t="n">
        <v>0</v>
      </c>
      <c r="M12" s="29" t="n">
        <f aca="false">E12*(1-F12-H12-J12)-G12-I12-K12-L12</f>
        <v>6.34749</v>
      </c>
      <c r="N12" s="37" t="n">
        <f aca="false">IF(E12=0,0,M12/E12)</f>
        <v>0.908081545064378</v>
      </c>
      <c r="O12" s="29" t="n">
        <v>0</v>
      </c>
      <c r="P12" s="22" t="n">
        <v>3</v>
      </c>
      <c r="Q12" s="7" t="s">
        <v>473</v>
      </c>
      <c r="R12" s="7" t="s">
        <v>486</v>
      </c>
    </row>
    <row r="13" customFormat="false" ht="15" hidden="false" customHeight="false" outlineLevel="0" collapsed="false">
      <c r="A13" s="7" t="s">
        <v>469</v>
      </c>
      <c r="B13" s="7" t="s">
        <v>487</v>
      </c>
      <c r="C13" s="7" t="s">
        <v>471</v>
      </c>
      <c r="D13" s="7" t="s">
        <v>472</v>
      </c>
      <c r="E13" s="26" t="n">
        <v>6</v>
      </c>
      <c r="F13" s="37" t="n">
        <v>0</v>
      </c>
      <c r="G13" s="29" t="n">
        <v>0</v>
      </c>
      <c r="H13" s="16" t="n">
        <f aca="false">Assumptions!$C$21</f>
        <v>0.029</v>
      </c>
      <c r="I13" s="15" t="n">
        <f aca="false">Assumptions!$C$22</f>
        <v>0.3</v>
      </c>
      <c r="J13" s="16" t="n">
        <f aca="false">Assumptions!$C$12</f>
        <v>0.02</v>
      </c>
      <c r="K13" s="29" t="n">
        <v>0</v>
      </c>
      <c r="L13" s="29" t="n">
        <v>0</v>
      </c>
      <c r="M13" s="29" t="n">
        <f aca="false">E13*(1-F13-H13-J13)-G13-I13-K13-L13</f>
        <v>5.406</v>
      </c>
      <c r="N13" s="37" t="n">
        <f aca="false">IF(E13=0,0,M13/E13)</f>
        <v>0.901</v>
      </c>
      <c r="O13" s="29" t="n">
        <v>0</v>
      </c>
      <c r="P13" s="22" t="n">
        <v>2</v>
      </c>
      <c r="Q13" s="7" t="s">
        <v>473</v>
      </c>
      <c r="R13" s="7" t="s">
        <v>488</v>
      </c>
    </row>
    <row r="14" customFormat="false" ht="15" hidden="false" customHeight="false" outlineLevel="0" collapsed="false">
      <c r="A14" s="7" t="s">
        <v>469</v>
      </c>
      <c r="B14" s="7" t="s">
        <v>489</v>
      </c>
      <c r="C14" s="7" t="s">
        <v>490</v>
      </c>
      <c r="D14" s="7" t="s">
        <v>472</v>
      </c>
      <c r="E14" s="26" t="n">
        <v>27</v>
      </c>
      <c r="F14" s="37" t="n">
        <v>0</v>
      </c>
      <c r="G14" s="29" t="n">
        <v>0</v>
      </c>
      <c r="H14" s="16" t="n">
        <f aca="false">Assumptions!$C$21</f>
        <v>0.029</v>
      </c>
      <c r="I14" s="15" t="n">
        <f aca="false">Assumptions!$C$22</f>
        <v>0.3</v>
      </c>
      <c r="J14" s="16" t="n">
        <f aca="false">Assumptions!$C$12</f>
        <v>0.02</v>
      </c>
      <c r="K14" s="15" t="n">
        <f aca="false">Assumptions!$C$49</f>
        <v>12.5</v>
      </c>
      <c r="L14" s="29" t="n">
        <v>0</v>
      </c>
      <c r="M14" s="29" t="n">
        <f aca="false">E14*(1-F14-H14-J14)-G14-I14-K14-L14</f>
        <v>12.877</v>
      </c>
      <c r="N14" s="37" t="n">
        <f aca="false">IF(E14=0,0,M14/E14)</f>
        <v>0.476925925925926</v>
      </c>
      <c r="O14" s="29" t="n">
        <v>0</v>
      </c>
      <c r="P14" s="22" t="n">
        <v>2</v>
      </c>
      <c r="Q14" s="7" t="s">
        <v>473</v>
      </c>
      <c r="R14" s="7" t="s">
        <v>491</v>
      </c>
    </row>
    <row r="15" customFormat="false" ht="15" hidden="false" customHeight="false" outlineLevel="0" collapsed="false">
      <c r="A15" s="7" t="s">
        <v>492</v>
      </c>
      <c r="B15" s="7" t="s">
        <v>470</v>
      </c>
      <c r="C15" s="7" t="s">
        <v>493</v>
      </c>
      <c r="D15" s="7" t="s">
        <v>472</v>
      </c>
      <c r="E15" s="29" t="n">
        <f aca="false">E6</f>
        <v>6.5</v>
      </c>
      <c r="F15" s="16" t="n">
        <f aca="false">Assumptions!$C$23+Assumptions!$C$27*Assumptions!$C$28</f>
        <v>0.08</v>
      </c>
      <c r="G15" s="15" t="n">
        <f aca="false">Assumptions!$C$26</f>
        <v>0.2</v>
      </c>
      <c r="H15" s="16" t="n">
        <f aca="false">Assumptions!$C$24</f>
        <v>0.03</v>
      </c>
      <c r="I15" s="15" t="n">
        <f aca="false">Assumptions!$C$25</f>
        <v>0.25</v>
      </c>
      <c r="J15" s="16" t="n">
        <f aca="false">Assumptions!$C$12</f>
        <v>0.02</v>
      </c>
      <c r="K15" s="29" t="n">
        <v>0</v>
      </c>
      <c r="L15" s="29" t="n">
        <v>0</v>
      </c>
      <c r="M15" s="29" t="n">
        <f aca="false">E15*(1-F15-H15-J15)-G15-I15-K15-L15</f>
        <v>5.205</v>
      </c>
      <c r="N15" s="37" t="n">
        <f aca="false">IF(E15=0,0,M15/E15)</f>
        <v>0.800769230769231</v>
      </c>
      <c r="O15" s="29" t="n">
        <v>0</v>
      </c>
      <c r="P15" s="22" t="n">
        <v>25</v>
      </c>
      <c r="Q15" s="7" t="s">
        <v>494</v>
      </c>
      <c r="R15" s="7" t="s">
        <v>495</v>
      </c>
    </row>
    <row r="16" customFormat="false" ht="15" hidden="false" customHeight="false" outlineLevel="0" collapsed="false">
      <c r="A16" s="7" t="s">
        <v>492</v>
      </c>
      <c r="B16" s="7" t="s">
        <v>475</v>
      </c>
      <c r="C16" s="7" t="s">
        <v>493</v>
      </c>
      <c r="D16" s="7" t="s">
        <v>472</v>
      </c>
      <c r="E16" s="29" t="n">
        <f aca="false">E7</f>
        <v>6.5</v>
      </c>
      <c r="F16" s="16" t="n">
        <f aca="false">Assumptions!$C$23+Assumptions!$C$27*Assumptions!$C$28</f>
        <v>0.08</v>
      </c>
      <c r="G16" s="15" t="n">
        <f aca="false">Assumptions!$C$26</f>
        <v>0.2</v>
      </c>
      <c r="H16" s="16" t="n">
        <f aca="false">Assumptions!$C$24</f>
        <v>0.03</v>
      </c>
      <c r="I16" s="15" t="n">
        <f aca="false">Assumptions!$C$25</f>
        <v>0.25</v>
      </c>
      <c r="J16" s="16" t="n">
        <f aca="false">Assumptions!$C$12</f>
        <v>0.02</v>
      </c>
      <c r="K16" s="29" t="n">
        <v>0</v>
      </c>
      <c r="L16" s="29" t="n">
        <v>0</v>
      </c>
      <c r="M16" s="29" t="n">
        <f aca="false">E16*(1-F16-H16-J16)-G16-I16-K16-L16</f>
        <v>5.205</v>
      </c>
      <c r="N16" s="37" t="n">
        <f aca="false">IF(E16=0,0,M16/E16)</f>
        <v>0.800769230769231</v>
      </c>
      <c r="O16" s="29" t="n">
        <v>0</v>
      </c>
      <c r="P16" s="22" t="n">
        <v>15</v>
      </c>
      <c r="Q16" s="7" t="s">
        <v>494</v>
      </c>
      <c r="R16" s="7" t="s">
        <v>495</v>
      </c>
    </row>
    <row r="17" customFormat="false" ht="15" hidden="false" customHeight="false" outlineLevel="0" collapsed="false">
      <c r="A17" s="7" t="s">
        <v>492</v>
      </c>
      <c r="B17" s="7" t="s">
        <v>477</v>
      </c>
      <c r="C17" s="7" t="s">
        <v>493</v>
      </c>
      <c r="D17" s="7" t="s">
        <v>472</v>
      </c>
      <c r="E17" s="29" t="n">
        <f aca="false">E8</f>
        <v>11</v>
      </c>
      <c r="F17" s="16" t="n">
        <f aca="false">Assumptions!$C$23+Assumptions!$C$27*Assumptions!$C$28</f>
        <v>0.08</v>
      </c>
      <c r="G17" s="15" t="n">
        <f aca="false">Assumptions!$C$26</f>
        <v>0.2</v>
      </c>
      <c r="H17" s="16" t="n">
        <f aca="false">Assumptions!$C$24</f>
        <v>0.03</v>
      </c>
      <c r="I17" s="15" t="n">
        <f aca="false">Assumptions!$C$25</f>
        <v>0.25</v>
      </c>
      <c r="J17" s="16" t="n">
        <f aca="false">Assumptions!$C$12</f>
        <v>0.02</v>
      </c>
      <c r="K17" s="29" t="n">
        <v>0</v>
      </c>
      <c r="L17" s="29" t="n">
        <v>0</v>
      </c>
      <c r="M17" s="29" t="n">
        <f aca="false">E17*(1-F17-H17-J17)-G17-I17-K17-L17</f>
        <v>9.12</v>
      </c>
      <c r="N17" s="37" t="n">
        <f aca="false">IF(E17=0,0,M17/E17)</f>
        <v>0.829090909090909</v>
      </c>
      <c r="O17" s="29" t="n">
        <v>0</v>
      </c>
      <c r="P17" s="22" t="n">
        <v>20</v>
      </c>
      <c r="Q17" s="7" t="s">
        <v>494</v>
      </c>
      <c r="R17" s="7" t="s">
        <v>495</v>
      </c>
    </row>
    <row r="18" customFormat="false" ht="15" hidden="false" customHeight="false" outlineLevel="0" collapsed="false">
      <c r="A18" s="7" t="s">
        <v>492</v>
      </c>
      <c r="B18" s="7" t="s">
        <v>479</v>
      </c>
      <c r="C18" s="7" t="s">
        <v>493</v>
      </c>
      <c r="D18" s="7" t="s">
        <v>472</v>
      </c>
      <c r="E18" s="29" t="n">
        <f aca="false">E9</f>
        <v>11.99</v>
      </c>
      <c r="F18" s="16" t="n">
        <f aca="false">Assumptions!$C$23+Assumptions!$C$27*Assumptions!$C$28</f>
        <v>0.08</v>
      </c>
      <c r="G18" s="15" t="n">
        <f aca="false">Assumptions!$C$26</f>
        <v>0.2</v>
      </c>
      <c r="H18" s="16" t="n">
        <f aca="false">Assumptions!$C$24</f>
        <v>0.03</v>
      </c>
      <c r="I18" s="15" t="n">
        <f aca="false">Assumptions!$C$25</f>
        <v>0.25</v>
      </c>
      <c r="J18" s="16" t="n">
        <f aca="false">Assumptions!$C$12</f>
        <v>0.02</v>
      </c>
      <c r="K18" s="29" t="n">
        <v>0</v>
      </c>
      <c r="L18" s="29" t="n">
        <v>0</v>
      </c>
      <c r="M18" s="29" t="n">
        <f aca="false">E18*(1-F18-H18-J18)-G18-I18-K18-L18</f>
        <v>9.9813</v>
      </c>
      <c r="N18" s="37" t="n">
        <f aca="false">IF(E18=0,0,M18/E18)</f>
        <v>0.832468723936614</v>
      </c>
      <c r="O18" s="29" t="n">
        <v>0</v>
      </c>
      <c r="P18" s="22" t="n">
        <v>18</v>
      </c>
      <c r="Q18" s="7" t="s">
        <v>494</v>
      </c>
      <c r="R18" s="7" t="s">
        <v>495</v>
      </c>
    </row>
    <row r="19" customFormat="false" ht="15" hidden="false" customHeight="false" outlineLevel="0" collapsed="false">
      <c r="A19" s="7" t="s">
        <v>492</v>
      </c>
      <c r="B19" s="7" t="s">
        <v>481</v>
      </c>
      <c r="C19" s="7" t="s">
        <v>493</v>
      </c>
      <c r="D19" s="7" t="s">
        <v>472</v>
      </c>
      <c r="E19" s="29" t="n">
        <f aca="false">E10</f>
        <v>9.99</v>
      </c>
      <c r="F19" s="16" t="n">
        <f aca="false">Assumptions!$C$23+Assumptions!$C$27*Assumptions!$C$28</f>
        <v>0.08</v>
      </c>
      <c r="G19" s="15" t="n">
        <f aca="false">Assumptions!$C$26</f>
        <v>0.2</v>
      </c>
      <c r="H19" s="16" t="n">
        <f aca="false">Assumptions!$C$24</f>
        <v>0.03</v>
      </c>
      <c r="I19" s="15" t="n">
        <f aca="false">Assumptions!$C$25</f>
        <v>0.25</v>
      </c>
      <c r="J19" s="16" t="n">
        <f aca="false">Assumptions!$C$12</f>
        <v>0.02</v>
      </c>
      <c r="K19" s="29" t="n">
        <v>0</v>
      </c>
      <c r="L19" s="29" t="n">
        <v>0</v>
      </c>
      <c r="M19" s="29" t="n">
        <f aca="false">E19*(1-F19-H19-J19)-G19-I19-K19-L19</f>
        <v>8.2413</v>
      </c>
      <c r="N19" s="37" t="n">
        <f aca="false">IF(E19=0,0,M19/E19)</f>
        <v>0.824954954954955</v>
      </c>
      <c r="O19" s="29" t="n">
        <v>0</v>
      </c>
      <c r="P19" s="22" t="n">
        <v>10</v>
      </c>
      <c r="Q19" s="7" t="s">
        <v>494</v>
      </c>
      <c r="R19" s="7" t="s">
        <v>495</v>
      </c>
    </row>
    <row r="20" customFormat="false" ht="15" hidden="false" customHeight="false" outlineLevel="0" collapsed="false">
      <c r="A20" s="7" t="s">
        <v>492</v>
      </c>
      <c r="B20" s="7" t="s">
        <v>483</v>
      </c>
      <c r="C20" s="7" t="s">
        <v>493</v>
      </c>
      <c r="D20" s="7" t="s">
        <v>472</v>
      </c>
      <c r="E20" s="29" t="n">
        <f aca="false">E11</f>
        <v>6</v>
      </c>
      <c r="F20" s="16" t="n">
        <f aca="false">Assumptions!$C$23+Assumptions!$C$27*Assumptions!$C$28</f>
        <v>0.08</v>
      </c>
      <c r="G20" s="15" t="n">
        <f aca="false">Assumptions!$C$26</f>
        <v>0.2</v>
      </c>
      <c r="H20" s="16" t="n">
        <f aca="false">Assumptions!$C$24</f>
        <v>0.03</v>
      </c>
      <c r="I20" s="15" t="n">
        <f aca="false">Assumptions!$C$25</f>
        <v>0.25</v>
      </c>
      <c r="J20" s="16" t="n">
        <f aca="false">Assumptions!$C$12</f>
        <v>0.02</v>
      </c>
      <c r="K20" s="29" t="n">
        <v>0</v>
      </c>
      <c r="L20" s="29" t="n">
        <v>0</v>
      </c>
      <c r="M20" s="29" t="n">
        <f aca="false">E20*(1-F20-H20-J20)-G20-I20-K20-L20</f>
        <v>4.77</v>
      </c>
      <c r="N20" s="37" t="n">
        <f aca="false">IF(E20=0,0,M20/E20)</f>
        <v>0.795</v>
      </c>
      <c r="O20" s="29" t="n">
        <v>0</v>
      </c>
      <c r="P20" s="22" t="n">
        <v>5</v>
      </c>
      <c r="Q20" s="7" t="s">
        <v>494</v>
      </c>
      <c r="R20" s="7" t="s">
        <v>495</v>
      </c>
    </row>
    <row r="21" customFormat="false" ht="15" hidden="false" customHeight="false" outlineLevel="0" collapsed="false">
      <c r="A21" s="7" t="s">
        <v>492</v>
      </c>
      <c r="B21" s="7" t="s">
        <v>485</v>
      </c>
      <c r="C21" s="7" t="s">
        <v>493</v>
      </c>
      <c r="D21" s="7" t="s">
        <v>472</v>
      </c>
      <c r="E21" s="29" t="n">
        <f aca="false">E12</f>
        <v>6.99</v>
      </c>
      <c r="F21" s="16" t="n">
        <f aca="false">Assumptions!$C$23+Assumptions!$C$27*Assumptions!$C$28</f>
        <v>0.08</v>
      </c>
      <c r="G21" s="15" t="n">
        <f aca="false">Assumptions!$C$26</f>
        <v>0.2</v>
      </c>
      <c r="H21" s="16" t="n">
        <f aca="false">Assumptions!$C$24</f>
        <v>0.03</v>
      </c>
      <c r="I21" s="15" t="n">
        <f aca="false">Assumptions!$C$25</f>
        <v>0.25</v>
      </c>
      <c r="J21" s="16" t="n">
        <f aca="false">Assumptions!$C$12</f>
        <v>0.02</v>
      </c>
      <c r="K21" s="29" t="n">
        <v>0</v>
      </c>
      <c r="L21" s="29" t="n">
        <v>0</v>
      </c>
      <c r="M21" s="29" t="n">
        <f aca="false">E21*(1-F21-H21-J21)-G21-I21-K21-L21</f>
        <v>5.6313</v>
      </c>
      <c r="N21" s="37" t="n">
        <f aca="false">IF(E21=0,0,M21/E21)</f>
        <v>0.805622317596567</v>
      </c>
      <c r="O21" s="29" t="n">
        <v>0</v>
      </c>
      <c r="P21" s="22" t="n">
        <v>3</v>
      </c>
      <c r="Q21" s="7" t="s">
        <v>494</v>
      </c>
      <c r="R21" s="7" t="s">
        <v>495</v>
      </c>
    </row>
    <row r="22" customFormat="false" ht="15" hidden="false" customHeight="false" outlineLevel="0" collapsed="false">
      <c r="A22" s="7" t="s">
        <v>492</v>
      </c>
      <c r="B22" s="7" t="s">
        <v>487</v>
      </c>
      <c r="C22" s="7" t="s">
        <v>493</v>
      </c>
      <c r="D22" s="7" t="s">
        <v>472</v>
      </c>
      <c r="E22" s="29" t="n">
        <f aca="false">E13</f>
        <v>6</v>
      </c>
      <c r="F22" s="16" t="n">
        <f aca="false">Assumptions!$C$23+Assumptions!$C$27*Assumptions!$C$28</f>
        <v>0.08</v>
      </c>
      <c r="G22" s="15" t="n">
        <f aca="false">Assumptions!$C$26</f>
        <v>0.2</v>
      </c>
      <c r="H22" s="16" t="n">
        <f aca="false">Assumptions!$C$24</f>
        <v>0.03</v>
      </c>
      <c r="I22" s="15" t="n">
        <f aca="false">Assumptions!$C$25</f>
        <v>0.25</v>
      </c>
      <c r="J22" s="16" t="n">
        <f aca="false">Assumptions!$C$12</f>
        <v>0.02</v>
      </c>
      <c r="K22" s="29" t="n">
        <v>0</v>
      </c>
      <c r="L22" s="29" t="n">
        <v>0</v>
      </c>
      <c r="M22" s="29" t="n">
        <f aca="false">E22*(1-F22-H22-J22)-G22-I22-K22-L22</f>
        <v>4.77</v>
      </c>
      <c r="N22" s="37" t="n">
        <f aca="false">IF(E22=0,0,M22/E22)</f>
        <v>0.795</v>
      </c>
      <c r="O22" s="29" t="n">
        <v>0</v>
      </c>
      <c r="P22" s="22" t="n">
        <v>2</v>
      </c>
      <c r="Q22" s="7" t="s">
        <v>494</v>
      </c>
      <c r="R22" s="7" t="s">
        <v>495</v>
      </c>
    </row>
    <row r="23" customFormat="false" ht="15" hidden="false" customHeight="false" outlineLevel="0" collapsed="false">
      <c r="A23" s="7" t="s">
        <v>496</v>
      </c>
      <c r="B23" s="7" t="s">
        <v>470</v>
      </c>
      <c r="C23" s="7" t="s">
        <v>497</v>
      </c>
      <c r="D23" s="7" t="s">
        <v>498</v>
      </c>
      <c r="E23" s="29" t="n">
        <f aca="false">E6</f>
        <v>6.5</v>
      </c>
      <c r="F23" s="16" t="n">
        <f aca="false">Assumptions!$C$38</f>
        <v>0.1</v>
      </c>
      <c r="G23" s="15" t="n">
        <f aca="false">Assumptions!$C$39</f>
        <v>0.5</v>
      </c>
      <c r="H23" s="37" t="n">
        <v>0</v>
      </c>
      <c r="I23" s="29" t="n">
        <v>0</v>
      </c>
      <c r="J23" s="16" t="n">
        <f aca="false">Assumptions!$C$12</f>
        <v>0.02</v>
      </c>
      <c r="K23" s="29" t="n">
        <v>0</v>
      </c>
      <c r="L23" s="29" t="n">
        <v>0</v>
      </c>
      <c r="M23" s="29" t="n">
        <f aca="false">E23*(1-F23-H23-J23)-G23-I23-K23-L23</f>
        <v>5.22</v>
      </c>
      <c r="N23" s="37" t="n">
        <f aca="false">IF(E23=0,0,M23/E23)</f>
        <v>0.803076923076923</v>
      </c>
      <c r="O23" s="29" t="n">
        <v>0</v>
      </c>
      <c r="P23" s="22" t="n">
        <v>25</v>
      </c>
      <c r="Q23" s="7" t="s">
        <v>499</v>
      </c>
      <c r="R23" s="7" t="s">
        <v>500</v>
      </c>
    </row>
    <row r="24" customFormat="false" ht="15" hidden="false" customHeight="false" outlineLevel="0" collapsed="false">
      <c r="A24" s="7" t="s">
        <v>496</v>
      </c>
      <c r="B24" s="7" t="s">
        <v>475</v>
      </c>
      <c r="C24" s="7" t="s">
        <v>497</v>
      </c>
      <c r="D24" s="7" t="s">
        <v>498</v>
      </c>
      <c r="E24" s="29" t="n">
        <f aca="false">E7</f>
        <v>6.5</v>
      </c>
      <c r="F24" s="16" t="n">
        <f aca="false">Assumptions!$C$38</f>
        <v>0.1</v>
      </c>
      <c r="G24" s="15" t="n">
        <f aca="false">Assumptions!$C$39</f>
        <v>0.5</v>
      </c>
      <c r="H24" s="37" t="n">
        <v>0</v>
      </c>
      <c r="I24" s="29" t="n">
        <v>0</v>
      </c>
      <c r="J24" s="16" t="n">
        <f aca="false">Assumptions!$C$12</f>
        <v>0.02</v>
      </c>
      <c r="K24" s="29" t="n">
        <v>0</v>
      </c>
      <c r="L24" s="29" t="n">
        <v>0</v>
      </c>
      <c r="M24" s="29" t="n">
        <f aca="false">E24*(1-F24-H24-J24)-G24-I24-K24-L24</f>
        <v>5.22</v>
      </c>
      <c r="N24" s="37" t="n">
        <f aca="false">IF(E24=0,0,M24/E24)</f>
        <v>0.803076923076923</v>
      </c>
      <c r="O24" s="29" t="n">
        <v>0</v>
      </c>
      <c r="P24" s="22" t="n">
        <v>15</v>
      </c>
      <c r="Q24" s="7" t="s">
        <v>499</v>
      </c>
      <c r="R24" s="7" t="s">
        <v>500</v>
      </c>
    </row>
    <row r="25" customFormat="false" ht="15" hidden="false" customHeight="false" outlineLevel="0" collapsed="false">
      <c r="A25" s="7" t="s">
        <v>496</v>
      </c>
      <c r="B25" s="7" t="s">
        <v>477</v>
      </c>
      <c r="C25" s="7" t="s">
        <v>497</v>
      </c>
      <c r="D25" s="7" t="s">
        <v>498</v>
      </c>
      <c r="E25" s="29" t="n">
        <f aca="false">E8</f>
        <v>11</v>
      </c>
      <c r="F25" s="16" t="n">
        <f aca="false">Assumptions!$C$38</f>
        <v>0.1</v>
      </c>
      <c r="G25" s="15" t="n">
        <f aca="false">Assumptions!$C$39</f>
        <v>0.5</v>
      </c>
      <c r="H25" s="37" t="n">
        <v>0</v>
      </c>
      <c r="I25" s="29" t="n">
        <v>0</v>
      </c>
      <c r="J25" s="16" t="n">
        <f aca="false">Assumptions!$C$12</f>
        <v>0.02</v>
      </c>
      <c r="K25" s="29" t="n">
        <v>0</v>
      </c>
      <c r="L25" s="29" t="n">
        <v>0</v>
      </c>
      <c r="M25" s="29" t="n">
        <f aca="false">E25*(1-F25-H25-J25)-G25-I25-K25-L25</f>
        <v>9.18</v>
      </c>
      <c r="N25" s="37" t="n">
        <f aca="false">IF(E25=0,0,M25/E25)</f>
        <v>0.834545454545455</v>
      </c>
      <c r="O25" s="29" t="n">
        <v>0</v>
      </c>
      <c r="P25" s="22" t="n">
        <v>20</v>
      </c>
      <c r="Q25" s="7" t="s">
        <v>499</v>
      </c>
      <c r="R25" s="7" t="s">
        <v>500</v>
      </c>
    </row>
    <row r="26" customFormat="false" ht="15" hidden="false" customHeight="false" outlineLevel="0" collapsed="false">
      <c r="A26" s="7" t="s">
        <v>496</v>
      </c>
      <c r="B26" s="7" t="s">
        <v>479</v>
      </c>
      <c r="C26" s="7" t="s">
        <v>497</v>
      </c>
      <c r="D26" s="7" t="s">
        <v>498</v>
      </c>
      <c r="E26" s="29" t="n">
        <f aca="false">E9</f>
        <v>11.99</v>
      </c>
      <c r="F26" s="16" t="n">
        <f aca="false">Assumptions!$C$38</f>
        <v>0.1</v>
      </c>
      <c r="G26" s="15" t="n">
        <f aca="false">Assumptions!$C$39</f>
        <v>0.5</v>
      </c>
      <c r="H26" s="37" t="n">
        <v>0</v>
      </c>
      <c r="I26" s="29" t="n">
        <v>0</v>
      </c>
      <c r="J26" s="16" t="n">
        <f aca="false">Assumptions!$C$12</f>
        <v>0.02</v>
      </c>
      <c r="K26" s="29" t="n">
        <v>0</v>
      </c>
      <c r="L26" s="29" t="n">
        <v>0</v>
      </c>
      <c r="M26" s="29" t="n">
        <f aca="false">E26*(1-F26-H26-J26)-G26-I26-K26-L26</f>
        <v>10.0512</v>
      </c>
      <c r="N26" s="37" t="n">
        <f aca="false">IF(E26=0,0,M26/E26)</f>
        <v>0.838298582151793</v>
      </c>
      <c r="O26" s="29" t="n">
        <v>0</v>
      </c>
      <c r="P26" s="22" t="n">
        <v>18</v>
      </c>
      <c r="Q26" s="7" t="s">
        <v>499</v>
      </c>
      <c r="R26" s="7" t="s">
        <v>500</v>
      </c>
    </row>
    <row r="27" customFormat="false" ht="15" hidden="false" customHeight="false" outlineLevel="0" collapsed="false">
      <c r="A27" s="7" t="s">
        <v>496</v>
      </c>
      <c r="B27" s="7" t="s">
        <v>481</v>
      </c>
      <c r="C27" s="7" t="s">
        <v>497</v>
      </c>
      <c r="D27" s="7" t="s">
        <v>498</v>
      </c>
      <c r="E27" s="29" t="n">
        <f aca="false">E10</f>
        <v>9.99</v>
      </c>
      <c r="F27" s="16" t="n">
        <f aca="false">Assumptions!$C$38</f>
        <v>0.1</v>
      </c>
      <c r="G27" s="15" t="n">
        <f aca="false">Assumptions!$C$39</f>
        <v>0.5</v>
      </c>
      <c r="H27" s="37" t="n">
        <v>0</v>
      </c>
      <c r="I27" s="29" t="n">
        <v>0</v>
      </c>
      <c r="J27" s="16" t="n">
        <f aca="false">Assumptions!$C$12</f>
        <v>0.02</v>
      </c>
      <c r="K27" s="29" t="n">
        <v>0</v>
      </c>
      <c r="L27" s="29" t="n">
        <v>0</v>
      </c>
      <c r="M27" s="29" t="n">
        <f aca="false">E27*(1-F27-H27-J27)-G27-I27-K27-L27</f>
        <v>8.2912</v>
      </c>
      <c r="N27" s="37" t="n">
        <f aca="false">IF(E27=0,0,M27/E27)</f>
        <v>0.82994994994995</v>
      </c>
      <c r="O27" s="29" t="n">
        <v>0</v>
      </c>
      <c r="P27" s="22" t="n">
        <v>10</v>
      </c>
      <c r="Q27" s="7" t="s">
        <v>499</v>
      </c>
      <c r="R27" s="7" t="s">
        <v>500</v>
      </c>
    </row>
    <row r="28" customFormat="false" ht="15" hidden="false" customHeight="false" outlineLevel="0" collapsed="false">
      <c r="A28" s="7" t="s">
        <v>501</v>
      </c>
      <c r="B28" s="7" t="s">
        <v>502</v>
      </c>
      <c r="C28" s="7" t="s">
        <v>503</v>
      </c>
      <c r="D28" s="7" t="s">
        <v>472</v>
      </c>
      <c r="E28" s="26" t="n">
        <v>16.99</v>
      </c>
      <c r="F28" s="16" t="n">
        <f aca="false">1-Assumptions!$C$29</f>
        <v>0.4</v>
      </c>
      <c r="G28" s="29" t="n">
        <v>0</v>
      </c>
      <c r="H28" s="37" t="n">
        <v>0</v>
      </c>
      <c r="I28" s="29" t="n">
        <v>0</v>
      </c>
      <c r="J28" s="37" t="n">
        <v>0</v>
      </c>
      <c r="K28" s="15" t="n">
        <f aca="false">Assumptions!$C$30+Assumptions!$C$32*Assumptions!$C$33</f>
        <v>1.984</v>
      </c>
      <c r="L28" s="29" t="n">
        <v>0</v>
      </c>
      <c r="M28" s="29" t="n">
        <f aca="false">E28*(1-F28-H28-J28)-G28-I28-K28-L28</f>
        <v>8.21</v>
      </c>
      <c r="N28" s="37" t="n">
        <f aca="false">IF(E28=0,0,M28/E28)</f>
        <v>0.483225426721601</v>
      </c>
      <c r="O28" s="29" t="n">
        <v>0</v>
      </c>
      <c r="P28" s="22" t="n">
        <v>50</v>
      </c>
      <c r="Q28" s="7" t="s">
        <v>504</v>
      </c>
      <c r="R28" s="7" t="s">
        <v>505</v>
      </c>
    </row>
    <row r="29" customFormat="false" ht="15" hidden="false" customHeight="false" outlineLevel="0" collapsed="false">
      <c r="A29" s="7" t="s">
        <v>501</v>
      </c>
      <c r="B29" s="7" t="s">
        <v>506</v>
      </c>
      <c r="C29" s="7" t="s">
        <v>503</v>
      </c>
      <c r="D29" s="7" t="s">
        <v>472</v>
      </c>
      <c r="E29" s="26" t="n">
        <v>11.99</v>
      </c>
      <c r="F29" s="16" t="n">
        <f aca="false">1-Assumptions!$C$29</f>
        <v>0.4</v>
      </c>
      <c r="G29" s="29" t="n">
        <v>0</v>
      </c>
      <c r="H29" s="37" t="n">
        <v>0</v>
      </c>
      <c r="I29" s="29" t="n">
        <v>0</v>
      </c>
      <c r="J29" s="37" t="n">
        <v>0</v>
      </c>
      <c r="K29" s="15" t="n">
        <f aca="false">Assumptions!$C$30+Assumptions!$C$31*Assumptions!$C$34</f>
        <v>3.24</v>
      </c>
      <c r="L29" s="29" t="n">
        <v>0</v>
      </c>
      <c r="M29" s="29" t="n">
        <f aca="false">E29*(1-F29-H29-J29)-G29-I29-K29-L29</f>
        <v>3.954</v>
      </c>
      <c r="N29" s="37" t="n">
        <f aca="false">IF(E29=0,0,M29/E29)</f>
        <v>0.32977481234362</v>
      </c>
      <c r="O29" s="29" t="n">
        <v>0</v>
      </c>
      <c r="P29" s="22" t="n">
        <v>20</v>
      </c>
      <c r="Q29" s="7" t="s">
        <v>504</v>
      </c>
      <c r="R29" s="7" t="s">
        <v>507</v>
      </c>
    </row>
    <row r="30" customFormat="false" ht="15" hidden="false" customHeight="false" outlineLevel="0" collapsed="false">
      <c r="A30" s="7" t="s">
        <v>501</v>
      </c>
      <c r="B30" s="7" t="s">
        <v>508</v>
      </c>
      <c r="C30" s="7" t="s">
        <v>503</v>
      </c>
      <c r="D30" s="7" t="s">
        <v>472</v>
      </c>
      <c r="E30" s="26" t="n">
        <v>11.99</v>
      </c>
      <c r="F30" s="16" t="n">
        <f aca="false">1-Assumptions!$C$29</f>
        <v>0.4</v>
      </c>
      <c r="G30" s="29" t="n">
        <v>0</v>
      </c>
      <c r="H30" s="37" t="n">
        <v>0</v>
      </c>
      <c r="I30" s="29" t="n">
        <v>0</v>
      </c>
      <c r="J30" s="37" t="n">
        <v>0</v>
      </c>
      <c r="K30" s="15" t="n">
        <f aca="false">Assumptions!$C$30+Assumptions!$C$31*Assumptions!$C$34</f>
        <v>3.24</v>
      </c>
      <c r="L30" s="29" t="n">
        <v>0</v>
      </c>
      <c r="M30" s="29" t="n">
        <f aca="false">E30*(1-F30-H30-J30)-G30-I30-K30-L30</f>
        <v>3.954</v>
      </c>
      <c r="N30" s="37" t="n">
        <f aca="false">IF(E30=0,0,M30/E30)</f>
        <v>0.32977481234362</v>
      </c>
      <c r="O30" s="29" t="n">
        <v>0</v>
      </c>
      <c r="P30" s="22" t="n">
        <v>30</v>
      </c>
      <c r="Q30" s="7" t="s">
        <v>504</v>
      </c>
      <c r="R30" s="7" t="s">
        <v>509</v>
      </c>
    </row>
    <row r="31" customFormat="false" ht="15" hidden="false" customHeight="false" outlineLevel="0" collapsed="false">
      <c r="A31" s="7" t="s">
        <v>510</v>
      </c>
      <c r="B31" s="7" t="s">
        <v>511</v>
      </c>
      <c r="C31" s="7" t="s">
        <v>512</v>
      </c>
      <c r="D31" s="7" t="s">
        <v>472</v>
      </c>
      <c r="E31" s="26" t="n">
        <v>19.99</v>
      </c>
      <c r="F31" s="16" t="n">
        <f aca="false">Assumptions!$C$35</f>
        <v>0.55</v>
      </c>
      <c r="G31" s="29" t="n">
        <v>0</v>
      </c>
      <c r="H31" s="37" t="n">
        <v>0</v>
      </c>
      <c r="I31" s="29" t="n">
        <v>0</v>
      </c>
      <c r="J31" s="37" t="n">
        <v>0</v>
      </c>
      <c r="K31" s="15" t="n">
        <f aca="false">Assumptions!$C$36</f>
        <v>8.5</v>
      </c>
      <c r="L31" s="29" t="n">
        <v>0</v>
      </c>
      <c r="M31" s="29" t="n">
        <f aca="false">E31*(1-F31-H31-J31)-G31-I31-K31-L31</f>
        <v>0.495499999999998</v>
      </c>
      <c r="N31" s="37" t="n">
        <f aca="false">IF(E31=0,0,M31/E31)</f>
        <v>0.0247873936968483</v>
      </c>
      <c r="O31" s="29" t="n">
        <v>0</v>
      </c>
      <c r="P31" s="22" t="n">
        <v>35</v>
      </c>
      <c r="Q31" s="7" t="s">
        <v>513</v>
      </c>
      <c r="R31" s="7" t="s">
        <v>514</v>
      </c>
    </row>
    <row r="32" customFormat="false" ht="15" hidden="false" customHeight="false" outlineLevel="0" collapsed="false">
      <c r="A32" s="7" t="s">
        <v>510</v>
      </c>
      <c r="B32" s="7" t="s">
        <v>515</v>
      </c>
      <c r="C32" s="7" t="s">
        <v>512</v>
      </c>
      <c r="D32" s="7" t="s">
        <v>472</v>
      </c>
      <c r="E32" s="26" t="n">
        <v>19.99</v>
      </c>
      <c r="F32" s="16" t="n">
        <f aca="false">Assumptions!$C$35</f>
        <v>0.55</v>
      </c>
      <c r="G32" s="29" t="n">
        <v>0</v>
      </c>
      <c r="H32" s="37" t="n">
        <v>0</v>
      </c>
      <c r="I32" s="29" t="n">
        <v>0</v>
      </c>
      <c r="J32" s="37" t="n">
        <v>0</v>
      </c>
      <c r="K32" s="15" t="n">
        <f aca="false">Assumptions!$C$36</f>
        <v>8.5</v>
      </c>
      <c r="L32" s="29" t="n">
        <v>0</v>
      </c>
      <c r="M32" s="29" t="n">
        <f aca="false">E32*(1-F32-H32-J32)-G32-I32-K32-L32</f>
        <v>0.495499999999998</v>
      </c>
      <c r="N32" s="37" t="n">
        <f aca="false">IF(E32=0,0,M32/E32)</f>
        <v>0.0247873936968483</v>
      </c>
      <c r="O32" s="29" t="n">
        <v>0</v>
      </c>
      <c r="P32" s="22" t="n">
        <v>25</v>
      </c>
      <c r="Q32" s="7" t="s">
        <v>513</v>
      </c>
      <c r="R32" s="7" t="s">
        <v>516</v>
      </c>
    </row>
    <row r="33" customFormat="false" ht="15" hidden="false" customHeight="false" outlineLevel="0" collapsed="false">
      <c r="A33" s="7" t="s">
        <v>510</v>
      </c>
      <c r="B33" s="7" t="s">
        <v>517</v>
      </c>
      <c r="C33" s="7" t="s">
        <v>518</v>
      </c>
      <c r="D33" s="7" t="s">
        <v>472</v>
      </c>
      <c r="E33" s="29" t="n">
        <f aca="false">E28</f>
        <v>16.99</v>
      </c>
      <c r="F33" s="16" t="n">
        <f aca="false">Assumptions!$C$35</f>
        <v>0.55</v>
      </c>
      <c r="G33" s="29" t="n">
        <v>0</v>
      </c>
      <c r="H33" s="37" t="n">
        <v>0</v>
      </c>
      <c r="I33" s="29" t="n">
        <v>0</v>
      </c>
      <c r="J33" s="37" t="n">
        <v>0</v>
      </c>
      <c r="K33" s="15" t="n">
        <f aca="false">Assumptions!$C$30+Assumptions!$C$32*Assumptions!$C$33</f>
        <v>1.984</v>
      </c>
      <c r="L33" s="29" t="n">
        <v>0</v>
      </c>
      <c r="M33" s="29" t="n">
        <f aca="false">E33*(1-F33-H33-J33)-G33-I33-K33-L33</f>
        <v>5.6615</v>
      </c>
      <c r="N33" s="37" t="n">
        <f aca="false">IF(E33=0,0,M33/E33)</f>
        <v>0.333225426721601</v>
      </c>
      <c r="O33" s="29" t="n">
        <v>0</v>
      </c>
      <c r="P33" s="22" t="n">
        <v>20</v>
      </c>
      <c r="Q33" s="7" t="s">
        <v>513</v>
      </c>
      <c r="R33" s="7" t="s">
        <v>519</v>
      </c>
    </row>
    <row r="34" customFormat="false" ht="15" hidden="false" customHeight="false" outlineLevel="0" collapsed="false">
      <c r="A34" s="7" t="s">
        <v>510</v>
      </c>
      <c r="B34" s="7" t="s">
        <v>520</v>
      </c>
      <c r="C34" s="7" t="s">
        <v>512</v>
      </c>
      <c r="D34" s="7" t="s">
        <v>472</v>
      </c>
      <c r="E34" s="29" t="n">
        <f aca="false">E30</f>
        <v>11.99</v>
      </c>
      <c r="F34" s="16" t="n">
        <f aca="false">Assumptions!$C$35</f>
        <v>0.55</v>
      </c>
      <c r="G34" s="29" t="n">
        <v>0</v>
      </c>
      <c r="H34" s="37" t="n">
        <v>0</v>
      </c>
      <c r="I34" s="29" t="n">
        <v>0</v>
      </c>
      <c r="J34" s="37" t="n">
        <v>0</v>
      </c>
      <c r="K34" s="15" t="n">
        <f aca="false">Assumptions!$C$37</f>
        <v>3.24</v>
      </c>
      <c r="L34" s="29" t="n">
        <v>0</v>
      </c>
      <c r="M34" s="29" t="n">
        <f aca="false">E34*(1-F34-H34-J34)-G34-I34-K34-L34</f>
        <v>2.1555</v>
      </c>
      <c r="N34" s="37" t="n">
        <f aca="false">IF(E34=0,0,M34/E34)</f>
        <v>0.17977481234362</v>
      </c>
      <c r="O34" s="29" t="n">
        <v>0</v>
      </c>
      <c r="P34" s="22" t="n">
        <v>20</v>
      </c>
      <c r="Q34" s="7" t="s">
        <v>513</v>
      </c>
      <c r="R34" s="7" t="s">
        <v>521</v>
      </c>
    </row>
    <row r="35" customFormat="false" ht="15" hidden="false" customHeight="false" outlineLevel="0" collapsed="false">
      <c r="A35" s="7" t="s">
        <v>522</v>
      </c>
      <c r="B35" s="7" t="s">
        <v>523</v>
      </c>
      <c r="C35" s="7" t="s">
        <v>524</v>
      </c>
      <c r="D35" s="7" t="s">
        <v>525</v>
      </c>
      <c r="E35" s="26" t="n">
        <v>27</v>
      </c>
      <c r="F35" s="37" t="n">
        <v>0</v>
      </c>
      <c r="G35" s="29" t="n">
        <v>0</v>
      </c>
      <c r="H35" s="16" t="n">
        <f aca="false">Assumptions!$C$21</f>
        <v>0.029</v>
      </c>
      <c r="I35" s="15" t="n">
        <f aca="false">Assumptions!$C$22</f>
        <v>0.3</v>
      </c>
      <c r="J35" s="16" t="n">
        <f aca="false">Assumptions!$C$13</f>
        <v>0.05</v>
      </c>
      <c r="K35" s="29" t="n">
        <v>0</v>
      </c>
      <c r="L35" s="29" t="n">
        <v>0</v>
      </c>
      <c r="M35" s="29" t="n">
        <f aca="false">E35*(1-F35-H35-J35)-G35-I35-K35-L35</f>
        <v>24.567</v>
      </c>
      <c r="N35" s="37" t="n">
        <f aca="false">IF(E35=0,0,M35/E35)</f>
        <v>0.909888888888889</v>
      </c>
      <c r="O35" s="29" t="n">
        <v>0</v>
      </c>
      <c r="P35" s="22" t="n">
        <v>70</v>
      </c>
      <c r="Q35" s="7" t="s">
        <v>473</v>
      </c>
      <c r="R35" s="7" t="s">
        <v>526</v>
      </c>
    </row>
    <row r="36" customFormat="false" ht="15" hidden="false" customHeight="false" outlineLevel="0" collapsed="false">
      <c r="A36" s="7" t="s">
        <v>522</v>
      </c>
      <c r="B36" s="7" t="s">
        <v>527</v>
      </c>
      <c r="C36" s="7" t="s">
        <v>524</v>
      </c>
      <c r="D36" s="7" t="s">
        <v>525</v>
      </c>
      <c r="E36" s="26" t="n">
        <v>49</v>
      </c>
      <c r="F36" s="37" t="n">
        <v>0</v>
      </c>
      <c r="G36" s="29" t="n">
        <v>0</v>
      </c>
      <c r="H36" s="16" t="n">
        <f aca="false">Assumptions!$C$21</f>
        <v>0.029</v>
      </c>
      <c r="I36" s="15" t="n">
        <f aca="false">Assumptions!$C$22</f>
        <v>0.3</v>
      </c>
      <c r="J36" s="16" t="n">
        <f aca="false">Assumptions!$C$13</f>
        <v>0.05</v>
      </c>
      <c r="K36" s="29" t="n">
        <v>0</v>
      </c>
      <c r="L36" s="29" t="n">
        <v>0</v>
      </c>
      <c r="M36" s="29" t="n">
        <f aca="false">E36*(1-F36-H36-J36)-G36-I36-K36-L36</f>
        <v>44.829</v>
      </c>
      <c r="N36" s="37" t="n">
        <f aca="false">IF(E36=0,0,M36/E36)</f>
        <v>0.914877551020408</v>
      </c>
      <c r="O36" s="29" t="n">
        <v>0</v>
      </c>
      <c r="P36" s="22" t="n">
        <v>30</v>
      </c>
      <c r="Q36" s="7" t="s">
        <v>473</v>
      </c>
      <c r="R36" s="7" t="s">
        <v>528</v>
      </c>
    </row>
    <row r="37" customFormat="false" ht="15" hidden="false" customHeight="false" outlineLevel="0" collapsed="false">
      <c r="A37" s="7" t="s">
        <v>529</v>
      </c>
      <c r="B37" s="7" t="s">
        <v>530</v>
      </c>
      <c r="C37" s="7" t="s">
        <v>531</v>
      </c>
      <c r="D37" s="7" t="s">
        <v>532</v>
      </c>
      <c r="E37" s="15" t="n">
        <f aca="false">Assumptions!$C$52</f>
        <v>12.99</v>
      </c>
      <c r="F37" s="37" t="n">
        <v>0</v>
      </c>
      <c r="G37" s="29" t="n">
        <v>0</v>
      </c>
      <c r="H37" s="16" t="n">
        <f aca="false">Assumptions!$C$21</f>
        <v>0.029</v>
      </c>
      <c r="I37" s="15" t="n">
        <f aca="false">Assumptions!$C$22</f>
        <v>0.3</v>
      </c>
      <c r="J37" s="16" t="n">
        <f aca="false">Assumptions!$C$12</f>
        <v>0.02</v>
      </c>
      <c r="K37" s="15" t="n">
        <f aca="false">Assumptions!$C$57</f>
        <v>3.625</v>
      </c>
      <c r="L37" s="15" t="n">
        <f aca="false">Assumptions!$C$58</f>
        <v>3.5</v>
      </c>
      <c r="M37" s="29" t="n">
        <f aca="false">E37*(1-F37-H37-J37)-G37-I37-K37-L37</f>
        <v>4.92849</v>
      </c>
      <c r="N37" s="37" t="n">
        <f aca="false">IF(E37=0,0,M37/E37)</f>
        <v>0.379406466512702</v>
      </c>
      <c r="O37" s="15" t="n">
        <f aca="false">Assumptions!$C$57</f>
        <v>3.625</v>
      </c>
      <c r="P37" s="22" t="n">
        <v>60</v>
      </c>
      <c r="Q37" s="7" t="s">
        <v>473</v>
      </c>
      <c r="R37" s="7" t="s">
        <v>533</v>
      </c>
    </row>
    <row r="38" customFormat="false" ht="15" hidden="false" customHeight="false" outlineLevel="0" collapsed="false">
      <c r="A38" s="7" t="s">
        <v>529</v>
      </c>
      <c r="B38" s="7" t="s">
        <v>530</v>
      </c>
      <c r="C38" s="7" t="s">
        <v>534</v>
      </c>
      <c r="D38" s="7" t="s">
        <v>532</v>
      </c>
      <c r="E38" s="15" t="n">
        <f aca="false">Assumptions!$C$52</f>
        <v>12.99</v>
      </c>
      <c r="F38" s="16" t="n">
        <f aca="false">Assumptions!$C$42</f>
        <v>0.15</v>
      </c>
      <c r="G38" s="29" t="n">
        <v>0</v>
      </c>
      <c r="H38" s="37" t="n">
        <v>0</v>
      </c>
      <c r="I38" s="29" t="n">
        <v>0</v>
      </c>
      <c r="J38" s="37" t="n">
        <v>0</v>
      </c>
      <c r="K38" s="15" t="n">
        <f aca="false">Assumptions!$C$57</f>
        <v>3.625</v>
      </c>
      <c r="L38" s="15" t="n">
        <f aca="false">Assumptions!$C$43</f>
        <v>3.5</v>
      </c>
      <c r="M38" s="29" t="n">
        <f aca="false">E38*(1-F38-H38-J38)-G38-I38-K38-L38</f>
        <v>3.9165</v>
      </c>
      <c r="N38" s="37" t="n">
        <f aca="false">IF(E38=0,0,M38/E38)</f>
        <v>0.301501154734411</v>
      </c>
      <c r="O38" s="15" t="n">
        <f aca="false">Assumptions!$C$57</f>
        <v>3.625</v>
      </c>
      <c r="P38" s="22" t="n">
        <v>40</v>
      </c>
      <c r="Q38" s="7" t="s">
        <v>535</v>
      </c>
      <c r="R38" s="7" t="s">
        <v>536</v>
      </c>
    </row>
    <row r="39" customFormat="false" ht="15" hidden="false" customHeight="false" outlineLevel="0" collapsed="false">
      <c r="A39" s="7" t="s">
        <v>537</v>
      </c>
      <c r="B39" s="7" t="s">
        <v>538</v>
      </c>
      <c r="C39" s="7" t="s">
        <v>539</v>
      </c>
      <c r="D39" s="7" t="s">
        <v>540</v>
      </c>
      <c r="E39" s="26" t="n">
        <v>5</v>
      </c>
      <c r="F39" s="16" t="n">
        <f aca="false">1-Assumptions!$C$40</f>
        <v>0.45</v>
      </c>
      <c r="G39" s="15" t="n">
        <f aca="false">Assumptions!$C$41</f>
        <v>0.3</v>
      </c>
      <c r="H39" s="37" t="n">
        <v>0</v>
      </c>
      <c r="I39" s="29" t="n">
        <v>0</v>
      </c>
      <c r="J39" s="37" t="n">
        <v>0</v>
      </c>
      <c r="K39" s="29" t="n">
        <v>0</v>
      </c>
      <c r="L39" s="29" t="n">
        <v>0</v>
      </c>
      <c r="M39" s="29" t="n">
        <f aca="false">E39*(1-F39-H39-J39)-G39-I39-K39-L39</f>
        <v>2.45</v>
      </c>
      <c r="N39" s="37" t="n">
        <f aca="false">IF(E39=0,0,M39/E39)</f>
        <v>0.49</v>
      </c>
      <c r="O39" s="29" t="n">
        <v>0</v>
      </c>
      <c r="P39" s="22" t="n">
        <v>40</v>
      </c>
      <c r="Q39" s="7" t="s">
        <v>541</v>
      </c>
      <c r="R39" s="7" t="s">
        <v>542</v>
      </c>
    </row>
    <row r="40" customFormat="false" ht="15" hidden="false" customHeight="false" outlineLevel="0" collapsed="false">
      <c r="A40" s="7" t="s">
        <v>537</v>
      </c>
      <c r="B40" s="7" t="s">
        <v>543</v>
      </c>
      <c r="C40" s="7" t="s">
        <v>539</v>
      </c>
      <c r="D40" s="7" t="s">
        <v>540</v>
      </c>
      <c r="E40" s="26" t="n">
        <v>22</v>
      </c>
      <c r="F40" s="16" t="n">
        <f aca="false">1-Assumptions!$C$40</f>
        <v>0.45</v>
      </c>
      <c r="G40" s="15" t="n">
        <f aca="false">Assumptions!$C$41</f>
        <v>0.3</v>
      </c>
      <c r="H40" s="37" t="n">
        <v>0</v>
      </c>
      <c r="I40" s="29" t="n">
        <v>0</v>
      </c>
      <c r="J40" s="37" t="n">
        <v>0</v>
      </c>
      <c r="K40" s="29" t="n">
        <v>0</v>
      </c>
      <c r="L40" s="29" t="n">
        <v>0</v>
      </c>
      <c r="M40" s="29" t="n">
        <f aca="false">E40*(1-F40-H40-J40)-G40-I40-K40-L40</f>
        <v>11.8</v>
      </c>
      <c r="N40" s="37" t="n">
        <f aca="false">IF(E40=0,0,M40/E40)</f>
        <v>0.536363636363636</v>
      </c>
      <c r="O40" s="29" t="n">
        <v>0</v>
      </c>
      <c r="P40" s="22" t="n">
        <v>20</v>
      </c>
      <c r="Q40" s="7" t="s">
        <v>541</v>
      </c>
      <c r="R40" s="7" t="s">
        <v>544</v>
      </c>
    </row>
    <row r="41" customFormat="false" ht="15" hidden="false" customHeight="false" outlineLevel="0" collapsed="false">
      <c r="A41" s="7" t="s">
        <v>537</v>
      </c>
      <c r="B41" s="7" t="s">
        <v>545</v>
      </c>
      <c r="C41" s="7" t="s">
        <v>546</v>
      </c>
      <c r="D41" s="7" t="s">
        <v>540</v>
      </c>
      <c r="E41" s="26" t="n">
        <v>29</v>
      </c>
      <c r="F41" s="37" t="n">
        <v>0</v>
      </c>
      <c r="G41" s="29" t="n">
        <v>0</v>
      </c>
      <c r="H41" s="16" t="n">
        <f aca="false">Assumptions!$C$21</f>
        <v>0.029</v>
      </c>
      <c r="I41" s="15" t="n">
        <f aca="false">Assumptions!$C$22</f>
        <v>0.3</v>
      </c>
      <c r="J41" s="37" t="n">
        <v>0</v>
      </c>
      <c r="K41" s="29" t="n">
        <v>0</v>
      </c>
      <c r="L41" s="29" t="n">
        <v>0</v>
      </c>
      <c r="M41" s="29" t="n">
        <f aca="false">E41*(1-F41-H41-J41)-G41-I41-K41-L41</f>
        <v>27.859</v>
      </c>
      <c r="N41" s="37" t="n">
        <f aca="false">IF(E41=0,0,M41/E41)</f>
        <v>0.960655172413793</v>
      </c>
      <c r="O41" s="29" t="n">
        <v>0</v>
      </c>
      <c r="P41" s="22" t="n">
        <v>20</v>
      </c>
      <c r="Q41" s="7" t="s">
        <v>547</v>
      </c>
      <c r="R41" s="7" t="s">
        <v>548</v>
      </c>
    </row>
    <row r="42" customFormat="false" ht="15" hidden="false" customHeight="false" outlineLevel="0" collapsed="false">
      <c r="A42" s="7" t="s">
        <v>537</v>
      </c>
      <c r="B42" s="7" t="s">
        <v>549</v>
      </c>
      <c r="C42" s="7" t="s">
        <v>550</v>
      </c>
      <c r="D42" s="7" t="s">
        <v>540</v>
      </c>
      <c r="E42" s="26" t="n">
        <v>129</v>
      </c>
      <c r="F42" s="37" t="n">
        <v>0</v>
      </c>
      <c r="G42" s="29" t="n">
        <v>0</v>
      </c>
      <c r="H42" s="16" t="n">
        <f aca="false">Assumptions!$C$21</f>
        <v>0.029</v>
      </c>
      <c r="I42" s="15" t="n">
        <f aca="false">Assumptions!$C$22</f>
        <v>0.3</v>
      </c>
      <c r="J42" s="37" t="n">
        <v>0</v>
      </c>
      <c r="K42" s="29" t="n">
        <v>0</v>
      </c>
      <c r="L42" s="29" t="n">
        <v>0</v>
      </c>
      <c r="M42" s="29" t="n">
        <f aca="false">E42*(1-F42-H42-J42)-G42-I42-K42-L42</f>
        <v>124.959</v>
      </c>
      <c r="N42" s="37" t="n">
        <f aca="false">IF(E42=0,0,M42/E42)</f>
        <v>0.968674418604651</v>
      </c>
      <c r="O42" s="29" t="n">
        <v>0</v>
      </c>
      <c r="P42" s="22" t="n">
        <v>15</v>
      </c>
      <c r="Q42" s="7" t="s">
        <v>547</v>
      </c>
      <c r="R42" s="7" t="s">
        <v>551</v>
      </c>
    </row>
    <row r="43" customFormat="false" ht="15" hidden="false" customHeight="false" outlineLevel="0" collapsed="false">
      <c r="A43" s="7" t="s">
        <v>537</v>
      </c>
      <c r="B43" s="7" t="s">
        <v>552</v>
      </c>
      <c r="C43" s="7" t="s">
        <v>550</v>
      </c>
      <c r="D43" s="7" t="s">
        <v>540</v>
      </c>
      <c r="E43" s="26" t="n">
        <v>249</v>
      </c>
      <c r="F43" s="37" t="n">
        <v>0</v>
      </c>
      <c r="G43" s="29" t="n">
        <v>0</v>
      </c>
      <c r="H43" s="16" t="n">
        <f aca="false">Assumptions!$C$21</f>
        <v>0.029</v>
      </c>
      <c r="I43" s="15" t="n">
        <f aca="false">Assumptions!$C$22</f>
        <v>0.3</v>
      </c>
      <c r="J43" s="37" t="n">
        <v>0</v>
      </c>
      <c r="K43" s="29" t="n">
        <v>0</v>
      </c>
      <c r="L43" s="29" t="n">
        <v>0</v>
      </c>
      <c r="M43" s="29" t="n">
        <f aca="false">E43*(1-F43-H43-J43)-G43-I43-K43-L43</f>
        <v>241.479</v>
      </c>
      <c r="N43" s="37" t="n">
        <f aca="false">IF(E43=0,0,M43/E43)</f>
        <v>0.969795180722892</v>
      </c>
      <c r="O43" s="29" t="n">
        <v>0</v>
      </c>
      <c r="P43" s="22" t="n">
        <v>5</v>
      </c>
      <c r="Q43" s="7" t="s">
        <v>547</v>
      </c>
      <c r="R43" s="7" t="s">
        <v>553</v>
      </c>
    </row>
    <row r="44" customFormat="false" ht="15" hidden="false" customHeight="false" outlineLevel="0" collapsed="false">
      <c r="A44" s="7" t="s">
        <v>554</v>
      </c>
      <c r="B44" s="7" t="s">
        <v>555</v>
      </c>
      <c r="C44" s="7" t="s">
        <v>556</v>
      </c>
      <c r="D44" s="7" t="s">
        <v>557</v>
      </c>
      <c r="E44" s="15" t="n">
        <f aca="false">Assumptions!$C$52*Assumptions!$C$46</f>
        <v>6.495</v>
      </c>
      <c r="F44" s="16" t="n">
        <f aca="false">Assumptions!$C$44</f>
        <v>0.15</v>
      </c>
      <c r="G44" s="29" t="n">
        <v>0</v>
      </c>
      <c r="H44" s="16" t="n">
        <f aca="false">Assumptions!$C$45</f>
        <v>0.03</v>
      </c>
      <c r="I44" s="29" t="n">
        <v>0</v>
      </c>
      <c r="J44" s="16" t="n">
        <f aca="false">Assumptions!$C$48</f>
        <v>0.05</v>
      </c>
      <c r="K44" s="15" t="n">
        <f aca="false">Assumptions!$C$57</f>
        <v>3.625</v>
      </c>
      <c r="L44" s="15" t="n">
        <f aca="false">Assumptions!$C$59</f>
        <v>1</v>
      </c>
      <c r="M44" s="29" t="n">
        <f aca="false">E44*(1-F44-H44-J44)-G44-I44-K44-L44</f>
        <v>0.376149999999999</v>
      </c>
      <c r="N44" s="37" t="n">
        <f aca="false">IF(E44=0,0,M44/E44)</f>
        <v>0.0579137798306387</v>
      </c>
      <c r="O44" s="15" t="n">
        <f aca="false">Assumptions!$C$57</f>
        <v>3.625</v>
      </c>
      <c r="P44" s="22" t="n">
        <v>50</v>
      </c>
      <c r="Q44" s="7" t="s">
        <v>558</v>
      </c>
      <c r="R44" s="7" t="s">
        <v>559</v>
      </c>
    </row>
    <row r="45" customFormat="false" ht="15" hidden="false" customHeight="false" outlineLevel="0" collapsed="false">
      <c r="A45" s="7" t="s">
        <v>554</v>
      </c>
      <c r="B45" s="7" t="s">
        <v>530</v>
      </c>
      <c r="C45" s="7" t="s">
        <v>560</v>
      </c>
      <c r="D45" s="7" t="s">
        <v>557</v>
      </c>
      <c r="E45" s="15" t="n">
        <f aca="false">Assumptions!$C$52</f>
        <v>12.99</v>
      </c>
      <c r="F45" s="16" t="n">
        <f aca="false">Assumptions!$C$47</f>
        <v>0.15</v>
      </c>
      <c r="G45" s="29" t="n">
        <v>0</v>
      </c>
      <c r="H45" s="37" t="n">
        <v>0</v>
      </c>
      <c r="I45" s="29" t="n">
        <v>0</v>
      </c>
      <c r="J45" s="16" t="n">
        <f aca="false">Assumptions!$C$48</f>
        <v>0.05</v>
      </c>
      <c r="K45" s="15" t="n">
        <f aca="false">Assumptions!$C$57</f>
        <v>3.625</v>
      </c>
      <c r="L45" s="15" t="n">
        <f aca="false">Assumptions!$C$58</f>
        <v>3.5</v>
      </c>
      <c r="M45" s="29" t="n">
        <f aca="false">E45*(1-F45-H45-J45)-G45-I45-K45-L45</f>
        <v>3.267</v>
      </c>
      <c r="N45" s="37" t="n">
        <f aca="false">IF(E45=0,0,M45/E45)</f>
        <v>0.251501154734411</v>
      </c>
      <c r="O45" s="15" t="n">
        <f aca="false">Assumptions!$C$57</f>
        <v>3.625</v>
      </c>
      <c r="P45" s="22" t="n">
        <v>25</v>
      </c>
      <c r="Q45" s="7" t="s">
        <v>561</v>
      </c>
      <c r="R45" s="7" t="s">
        <v>562</v>
      </c>
    </row>
    <row r="46" customFormat="false" ht="15" hidden="false" customHeight="false" outlineLevel="0" collapsed="false">
      <c r="A46" s="7" t="s">
        <v>554</v>
      </c>
      <c r="B46" s="7" t="s">
        <v>530</v>
      </c>
      <c r="C46" s="7" t="s">
        <v>563</v>
      </c>
      <c r="D46" s="7" t="s">
        <v>557</v>
      </c>
      <c r="E46" s="15" t="n">
        <f aca="false">Assumptions!$C$52</f>
        <v>12.99</v>
      </c>
      <c r="F46" s="16" t="n">
        <f aca="false">Assumptions!$C$47</f>
        <v>0.15</v>
      </c>
      <c r="G46" s="29" t="n">
        <v>0</v>
      </c>
      <c r="H46" s="37" t="n">
        <v>0</v>
      </c>
      <c r="I46" s="29" t="n">
        <v>0</v>
      </c>
      <c r="J46" s="16" t="n">
        <f aca="false">Assumptions!$C$48</f>
        <v>0.05</v>
      </c>
      <c r="K46" s="15" t="n">
        <f aca="false">Assumptions!$C$57</f>
        <v>3.625</v>
      </c>
      <c r="L46" s="15" t="n">
        <f aca="false">Assumptions!$C$58</f>
        <v>3.5</v>
      </c>
      <c r="M46" s="29" t="n">
        <f aca="false">E46*(1-F46-H46-J46)-G46-I46-K46-L46</f>
        <v>3.267</v>
      </c>
      <c r="N46" s="37" t="n">
        <f aca="false">IF(E46=0,0,M46/E46)</f>
        <v>0.251501154734411</v>
      </c>
      <c r="O46" s="15" t="n">
        <f aca="false">Assumptions!$C$57</f>
        <v>3.625</v>
      </c>
      <c r="P46" s="22" t="n">
        <v>25</v>
      </c>
      <c r="Q46" s="7" t="s">
        <v>561</v>
      </c>
      <c r="R46" s="7" t="s">
        <v>564</v>
      </c>
    </row>
    <row r="48" customFormat="false" ht="15" hidden="false" customHeight="false" outlineLevel="0" collapsed="false">
      <c r="A48" s="5" t="s">
        <v>565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customFormat="false" ht="31.5" hidden="false" customHeight="true" outlineLevel="0" collapsed="false">
      <c r="A49" s="3" t="s">
        <v>451</v>
      </c>
      <c r="B49" s="4" t="s">
        <v>566</v>
      </c>
      <c r="C49" s="4"/>
      <c r="D49" s="4"/>
      <c r="E49" s="4" t="s">
        <v>567</v>
      </c>
      <c r="F49" s="4" t="s">
        <v>568</v>
      </c>
      <c r="G49" s="4" t="s">
        <v>464</v>
      </c>
      <c r="H49" s="4" t="s">
        <v>569</v>
      </c>
      <c r="I49" s="4" t="s">
        <v>570</v>
      </c>
    </row>
    <row r="50" customFormat="false" ht="15" hidden="false" customHeight="false" outlineLevel="0" collapsed="false">
      <c r="A50" s="10" t="s">
        <v>469</v>
      </c>
      <c r="B50" s="7" t="s">
        <v>571</v>
      </c>
      <c r="E50" s="29" t="n">
        <f aca="false">SUMPRODUCT(--($A$6:$A$46=$A50),$E$6:$E$46,$P$6:$P$46)/SUMIF($A$6:$A$46,$A50,$P$6:$P$46)</f>
        <v>9.1269</v>
      </c>
      <c r="F50" s="29" t="n">
        <f aca="false">SUMPRODUCT(--($A$6:$A$46=$A50),$M$6:$M$46,$P$6:$P$46)/SUMIF($A$6:$A$46,$A50,$P$6:$P$46)</f>
        <v>8.1296819</v>
      </c>
      <c r="G50" s="37" t="n">
        <f aca="false">IF(E50=0,0,F50/E50)</f>
        <v>0.890738574981648</v>
      </c>
      <c r="H50" s="29" t="n">
        <f aca="false">SUMPRODUCT(--($A$6:$A$46=$A50),$O$6:$O$46,$P$6:$P$46)/SUMIF($A$6:$A$46,$A50,$P$6:$P$46)</f>
        <v>0</v>
      </c>
      <c r="I50" s="38" t="n">
        <f aca="false">Assumptions!$C$70</f>
        <v>0</v>
      </c>
    </row>
    <row r="51" customFormat="false" ht="15" hidden="false" customHeight="false" outlineLevel="0" collapsed="false">
      <c r="A51" s="10" t="s">
        <v>492</v>
      </c>
      <c r="B51" s="7" t="s">
        <v>572</v>
      </c>
      <c r="E51" s="29" t="n">
        <f aca="false">SUMPRODUCT(--($A$6:$A$46=$A51),$E$6:$E$46,$P$6:$P$46)/SUMIF($A$6:$A$46,$A51,$P$6:$P$46)</f>
        <v>8.76214285714286</v>
      </c>
      <c r="F51" s="29" t="n">
        <f aca="false">SUMPRODUCT(--($A$6:$A$46=$A51),$M$6:$M$46,$P$6:$P$46)/SUMIF($A$6:$A$46,$A51,$P$6:$P$46)</f>
        <v>7.17306428571429</v>
      </c>
      <c r="G51" s="37" t="n">
        <f aca="false">IF(E51=0,0,F51/E51)</f>
        <v>0.818642699926633</v>
      </c>
      <c r="H51" s="29" t="n">
        <f aca="false">SUMPRODUCT(--($A$6:$A$46=$A51),$O$6:$O$46,$P$6:$P$46)/SUMIF($A$6:$A$46,$A51,$P$6:$P$46)</f>
        <v>0</v>
      </c>
      <c r="I51" s="38" t="n">
        <f aca="false">Assumptions!$C$71</f>
        <v>0</v>
      </c>
    </row>
    <row r="52" customFormat="false" ht="15" hidden="false" customHeight="false" outlineLevel="0" collapsed="false">
      <c r="A52" s="10" t="s">
        <v>501</v>
      </c>
      <c r="B52" s="7" t="s">
        <v>573</v>
      </c>
      <c r="E52" s="29" t="n">
        <f aca="false">SUMPRODUCT(--($A$6:$A$46=$A52),$E$6:$E$46,$P$6:$P$46)/SUMIF($A$6:$A$46,$A52,$P$6:$P$46)</f>
        <v>14.49</v>
      </c>
      <c r="F52" s="29" t="n">
        <f aca="false">SUMPRODUCT(--($A$6:$A$46=$A52),$M$6:$M$46,$P$6:$P$46)/SUMIF($A$6:$A$46,$A52,$P$6:$P$46)</f>
        <v>6.082</v>
      </c>
      <c r="G52" s="37" t="n">
        <f aca="false">IF(E52=0,0,F52/E52)</f>
        <v>0.419737750172533</v>
      </c>
      <c r="H52" s="29" t="n">
        <f aca="false">SUMPRODUCT(--($A$6:$A$46=$A52),$O$6:$O$46,$P$6:$P$46)/SUMIF($A$6:$A$46,$A52,$P$6:$P$46)</f>
        <v>0</v>
      </c>
      <c r="I52" s="38" t="n">
        <f aca="false">Assumptions!$C$72</f>
        <v>2</v>
      </c>
    </row>
    <row r="53" customFormat="false" ht="15" hidden="false" customHeight="false" outlineLevel="0" collapsed="false">
      <c r="A53" s="10" t="s">
        <v>510</v>
      </c>
      <c r="B53" s="7" t="s">
        <v>574</v>
      </c>
      <c r="E53" s="29" t="n">
        <f aca="false">SUMPRODUCT(--($A$6:$A$46=$A53),$E$6:$E$46,$P$6:$P$46)/SUMIF($A$6:$A$46,$A53,$P$6:$P$46)</f>
        <v>17.79</v>
      </c>
      <c r="F53" s="29" t="n">
        <f aca="false">SUMPRODUCT(--($A$6:$A$46=$A53),$M$6:$M$46,$P$6:$P$46)/SUMIF($A$6:$A$46,$A53,$P$6:$P$46)</f>
        <v>1.8607</v>
      </c>
      <c r="G53" s="37" t="n">
        <f aca="false">IF(E53=0,0,F53/E53)</f>
        <v>0.104592467678471</v>
      </c>
      <c r="H53" s="29" t="n">
        <f aca="false">SUMPRODUCT(--($A$6:$A$46=$A53),$O$6:$O$46,$P$6:$P$46)/SUMIF($A$6:$A$46,$A53,$P$6:$P$46)</f>
        <v>0</v>
      </c>
      <c r="I53" s="38" t="n">
        <f aca="false">Assumptions!$C$73</f>
        <v>3</v>
      </c>
    </row>
    <row r="54" customFormat="false" ht="15" hidden="false" customHeight="false" outlineLevel="0" collapsed="false">
      <c r="A54" s="10" t="s">
        <v>496</v>
      </c>
      <c r="B54" s="7" t="s">
        <v>575</v>
      </c>
      <c r="E54" s="29" t="n">
        <f aca="false">SUMPRODUCT(--($A$6:$A$46=$A54),$E$6:$E$46,$P$6:$P$46)/SUMIF($A$6:$A$46,$A54,$P$6:$P$46)</f>
        <v>9.04227272727273</v>
      </c>
      <c r="F54" s="29" t="n">
        <f aca="false">SUMPRODUCT(--($A$6:$A$46=$A54),$M$6:$M$46,$P$6:$P$46)/SUMIF($A$6:$A$46,$A54,$P$6:$P$46)</f>
        <v>7.4572</v>
      </c>
      <c r="G54" s="37" t="n">
        <f aca="false">IF(E54=0,0,F54/E54)</f>
        <v>0.824704167295028</v>
      </c>
      <c r="H54" s="29" t="n">
        <f aca="false">SUMPRODUCT(--($A$6:$A$46=$A54),$O$6:$O$46,$P$6:$P$46)/SUMIF($A$6:$A$46,$A54,$P$6:$P$46)</f>
        <v>0</v>
      </c>
      <c r="I54" s="38" t="n">
        <f aca="false">Assumptions!$C$74</f>
        <v>0</v>
      </c>
    </row>
    <row r="55" customFormat="false" ht="15" hidden="false" customHeight="false" outlineLevel="0" collapsed="false">
      <c r="A55" s="10" t="s">
        <v>522</v>
      </c>
      <c r="B55" s="7" t="s">
        <v>576</v>
      </c>
      <c r="E55" s="29" t="n">
        <f aca="false">SUMPRODUCT(--($A$6:$A$46=$A55),$E$6:$E$46,$P$6:$P$46)/SUMIF($A$6:$A$46,$A55,$P$6:$P$46)</f>
        <v>33.6</v>
      </c>
      <c r="F55" s="29" t="n">
        <f aca="false">SUMPRODUCT(--($A$6:$A$46=$A55),$M$6:$M$46,$P$6:$P$46)/SUMIF($A$6:$A$46,$A55,$P$6:$P$46)</f>
        <v>30.6456</v>
      </c>
      <c r="G55" s="37" t="n">
        <f aca="false">IF(E55=0,0,F55/E55)</f>
        <v>0.912071428571429</v>
      </c>
      <c r="H55" s="29" t="n">
        <f aca="false">SUMPRODUCT(--($A$6:$A$46=$A55),$O$6:$O$46,$P$6:$P$46)/SUMIF($A$6:$A$46,$A55,$P$6:$P$46)</f>
        <v>0</v>
      </c>
      <c r="I55" s="38" t="n">
        <f aca="false">Assumptions!$C$75</f>
        <v>0</v>
      </c>
    </row>
    <row r="56" customFormat="false" ht="15" hidden="false" customHeight="false" outlineLevel="0" collapsed="false">
      <c r="A56" s="10" t="s">
        <v>529</v>
      </c>
      <c r="B56" s="7" t="s">
        <v>577</v>
      </c>
      <c r="E56" s="29" t="n">
        <f aca="false">SUMPRODUCT(--($A$6:$A$46=$A56),$E$6:$E$46,$P$6:$P$46)/SUMIF($A$6:$A$46,$A56,$P$6:$P$46)</f>
        <v>12.99</v>
      </c>
      <c r="F56" s="29" t="n">
        <f aca="false">SUMPRODUCT(--($A$6:$A$46=$A56),$M$6:$M$46,$P$6:$P$46)/SUMIF($A$6:$A$46,$A56,$P$6:$P$46)</f>
        <v>4.523694</v>
      </c>
      <c r="G56" s="37" t="n">
        <f aca="false">IF(E56=0,0,F56/E56)</f>
        <v>0.348244341801386</v>
      </c>
      <c r="H56" s="29" t="n">
        <f aca="false">SUMPRODUCT(--($A$6:$A$46=$A56),$O$6:$O$46,$P$6:$P$46)/SUMIF($A$6:$A$46,$A56,$P$6:$P$46)</f>
        <v>3.625</v>
      </c>
      <c r="I56" s="38" t="n">
        <f aca="false">Assumptions!$C$76</f>
        <v>0</v>
      </c>
    </row>
    <row r="57" customFormat="false" ht="15" hidden="false" customHeight="false" outlineLevel="0" collapsed="false">
      <c r="A57" s="10" t="s">
        <v>537</v>
      </c>
      <c r="B57" s="7" t="s">
        <v>578</v>
      </c>
      <c r="E57" s="29" t="n">
        <f aca="false">SUMPRODUCT(--($A$6:$A$46=$A57),$E$6:$E$46,$P$6:$P$46)/SUMIF($A$6:$A$46,$A57,$P$6:$P$46)</f>
        <v>44</v>
      </c>
      <c r="F57" s="29" t="n">
        <f aca="false">SUMPRODUCT(--($A$6:$A$46=$A57),$M$6:$M$46,$P$6:$P$46)/SUMIF($A$6:$A$46,$A57,$P$6:$P$46)</f>
        <v>39.7296</v>
      </c>
      <c r="G57" s="37" t="n">
        <f aca="false">IF(E57=0,0,F57/E57)</f>
        <v>0.902945454545455</v>
      </c>
      <c r="H57" s="29" t="n">
        <f aca="false">SUMPRODUCT(--($A$6:$A$46=$A57),$O$6:$O$46,$P$6:$P$46)/SUMIF($A$6:$A$46,$A57,$P$6:$P$46)</f>
        <v>0</v>
      </c>
      <c r="I57" s="38" t="n">
        <f aca="false">Assumptions!$C$77</f>
        <v>1</v>
      </c>
    </row>
    <row r="58" customFormat="false" ht="15" hidden="false" customHeight="false" outlineLevel="0" collapsed="false">
      <c r="A58" s="10" t="s">
        <v>554</v>
      </c>
      <c r="B58" s="7" t="s">
        <v>579</v>
      </c>
      <c r="E58" s="29" t="n">
        <f aca="false">SUMPRODUCT(--($A$6:$A$46=$A58),$E$6:$E$46,$P$6:$P$46)/SUMIF($A$6:$A$46,$A58,$P$6:$P$46)</f>
        <v>9.7425</v>
      </c>
      <c r="F58" s="29" t="n">
        <f aca="false">SUMPRODUCT(--($A$6:$A$46=$A58),$M$6:$M$46,$P$6:$P$46)/SUMIF($A$6:$A$46,$A58,$P$6:$P$46)</f>
        <v>1.821575</v>
      </c>
      <c r="G58" s="37" t="n">
        <f aca="false">IF(E58=0,0,F58/E58)</f>
        <v>0.186972029766487</v>
      </c>
      <c r="H58" s="29" t="n">
        <f aca="false">SUMPRODUCT(--($A$6:$A$46=$A58),$O$6:$O$46,$P$6:$P$46)/SUMIF($A$6:$A$46,$A58,$P$6:$P$46)</f>
        <v>3.625</v>
      </c>
      <c r="I58" s="38" t="n">
        <f aca="false">Assumptions!$C$78</f>
        <v>1</v>
      </c>
    </row>
    <row r="60" customFormat="false" ht="15" hidden="false" customHeight="false" outlineLevel="0" collapsed="false">
      <c r="A60" s="10" t="s">
        <v>580</v>
      </c>
    </row>
    <row r="61" customFormat="false" ht="15" hidden="false" customHeight="false" outlineLevel="0" collapsed="false">
      <c r="A61" s="9" t="s">
        <v>581</v>
      </c>
    </row>
    <row r="62" customFormat="false" ht="15" hidden="false" customHeight="false" outlineLevel="0" collapsed="false">
      <c r="A62" s="9" t="s">
        <v>582</v>
      </c>
    </row>
    <row r="63" customFormat="false" ht="15" hidden="false" customHeight="false" outlineLevel="0" collapsed="false">
      <c r="A63" s="9" t="s">
        <v>583</v>
      </c>
    </row>
    <row r="64" customFormat="false" ht="15" hidden="false" customHeight="false" outlineLevel="0" collapsed="false">
      <c r="A64" s="9" t="s">
        <v>584</v>
      </c>
    </row>
    <row r="65" customFormat="false" ht="15" hidden="false" customHeight="false" outlineLevel="0" collapsed="false">
      <c r="A65" s="9" t="s">
        <v>585</v>
      </c>
    </row>
  </sheetData>
  <mergeCells count="1">
    <mergeCell ref="A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5" min="3" style="0" width="11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62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8" t="s">
        <v>586</v>
      </c>
    </row>
    <row r="2" customFormat="false" ht="27.75" hidden="false" customHeight="true" outlineLevel="0" collapsed="false">
      <c r="A2" s="2" t="s">
        <v>587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5" customFormat="false" ht="31.5" hidden="false" customHeight="true" outlineLevel="0" collapsed="false">
      <c r="A5" s="3" t="s">
        <v>588</v>
      </c>
      <c r="B5" s="4" t="s">
        <v>589</v>
      </c>
      <c r="C5" s="4" t="s">
        <v>590</v>
      </c>
      <c r="D5" s="4" t="s">
        <v>591</v>
      </c>
      <c r="E5" s="4" t="s">
        <v>592</v>
      </c>
      <c r="F5" s="4" t="s">
        <v>593</v>
      </c>
      <c r="G5" s="4" t="s">
        <v>594</v>
      </c>
      <c r="H5" s="4" t="s">
        <v>595</v>
      </c>
      <c r="I5" s="4" t="s">
        <v>67</v>
      </c>
    </row>
    <row r="6" customFormat="false" ht="15" hidden="false" customHeight="false" outlineLevel="0" collapsed="false">
      <c r="A6" s="7" t="s">
        <v>596</v>
      </c>
      <c r="B6" s="7" t="s">
        <v>597</v>
      </c>
      <c r="C6" s="24" t="n">
        <v>25</v>
      </c>
      <c r="D6" s="24" t="n">
        <v>50</v>
      </c>
      <c r="E6" s="8" t="n">
        <f aca="false">C6+Assumptions!$C$9*(D6-C6)</f>
        <v>37.5</v>
      </c>
      <c r="F6" s="22" t="n">
        <v>1</v>
      </c>
      <c r="G6" s="22" t="n">
        <v>1</v>
      </c>
      <c r="H6" s="7" t="s">
        <v>598</v>
      </c>
      <c r="I6" s="7" t="s">
        <v>73</v>
      </c>
    </row>
    <row r="7" customFormat="false" ht="15" hidden="false" customHeight="false" outlineLevel="0" collapsed="false">
      <c r="A7" s="7" t="s">
        <v>599</v>
      </c>
      <c r="B7" s="7" t="s">
        <v>597</v>
      </c>
      <c r="C7" s="24" t="n">
        <v>25</v>
      </c>
      <c r="D7" s="24" t="n">
        <v>50</v>
      </c>
      <c r="E7" s="8" t="n">
        <f aca="false">C7+Assumptions!$C$9*(D7-C7)</f>
        <v>37.5</v>
      </c>
      <c r="F7" s="22" t="n">
        <v>1</v>
      </c>
      <c r="G7" s="22" t="n">
        <v>1</v>
      </c>
      <c r="H7" s="7" t="s">
        <v>600</v>
      </c>
      <c r="I7" s="7" t="s">
        <v>73</v>
      </c>
    </row>
    <row r="8" customFormat="false" ht="15" hidden="false" customHeight="false" outlineLevel="0" collapsed="false">
      <c r="A8" s="7" t="s">
        <v>601</v>
      </c>
      <c r="B8" s="7" t="s">
        <v>602</v>
      </c>
      <c r="C8" s="24" t="n">
        <v>6</v>
      </c>
      <c r="D8" s="24" t="n">
        <v>6</v>
      </c>
      <c r="E8" s="8" t="n">
        <f aca="false">C8+Assumptions!$C$9*(D8-C8)</f>
        <v>6</v>
      </c>
      <c r="F8" s="22" t="n">
        <v>1</v>
      </c>
      <c r="G8" s="22" t="n">
        <v>1</v>
      </c>
      <c r="H8" s="7" t="s">
        <v>603</v>
      </c>
      <c r="I8" s="7" t="s">
        <v>73</v>
      </c>
    </row>
    <row r="9" customFormat="false" ht="15" hidden="false" customHeight="false" outlineLevel="0" collapsed="false">
      <c r="A9" s="7" t="s">
        <v>604</v>
      </c>
      <c r="B9" s="7" t="s">
        <v>605</v>
      </c>
      <c r="C9" s="24" t="n">
        <v>0</v>
      </c>
      <c r="D9" s="24" t="n">
        <v>15</v>
      </c>
      <c r="E9" s="8" t="n">
        <f aca="false">C9+Assumptions!$C$9*(D9-C9)</f>
        <v>7.5</v>
      </c>
      <c r="F9" s="22" t="n">
        <v>1</v>
      </c>
      <c r="G9" s="22" t="n">
        <v>1</v>
      </c>
      <c r="H9" s="7" t="s">
        <v>606</v>
      </c>
      <c r="I9" s="7" t="s">
        <v>87</v>
      </c>
    </row>
    <row r="10" customFormat="false" ht="15" hidden="false" customHeight="false" outlineLevel="0" collapsed="false">
      <c r="A10" s="7" t="s">
        <v>607</v>
      </c>
      <c r="B10" s="7" t="s">
        <v>608</v>
      </c>
      <c r="C10" s="24" t="n">
        <v>295</v>
      </c>
      <c r="D10" s="24" t="n">
        <v>295</v>
      </c>
      <c r="E10" s="8" t="n">
        <f aca="false">C10+Assumptions!$C$9*(D10-C10)</f>
        <v>295</v>
      </c>
      <c r="F10" s="22" t="n">
        <v>1</v>
      </c>
      <c r="G10" s="22" t="n">
        <v>1</v>
      </c>
      <c r="H10" s="7" t="s">
        <v>609</v>
      </c>
      <c r="I10" s="7" t="s">
        <v>87</v>
      </c>
    </row>
    <row r="11" customFormat="false" ht="15" hidden="false" customHeight="false" outlineLevel="0" collapsed="false">
      <c r="A11" s="7" t="s">
        <v>610</v>
      </c>
      <c r="B11" s="7" t="s">
        <v>602</v>
      </c>
      <c r="C11" s="24" t="n">
        <v>500</v>
      </c>
      <c r="D11" s="24" t="n">
        <v>2500</v>
      </c>
      <c r="E11" s="8" t="n">
        <f aca="false">C11+Assumptions!$C$9*(D11-C11)</f>
        <v>1500</v>
      </c>
      <c r="F11" s="22" t="n">
        <v>1</v>
      </c>
      <c r="G11" s="22" t="n">
        <v>1</v>
      </c>
      <c r="H11" s="7" t="s">
        <v>611</v>
      </c>
      <c r="I11" s="7" t="s">
        <v>87</v>
      </c>
    </row>
    <row r="12" customFormat="false" ht="15" hidden="false" customHeight="false" outlineLevel="0" collapsed="false">
      <c r="A12" s="7" t="s">
        <v>612</v>
      </c>
      <c r="B12" s="7" t="s">
        <v>602</v>
      </c>
      <c r="C12" s="24" t="n">
        <v>700</v>
      </c>
      <c r="D12" s="24" t="n">
        <v>700</v>
      </c>
      <c r="E12" s="8" t="n">
        <f aca="false">C12+Assumptions!$C$9*(D12-C12)</f>
        <v>700</v>
      </c>
      <c r="F12" s="22" t="n">
        <v>2</v>
      </c>
      <c r="G12" s="22" t="n">
        <v>1</v>
      </c>
      <c r="H12" s="7" t="s">
        <v>613</v>
      </c>
      <c r="I12" s="7" t="s">
        <v>73</v>
      </c>
    </row>
    <row r="13" customFormat="false" ht="15" hidden="false" customHeight="false" outlineLevel="0" collapsed="false">
      <c r="A13" s="7" t="s">
        <v>614</v>
      </c>
      <c r="B13" s="7" t="s">
        <v>602</v>
      </c>
      <c r="C13" s="24" t="n">
        <v>150</v>
      </c>
      <c r="D13" s="24" t="n">
        <v>625</v>
      </c>
      <c r="E13" s="8" t="n">
        <f aca="false">C13+Assumptions!$C$9*(D13-C13)</f>
        <v>387.5</v>
      </c>
      <c r="F13" s="22" t="n">
        <v>5</v>
      </c>
      <c r="G13" s="22" t="n">
        <v>1</v>
      </c>
      <c r="H13" s="7" t="s">
        <v>615</v>
      </c>
      <c r="I13" s="7" t="s">
        <v>73</v>
      </c>
    </row>
    <row r="14" customFormat="false" ht="15" hidden="false" customHeight="false" outlineLevel="0" collapsed="false">
      <c r="A14" s="7" t="s">
        <v>616</v>
      </c>
      <c r="B14" s="7" t="s">
        <v>602</v>
      </c>
      <c r="C14" s="24" t="n">
        <v>300</v>
      </c>
      <c r="D14" s="24" t="n">
        <v>1000</v>
      </c>
      <c r="E14" s="8" t="n">
        <f aca="false">C14+Assumptions!$C$9*(D14-C14)</f>
        <v>650</v>
      </c>
      <c r="F14" s="22" t="n">
        <v>4</v>
      </c>
      <c r="G14" s="22" t="n">
        <v>1</v>
      </c>
      <c r="H14" s="7" t="s">
        <v>617</v>
      </c>
      <c r="I14" s="7" t="s">
        <v>73</v>
      </c>
    </row>
    <row r="15" customFormat="false" ht="15" hidden="false" customHeight="false" outlineLevel="0" collapsed="false">
      <c r="A15" s="7" t="s">
        <v>618</v>
      </c>
      <c r="B15" s="7" t="s">
        <v>602</v>
      </c>
      <c r="C15" s="24" t="n">
        <v>360</v>
      </c>
      <c r="D15" s="24" t="n">
        <v>680</v>
      </c>
      <c r="E15" s="8" t="n">
        <f aca="false">C15+Assumptions!$C$9*(D15-C15)</f>
        <v>520</v>
      </c>
      <c r="F15" s="22" t="n">
        <v>2</v>
      </c>
      <c r="G15" s="22" t="n">
        <v>1</v>
      </c>
      <c r="H15" s="7" t="s">
        <v>619</v>
      </c>
      <c r="I15" s="7" t="s">
        <v>73</v>
      </c>
    </row>
    <row r="16" customFormat="false" ht="15" hidden="false" customHeight="false" outlineLevel="0" collapsed="false">
      <c r="A16" s="7" t="s">
        <v>620</v>
      </c>
      <c r="B16" s="7" t="s">
        <v>597</v>
      </c>
      <c r="C16" s="24" t="n">
        <v>500</v>
      </c>
      <c r="D16" s="24" t="n">
        <v>2000</v>
      </c>
      <c r="E16" s="8" t="n">
        <f aca="false">C16+Assumptions!$C$9*(D16-C16)</f>
        <v>1250</v>
      </c>
      <c r="F16" s="22" t="n">
        <v>3</v>
      </c>
      <c r="G16" s="22" t="n">
        <v>1</v>
      </c>
      <c r="H16" s="7" t="s">
        <v>621</v>
      </c>
      <c r="I16" s="7" t="s">
        <v>87</v>
      </c>
    </row>
    <row r="17" customFormat="false" ht="15" hidden="false" customHeight="false" outlineLevel="0" collapsed="false">
      <c r="A17" s="7" t="s">
        <v>622</v>
      </c>
      <c r="B17" s="7" t="s">
        <v>623</v>
      </c>
      <c r="C17" s="24" t="n">
        <v>500</v>
      </c>
      <c r="D17" s="24" t="n">
        <v>2500</v>
      </c>
      <c r="E17" s="8" t="n">
        <f aca="false">C17+Assumptions!$C$9*(D17-C17)</f>
        <v>1500</v>
      </c>
      <c r="F17" s="22" t="n">
        <v>1</v>
      </c>
      <c r="G17" s="22" t="n">
        <v>1</v>
      </c>
      <c r="H17" s="7" t="s">
        <v>624</v>
      </c>
      <c r="I17" s="7" t="s">
        <v>87</v>
      </c>
    </row>
    <row r="18" customFormat="false" ht="15" hidden="false" customHeight="false" outlineLevel="0" collapsed="false">
      <c r="A18" s="7" t="s">
        <v>625</v>
      </c>
      <c r="B18" s="7" t="s">
        <v>623</v>
      </c>
      <c r="C18" s="24" t="n">
        <v>300</v>
      </c>
      <c r="D18" s="24" t="n">
        <v>1000</v>
      </c>
      <c r="E18" s="8" t="n">
        <f aca="false">C18+Assumptions!$C$9*(D18-C18)</f>
        <v>650</v>
      </c>
      <c r="F18" s="22" t="n">
        <v>5</v>
      </c>
      <c r="G18" s="22" t="n">
        <v>1</v>
      </c>
      <c r="H18" s="7" t="s">
        <v>626</v>
      </c>
      <c r="I18" s="7" t="s">
        <v>87</v>
      </c>
    </row>
    <row r="19" customFormat="false" ht="15" hidden="false" customHeight="false" outlineLevel="0" collapsed="false">
      <c r="A19" s="7" t="s">
        <v>627</v>
      </c>
      <c r="B19" s="7" t="s">
        <v>623</v>
      </c>
      <c r="C19" s="24" t="n">
        <v>0</v>
      </c>
      <c r="D19" s="24" t="n">
        <v>300</v>
      </c>
      <c r="E19" s="8" t="n">
        <f aca="false">C19+Assumptions!$C$9*(D19-C19)</f>
        <v>150</v>
      </c>
      <c r="F19" s="22" t="n">
        <v>1</v>
      </c>
      <c r="G19" s="22" t="n">
        <v>1</v>
      </c>
      <c r="H19" s="7" t="s">
        <v>626</v>
      </c>
      <c r="I19" s="7" t="s">
        <v>87</v>
      </c>
    </row>
    <row r="20" customFormat="false" ht="15" hidden="false" customHeight="false" outlineLevel="0" collapsed="false">
      <c r="A20" s="7" t="s">
        <v>628</v>
      </c>
      <c r="B20" s="7" t="s">
        <v>597</v>
      </c>
      <c r="C20" s="24" t="n">
        <v>500</v>
      </c>
      <c r="D20" s="24" t="n">
        <v>1500</v>
      </c>
      <c r="E20" s="8" t="n">
        <f aca="false">C20+Assumptions!$C$9*(D20-C20)</f>
        <v>1000</v>
      </c>
      <c r="F20" s="22" t="n">
        <v>6</v>
      </c>
      <c r="G20" s="22" t="n">
        <v>1</v>
      </c>
      <c r="H20" s="7" t="s">
        <v>629</v>
      </c>
      <c r="I20" s="7" t="s">
        <v>87</v>
      </c>
    </row>
    <row r="21" customFormat="false" ht="15" hidden="false" customHeight="false" outlineLevel="0" collapsed="false">
      <c r="A21" s="7" t="s">
        <v>630</v>
      </c>
      <c r="B21" s="7" t="s">
        <v>631</v>
      </c>
      <c r="C21" s="24" t="n">
        <v>300</v>
      </c>
      <c r="D21" s="24" t="n">
        <v>1000</v>
      </c>
      <c r="E21" s="8" t="n">
        <f aca="false">C21+Assumptions!$C$9*(D21-C21)</f>
        <v>650</v>
      </c>
      <c r="F21" s="22" t="n">
        <v>1</v>
      </c>
      <c r="G21" s="22" t="n">
        <v>1</v>
      </c>
      <c r="H21" s="7" t="s">
        <v>632</v>
      </c>
      <c r="I21" s="7" t="s">
        <v>168</v>
      </c>
    </row>
    <row r="22" customFormat="false" ht="15" hidden="false" customHeight="false" outlineLevel="0" collapsed="false">
      <c r="A22" s="7" t="s">
        <v>633</v>
      </c>
      <c r="B22" s="7" t="s">
        <v>452</v>
      </c>
      <c r="C22" s="24" t="n">
        <v>30</v>
      </c>
      <c r="D22" s="24" t="n">
        <v>90</v>
      </c>
      <c r="E22" s="8" t="n">
        <f aca="false">C22+Assumptions!$C$9*(D22-C22)</f>
        <v>60</v>
      </c>
      <c r="F22" s="22" t="n">
        <v>1</v>
      </c>
      <c r="G22" s="22" t="n">
        <v>1</v>
      </c>
      <c r="H22" s="7" t="s">
        <v>634</v>
      </c>
      <c r="I22" s="7" t="s">
        <v>73</v>
      </c>
    </row>
    <row r="23" customFormat="false" ht="15" hidden="false" customHeight="false" outlineLevel="0" collapsed="false">
      <c r="A23" s="7" t="s">
        <v>635</v>
      </c>
      <c r="B23" s="7" t="s">
        <v>452</v>
      </c>
      <c r="C23" s="24" t="n">
        <v>200</v>
      </c>
      <c r="D23" s="24" t="n">
        <v>500</v>
      </c>
      <c r="E23" s="8" t="n">
        <f aca="false">C23+Assumptions!$C$9*(D23-C23)</f>
        <v>350</v>
      </c>
      <c r="F23" s="22" t="n">
        <v>3</v>
      </c>
      <c r="G23" s="22" t="n">
        <v>1</v>
      </c>
      <c r="H23" s="7" t="s">
        <v>636</v>
      </c>
      <c r="I23" s="7" t="s">
        <v>73</v>
      </c>
    </row>
    <row r="24" customFormat="false" ht="15" hidden="false" customHeight="false" outlineLevel="0" collapsed="false">
      <c r="A24" s="7" t="s">
        <v>637</v>
      </c>
      <c r="B24" s="7" t="s">
        <v>452</v>
      </c>
      <c r="C24" s="24" t="n">
        <v>150</v>
      </c>
      <c r="D24" s="24" t="n">
        <v>600</v>
      </c>
      <c r="E24" s="8" t="n">
        <f aca="false">C24+Assumptions!$C$9*(D24-C24)</f>
        <v>375</v>
      </c>
      <c r="F24" s="22" t="n">
        <v>3</v>
      </c>
      <c r="G24" s="22" t="n">
        <v>1</v>
      </c>
      <c r="H24" s="7" t="s">
        <v>636</v>
      </c>
      <c r="I24" s="7" t="s">
        <v>73</v>
      </c>
    </row>
    <row r="25" customFormat="false" ht="15" hidden="false" customHeight="false" outlineLevel="0" collapsed="false">
      <c r="A25" s="7" t="s">
        <v>638</v>
      </c>
      <c r="B25" s="7" t="s">
        <v>639</v>
      </c>
      <c r="C25" s="24" t="n">
        <v>100</v>
      </c>
      <c r="D25" s="24" t="n">
        <v>300</v>
      </c>
      <c r="E25" s="8" t="n">
        <f aca="false">C25+Assumptions!$C$9*(D25-C25)</f>
        <v>200</v>
      </c>
      <c r="F25" s="22" t="n">
        <v>2</v>
      </c>
      <c r="G25" s="22" t="n">
        <v>1</v>
      </c>
      <c r="H25" s="7" t="s">
        <v>640</v>
      </c>
      <c r="I25" s="7" t="s">
        <v>73</v>
      </c>
    </row>
    <row r="26" customFormat="false" ht="15" hidden="false" customHeight="false" outlineLevel="0" collapsed="false">
      <c r="A26" s="7" t="s">
        <v>641</v>
      </c>
      <c r="B26" s="7" t="s">
        <v>639</v>
      </c>
      <c r="C26" s="24" t="n">
        <v>0</v>
      </c>
      <c r="D26" s="24" t="n">
        <v>20</v>
      </c>
      <c r="E26" s="8" t="n">
        <f aca="false">C26+Assumptions!$C$9*(D26-C26)</f>
        <v>10</v>
      </c>
      <c r="F26" s="22" t="n">
        <v>1</v>
      </c>
      <c r="G26" s="22" t="n">
        <v>1</v>
      </c>
      <c r="H26" s="7" t="s">
        <v>642</v>
      </c>
      <c r="I26" s="7" t="s">
        <v>73</v>
      </c>
    </row>
    <row r="27" customFormat="false" ht="15" hidden="false" customHeight="false" outlineLevel="0" collapsed="false">
      <c r="A27" s="7" t="s">
        <v>643</v>
      </c>
      <c r="B27" s="7" t="s">
        <v>644</v>
      </c>
      <c r="C27" s="24" t="n">
        <v>1500</v>
      </c>
      <c r="D27" s="24" t="n">
        <v>5000</v>
      </c>
      <c r="E27" s="8" t="n">
        <f aca="false">C27+Assumptions!$C$9*(D27-C27)</f>
        <v>3250</v>
      </c>
      <c r="F27" s="22" t="n">
        <v>6</v>
      </c>
      <c r="G27" s="22" t="n">
        <v>1</v>
      </c>
      <c r="H27" s="7" t="s">
        <v>645</v>
      </c>
      <c r="I27" s="7" t="s">
        <v>73</v>
      </c>
    </row>
    <row r="28" customFormat="false" ht="15" hidden="false" customHeight="false" outlineLevel="0" collapsed="false">
      <c r="A28" s="7" t="s">
        <v>646</v>
      </c>
      <c r="B28" s="7" t="s">
        <v>647</v>
      </c>
      <c r="C28" s="24" t="n">
        <v>75</v>
      </c>
      <c r="D28" s="24" t="n">
        <v>150</v>
      </c>
      <c r="E28" s="8" t="n">
        <f aca="false">C28+Assumptions!$C$9*(D28-C28)</f>
        <v>112.5</v>
      </c>
      <c r="F28" s="22" t="n">
        <v>9</v>
      </c>
      <c r="G28" s="22" t="n">
        <v>1</v>
      </c>
      <c r="H28" s="7" t="s">
        <v>648</v>
      </c>
      <c r="I28" s="7" t="s">
        <v>87</v>
      </c>
    </row>
    <row r="29" customFormat="false" ht="15" hidden="false" customHeight="false" outlineLevel="0" collapsed="false">
      <c r="A29" s="7" t="s">
        <v>649</v>
      </c>
      <c r="B29" s="7" t="s">
        <v>647</v>
      </c>
      <c r="C29" s="24" t="n">
        <v>500</v>
      </c>
      <c r="D29" s="24" t="n">
        <v>650</v>
      </c>
      <c r="E29" s="8" t="n">
        <f aca="false">C29+Assumptions!$C$9*(D29-C29)</f>
        <v>575</v>
      </c>
      <c r="F29" s="22" t="n">
        <v>9</v>
      </c>
      <c r="G29" s="22" t="n">
        <v>1</v>
      </c>
      <c r="H29" s="7" t="s">
        <v>648</v>
      </c>
      <c r="I29" s="7" t="s">
        <v>87</v>
      </c>
    </row>
    <row r="30" customFormat="false" ht="15" hidden="false" customHeight="false" outlineLevel="0" collapsed="false">
      <c r="A30" s="7" t="s">
        <v>650</v>
      </c>
      <c r="B30" s="7" t="s">
        <v>647</v>
      </c>
      <c r="C30" s="24" t="n">
        <v>225</v>
      </c>
      <c r="D30" s="24" t="n">
        <v>300</v>
      </c>
      <c r="E30" s="8" t="n">
        <f aca="false">C30+Assumptions!$C$9*(D30-C30)</f>
        <v>262.5</v>
      </c>
      <c r="F30" s="22" t="n">
        <v>10</v>
      </c>
      <c r="G30" s="22" t="n">
        <v>1</v>
      </c>
      <c r="H30" s="7" t="s">
        <v>648</v>
      </c>
      <c r="I30" s="7" t="s">
        <v>87</v>
      </c>
    </row>
    <row r="31" customFormat="false" ht="15" hidden="false" customHeight="false" outlineLevel="0" collapsed="false">
      <c r="A31" s="7" t="s">
        <v>651</v>
      </c>
      <c r="B31" s="7" t="s">
        <v>652</v>
      </c>
      <c r="C31" s="24" t="n">
        <v>4700</v>
      </c>
      <c r="D31" s="24" t="n">
        <v>5800</v>
      </c>
      <c r="E31" s="8" t="n">
        <f aca="false">C31+Assumptions!$C$9*(D31-C31)</f>
        <v>5250</v>
      </c>
      <c r="F31" s="22" t="n">
        <v>7</v>
      </c>
      <c r="G31" s="22" t="n">
        <v>1</v>
      </c>
      <c r="H31" s="7" t="s">
        <v>653</v>
      </c>
      <c r="I31" s="7" t="s">
        <v>654</v>
      </c>
    </row>
    <row r="32" customFormat="false" ht="15" hidden="false" customHeight="false" outlineLevel="0" collapsed="false">
      <c r="A32" s="7" t="s">
        <v>655</v>
      </c>
      <c r="B32" s="7" t="s">
        <v>652</v>
      </c>
      <c r="C32" s="24" t="n">
        <v>2500</v>
      </c>
      <c r="D32" s="24" t="n">
        <v>4500</v>
      </c>
      <c r="E32" s="8" t="n">
        <f aca="false">C32+Assumptions!$C$9*(D32-C32)</f>
        <v>3500</v>
      </c>
      <c r="F32" s="22" t="n">
        <v>8</v>
      </c>
      <c r="G32" s="22" t="n">
        <v>0</v>
      </c>
      <c r="H32" s="7" t="s">
        <v>656</v>
      </c>
      <c r="I32" s="7" t="s">
        <v>87</v>
      </c>
    </row>
    <row r="33" customFormat="false" ht="15" hidden="false" customHeight="false" outlineLevel="0" collapsed="false">
      <c r="A33" s="39" t="s">
        <v>657</v>
      </c>
      <c r="B33" s="40"/>
      <c r="C33" s="41" t="n">
        <f aca="false">SUMPRODUCT(C6:C32,$G$6:$G$32)</f>
        <v>11941</v>
      </c>
      <c r="D33" s="41" t="n">
        <f aca="false">SUMPRODUCT(D6:D32,$G$6:$G$32)</f>
        <v>27631</v>
      </c>
      <c r="E33" s="41" t="n">
        <f aca="false">SUMPRODUCT(E6:E32,$G$6:$G$32)</f>
        <v>19786</v>
      </c>
      <c r="F33" s="40"/>
      <c r="G33" s="40"/>
      <c r="H33" s="40"/>
      <c r="I33" s="40"/>
    </row>
    <row r="35" customFormat="false" ht="15" hidden="false" customHeight="false" outlineLevel="0" collapsed="false">
      <c r="A35" s="10" t="s">
        <v>658</v>
      </c>
    </row>
    <row r="36" customFormat="false" ht="15" hidden="false" customHeight="false" outlineLevel="0" collapsed="false">
      <c r="A36" s="7" t="s">
        <v>659</v>
      </c>
      <c r="E36" s="17" t="n">
        <f aca="false">SUMPRODUCT(($F$6:$F$32&gt;=1)*($F$6:$F$32&lt;=3)*$G$6:$G$32*$E$6:$E$32)</f>
        <v>7648.5</v>
      </c>
    </row>
    <row r="37" customFormat="false" ht="15" hidden="false" customHeight="false" outlineLevel="0" collapsed="false">
      <c r="A37" s="7" t="s">
        <v>660</v>
      </c>
      <c r="E37" s="17" t="n">
        <f aca="false">SUMPRODUCT(($F$6:$F$32&gt;=4)*($F$6:$F$32&lt;=12)*$G$6:$G$32*$E$6:$E$32)</f>
        <v>12137.5</v>
      </c>
    </row>
    <row r="38" customFormat="false" ht="15" hidden="false" customHeight="false" outlineLevel="0" collapsed="false">
      <c r="A38" s="7" t="s">
        <v>58</v>
      </c>
      <c r="E38" s="17" t="n">
        <f aca="false">SUMPRODUCT(($F$6:$F$32&gt;=13)*($F$6:$F$32&lt;=24)*$G$6:$G$32*$E$6:$E$32)</f>
        <v>0</v>
      </c>
    </row>
    <row r="39" customFormat="false" ht="15" hidden="false" customHeight="false" outlineLevel="0" collapsed="false">
      <c r="A39" s="7" t="s">
        <v>59</v>
      </c>
      <c r="E39" s="17" t="n">
        <f aca="false">SUMPRODUCT(($F$6:$F$32&gt;=25)*($F$6:$F$32&lt;=36)*$G$6:$G$32*$E$6:$E$32)</f>
        <v>0</v>
      </c>
    </row>
    <row r="41" customFormat="false" ht="15" hidden="false" customHeight="false" outlineLevel="0" collapsed="false">
      <c r="A41" s="9" t="s">
        <v>661</v>
      </c>
    </row>
  </sheetData>
  <mergeCells count="1">
    <mergeCell ref="A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AX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4" ySplit="5" topLeftCell="O6" activePane="bottomRight" state="frozen"/>
      <selection pane="topLeft" activeCell="A1" activeCellId="0" sqref="A1"/>
      <selection pane="topRight" activeCell="O1" activeCellId="0" sqref="O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8"/>
    <col collapsed="false" customWidth="true" hidden="false" outlineLevel="0" max="11" min="9" style="0" width="11"/>
    <col collapsed="false" customWidth="true" hidden="false" outlineLevel="0" max="12" min="12" style="0" width="60"/>
    <col collapsed="false" customWidth="true" hidden="false" outlineLevel="0" max="13" min="13" style="0" width="18"/>
    <col collapsed="false" customWidth="true" hidden="false" outlineLevel="0" max="14" min="14" style="0" width="8"/>
    <col collapsed="false" customWidth="true" hidden="false" outlineLevel="0" max="50" min="15" style="0" width="9"/>
  </cols>
  <sheetData>
    <row r="1" customFormat="false" ht="17.35" hidden="false" customHeight="false" outlineLevel="0" collapsed="false">
      <c r="A1" s="18" t="s">
        <v>662</v>
      </c>
    </row>
    <row r="2" customFormat="false" ht="27.75" hidden="false" customHeight="true" outlineLevel="0" collapsed="false">
      <c r="A2" s="2" t="s">
        <v>663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9" t="s">
        <v>664</v>
      </c>
      <c r="O3" s="42" t="n">
        <f aca="false">INT((O4-1)/12)+1</f>
        <v>1</v>
      </c>
      <c r="P3" s="42" t="n">
        <f aca="false">INT((P4-1)/12)+1</f>
        <v>1</v>
      </c>
      <c r="Q3" s="42" t="n">
        <f aca="false">INT((Q4-1)/12)+1</f>
        <v>1</v>
      </c>
      <c r="R3" s="42" t="n">
        <f aca="false">INT((R4-1)/12)+1</f>
        <v>1</v>
      </c>
      <c r="S3" s="42" t="n">
        <f aca="false">INT((S4-1)/12)+1</f>
        <v>1</v>
      </c>
      <c r="T3" s="42" t="n">
        <f aca="false">INT((T4-1)/12)+1</f>
        <v>1</v>
      </c>
      <c r="U3" s="42" t="n">
        <f aca="false">INT((U4-1)/12)+1</f>
        <v>1</v>
      </c>
      <c r="V3" s="42" t="n">
        <f aca="false">INT((V4-1)/12)+1</f>
        <v>1</v>
      </c>
      <c r="W3" s="42" t="n">
        <f aca="false">INT((W4-1)/12)+1</f>
        <v>1</v>
      </c>
      <c r="X3" s="42" t="n">
        <f aca="false">INT((X4-1)/12)+1</f>
        <v>1</v>
      </c>
      <c r="Y3" s="42" t="n">
        <f aca="false">INT((Y4-1)/12)+1</f>
        <v>1</v>
      </c>
      <c r="Z3" s="42" t="n">
        <f aca="false">INT((Z4-1)/12)+1</f>
        <v>1</v>
      </c>
      <c r="AA3" s="42" t="n">
        <f aca="false">INT((AA4-1)/12)+1</f>
        <v>2</v>
      </c>
      <c r="AB3" s="42" t="n">
        <f aca="false">INT((AB4-1)/12)+1</f>
        <v>2</v>
      </c>
      <c r="AC3" s="42" t="n">
        <f aca="false">INT((AC4-1)/12)+1</f>
        <v>2</v>
      </c>
      <c r="AD3" s="42" t="n">
        <f aca="false">INT((AD4-1)/12)+1</f>
        <v>2</v>
      </c>
      <c r="AE3" s="42" t="n">
        <f aca="false">INT((AE4-1)/12)+1</f>
        <v>2</v>
      </c>
      <c r="AF3" s="42" t="n">
        <f aca="false">INT((AF4-1)/12)+1</f>
        <v>2</v>
      </c>
      <c r="AG3" s="42" t="n">
        <f aca="false">INT((AG4-1)/12)+1</f>
        <v>2</v>
      </c>
      <c r="AH3" s="42" t="n">
        <f aca="false">INT((AH4-1)/12)+1</f>
        <v>2</v>
      </c>
      <c r="AI3" s="42" t="n">
        <f aca="false">INT((AI4-1)/12)+1</f>
        <v>2</v>
      </c>
      <c r="AJ3" s="42" t="n">
        <f aca="false">INT((AJ4-1)/12)+1</f>
        <v>2</v>
      </c>
      <c r="AK3" s="42" t="n">
        <f aca="false">INT((AK4-1)/12)+1</f>
        <v>2</v>
      </c>
      <c r="AL3" s="42" t="n">
        <f aca="false">INT((AL4-1)/12)+1</f>
        <v>2</v>
      </c>
      <c r="AM3" s="42" t="n">
        <f aca="false">INT((AM4-1)/12)+1</f>
        <v>3</v>
      </c>
      <c r="AN3" s="42" t="n">
        <f aca="false">INT((AN4-1)/12)+1</f>
        <v>3</v>
      </c>
      <c r="AO3" s="42" t="n">
        <f aca="false">INT((AO4-1)/12)+1</f>
        <v>3</v>
      </c>
      <c r="AP3" s="42" t="n">
        <f aca="false">INT((AP4-1)/12)+1</f>
        <v>3</v>
      </c>
      <c r="AQ3" s="42" t="n">
        <f aca="false">INT((AQ4-1)/12)+1</f>
        <v>3</v>
      </c>
      <c r="AR3" s="42" t="n">
        <f aca="false">INT((AR4-1)/12)+1</f>
        <v>3</v>
      </c>
      <c r="AS3" s="42" t="n">
        <f aca="false">INT((AS4-1)/12)+1</f>
        <v>3</v>
      </c>
      <c r="AT3" s="42" t="n">
        <f aca="false">INT((AT4-1)/12)+1</f>
        <v>3</v>
      </c>
      <c r="AU3" s="42" t="n">
        <f aca="false">INT((AU4-1)/12)+1</f>
        <v>3</v>
      </c>
      <c r="AV3" s="42" t="n">
        <f aca="false">INT((AV4-1)/12)+1</f>
        <v>3</v>
      </c>
      <c r="AW3" s="42" t="n">
        <f aca="false">INT((AW4-1)/12)+1</f>
        <v>3</v>
      </c>
      <c r="AX3" s="42" t="n">
        <f aca="false">INT((AX4-1)/12)+1</f>
        <v>3</v>
      </c>
    </row>
    <row r="4" customFormat="false" ht="15" hidden="false" customHeight="false" outlineLevel="0" collapsed="false">
      <c r="N4" s="9" t="s">
        <v>665</v>
      </c>
      <c r="O4" s="42" t="n">
        <v>1</v>
      </c>
      <c r="P4" s="42" t="n">
        <v>2</v>
      </c>
      <c r="Q4" s="42" t="n">
        <v>3</v>
      </c>
      <c r="R4" s="42" t="n">
        <v>4</v>
      </c>
      <c r="S4" s="42" t="n">
        <v>5</v>
      </c>
      <c r="T4" s="42" t="n">
        <v>6</v>
      </c>
      <c r="U4" s="42" t="n">
        <v>7</v>
      </c>
      <c r="V4" s="42" t="n">
        <v>8</v>
      </c>
      <c r="W4" s="42" t="n">
        <v>9</v>
      </c>
      <c r="X4" s="42" t="n">
        <v>10</v>
      </c>
      <c r="Y4" s="42" t="n">
        <v>11</v>
      </c>
      <c r="Z4" s="42" t="n">
        <v>12</v>
      </c>
      <c r="AA4" s="42" t="n">
        <v>13</v>
      </c>
      <c r="AB4" s="42" t="n">
        <v>14</v>
      </c>
      <c r="AC4" s="42" t="n">
        <v>15</v>
      </c>
      <c r="AD4" s="42" t="n">
        <v>16</v>
      </c>
      <c r="AE4" s="42" t="n">
        <v>17</v>
      </c>
      <c r="AF4" s="42" t="n">
        <v>18</v>
      </c>
      <c r="AG4" s="42" t="n">
        <v>19</v>
      </c>
      <c r="AH4" s="42" t="n">
        <v>20</v>
      </c>
      <c r="AI4" s="42" t="n">
        <v>21</v>
      </c>
      <c r="AJ4" s="42" t="n">
        <v>22</v>
      </c>
      <c r="AK4" s="42" t="n">
        <v>23</v>
      </c>
      <c r="AL4" s="42" t="n">
        <v>24</v>
      </c>
      <c r="AM4" s="42" t="n">
        <v>25</v>
      </c>
      <c r="AN4" s="42" t="n">
        <v>26</v>
      </c>
      <c r="AO4" s="42" t="n">
        <v>27</v>
      </c>
      <c r="AP4" s="42" t="n">
        <v>28</v>
      </c>
      <c r="AQ4" s="42" t="n">
        <v>29</v>
      </c>
      <c r="AR4" s="42" t="n">
        <v>30</v>
      </c>
      <c r="AS4" s="42" t="n">
        <v>31</v>
      </c>
      <c r="AT4" s="42" t="n">
        <v>32</v>
      </c>
      <c r="AU4" s="42" t="n">
        <v>33</v>
      </c>
      <c r="AV4" s="42" t="n">
        <v>34</v>
      </c>
      <c r="AW4" s="42" t="n">
        <v>35</v>
      </c>
      <c r="AX4" s="42" t="n">
        <v>36</v>
      </c>
    </row>
    <row r="5" customFormat="false" ht="31.5" hidden="false" customHeight="true" outlineLevel="0" collapsed="false">
      <c r="A5" s="3" t="s">
        <v>588</v>
      </c>
      <c r="B5" s="4" t="s">
        <v>589</v>
      </c>
      <c r="C5" s="4" t="s">
        <v>590</v>
      </c>
      <c r="D5" s="4" t="s">
        <v>591</v>
      </c>
      <c r="E5" s="4" t="s">
        <v>666</v>
      </c>
      <c r="F5" s="4" t="s">
        <v>667</v>
      </c>
      <c r="G5" s="4" t="s">
        <v>668</v>
      </c>
      <c r="H5" s="4" t="s">
        <v>669</v>
      </c>
      <c r="I5" s="4" t="s">
        <v>670</v>
      </c>
      <c r="J5" s="4" t="s">
        <v>671</v>
      </c>
      <c r="K5" s="4" t="s">
        <v>672</v>
      </c>
      <c r="L5" s="4" t="s">
        <v>595</v>
      </c>
      <c r="M5" s="4" t="s">
        <v>67</v>
      </c>
      <c r="O5" s="43" t="n">
        <f aca="false">DATE(YEAR(Assumptions!$C$8),MONTH(Assumptions!$C$8)+O4-1,1)</f>
        <v>46296</v>
      </c>
      <c r="P5" s="43" t="n">
        <f aca="false">DATE(YEAR(Assumptions!$C$8),MONTH(Assumptions!$C$8)+P4-1,1)</f>
        <v>46327</v>
      </c>
      <c r="Q5" s="43" t="n">
        <f aca="false">DATE(YEAR(Assumptions!$C$8),MONTH(Assumptions!$C$8)+Q4-1,1)</f>
        <v>46357</v>
      </c>
      <c r="R5" s="43" t="n">
        <f aca="false">DATE(YEAR(Assumptions!$C$8),MONTH(Assumptions!$C$8)+R4-1,1)</f>
        <v>46388</v>
      </c>
      <c r="S5" s="43" t="n">
        <f aca="false">DATE(YEAR(Assumptions!$C$8),MONTH(Assumptions!$C$8)+S4-1,1)</f>
        <v>46419</v>
      </c>
      <c r="T5" s="43" t="n">
        <f aca="false">DATE(YEAR(Assumptions!$C$8),MONTH(Assumptions!$C$8)+T4-1,1)</f>
        <v>46447</v>
      </c>
      <c r="U5" s="43" t="n">
        <f aca="false">DATE(YEAR(Assumptions!$C$8),MONTH(Assumptions!$C$8)+U4-1,1)</f>
        <v>46478</v>
      </c>
      <c r="V5" s="43" t="n">
        <f aca="false">DATE(YEAR(Assumptions!$C$8),MONTH(Assumptions!$C$8)+V4-1,1)</f>
        <v>46508</v>
      </c>
      <c r="W5" s="43" t="n">
        <f aca="false">DATE(YEAR(Assumptions!$C$8),MONTH(Assumptions!$C$8)+W4-1,1)</f>
        <v>46539</v>
      </c>
      <c r="X5" s="43" t="n">
        <f aca="false">DATE(YEAR(Assumptions!$C$8),MONTH(Assumptions!$C$8)+X4-1,1)</f>
        <v>46569</v>
      </c>
      <c r="Y5" s="43" t="n">
        <f aca="false">DATE(YEAR(Assumptions!$C$8),MONTH(Assumptions!$C$8)+Y4-1,1)</f>
        <v>46600</v>
      </c>
      <c r="Z5" s="43" t="n">
        <f aca="false">DATE(YEAR(Assumptions!$C$8),MONTH(Assumptions!$C$8)+Z4-1,1)</f>
        <v>46631</v>
      </c>
      <c r="AA5" s="43" t="n">
        <f aca="false">DATE(YEAR(Assumptions!$C$8),MONTH(Assumptions!$C$8)+AA4-1,1)</f>
        <v>46661</v>
      </c>
      <c r="AB5" s="43" t="n">
        <f aca="false">DATE(YEAR(Assumptions!$C$8),MONTH(Assumptions!$C$8)+AB4-1,1)</f>
        <v>46692</v>
      </c>
      <c r="AC5" s="43" t="n">
        <f aca="false">DATE(YEAR(Assumptions!$C$8),MONTH(Assumptions!$C$8)+AC4-1,1)</f>
        <v>46722</v>
      </c>
      <c r="AD5" s="43" t="n">
        <f aca="false">DATE(YEAR(Assumptions!$C$8),MONTH(Assumptions!$C$8)+AD4-1,1)</f>
        <v>46753</v>
      </c>
      <c r="AE5" s="43" t="n">
        <f aca="false">DATE(YEAR(Assumptions!$C$8),MONTH(Assumptions!$C$8)+AE4-1,1)</f>
        <v>46784</v>
      </c>
      <c r="AF5" s="43" t="n">
        <f aca="false">DATE(YEAR(Assumptions!$C$8),MONTH(Assumptions!$C$8)+AF4-1,1)</f>
        <v>46813</v>
      </c>
      <c r="AG5" s="43" t="n">
        <f aca="false">DATE(YEAR(Assumptions!$C$8),MONTH(Assumptions!$C$8)+AG4-1,1)</f>
        <v>46844</v>
      </c>
      <c r="AH5" s="43" t="n">
        <f aca="false">DATE(YEAR(Assumptions!$C$8),MONTH(Assumptions!$C$8)+AH4-1,1)</f>
        <v>46874</v>
      </c>
      <c r="AI5" s="43" t="n">
        <f aca="false">DATE(YEAR(Assumptions!$C$8),MONTH(Assumptions!$C$8)+AI4-1,1)</f>
        <v>46905</v>
      </c>
      <c r="AJ5" s="43" t="n">
        <f aca="false">DATE(YEAR(Assumptions!$C$8),MONTH(Assumptions!$C$8)+AJ4-1,1)</f>
        <v>46935</v>
      </c>
      <c r="AK5" s="43" t="n">
        <f aca="false">DATE(YEAR(Assumptions!$C$8),MONTH(Assumptions!$C$8)+AK4-1,1)</f>
        <v>46966</v>
      </c>
      <c r="AL5" s="43" t="n">
        <f aca="false">DATE(YEAR(Assumptions!$C$8),MONTH(Assumptions!$C$8)+AL4-1,1)</f>
        <v>46997</v>
      </c>
      <c r="AM5" s="43" t="n">
        <f aca="false">DATE(YEAR(Assumptions!$C$8),MONTH(Assumptions!$C$8)+AM4-1,1)</f>
        <v>47027</v>
      </c>
      <c r="AN5" s="43" t="n">
        <f aca="false">DATE(YEAR(Assumptions!$C$8),MONTH(Assumptions!$C$8)+AN4-1,1)</f>
        <v>47058</v>
      </c>
      <c r="AO5" s="43" t="n">
        <f aca="false">DATE(YEAR(Assumptions!$C$8),MONTH(Assumptions!$C$8)+AO4-1,1)</f>
        <v>47088</v>
      </c>
      <c r="AP5" s="43" t="n">
        <f aca="false">DATE(YEAR(Assumptions!$C$8),MONTH(Assumptions!$C$8)+AP4-1,1)</f>
        <v>47119</v>
      </c>
      <c r="AQ5" s="43" t="n">
        <f aca="false">DATE(YEAR(Assumptions!$C$8),MONTH(Assumptions!$C$8)+AQ4-1,1)</f>
        <v>47150</v>
      </c>
      <c r="AR5" s="43" t="n">
        <f aca="false">DATE(YEAR(Assumptions!$C$8),MONTH(Assumptions!$C$8)+AR4-1,1)</f>
        <v>47178</v>
      </c>
      <c r="AS5" s="43" t="n">
        <f aca="false">DATE(YEAR(Assumptions!$C$8),MONTH(Assumptions!$C$8)+AS4-1,1)</f>
        <v>47209</v>
      </c>
      <c r="AT5" s="43" t="n">
        <f aca="false">DATE(YEAR(Assumptions!$C$8),MONTH(Assumptions!$C$8)+AT4-1,1)</f>
        <v>47239</v>
      </c>
      <c r="AU5" s="43" t="n">
        <f aca="false">DATE(YEAR(Assumptions!$C$8),MONTH(Assumptions!$C$8)+AU4-1,1)</f>
        <v>47270</v>
      </c>
      <c r="AV5" s="43" t="n">
        <f aca="false">DATE(YEAR(Assumptions!$C$8),MONTH(Assumptions!$C$8)+AV4-1,1)</f>
        <v>47300</v>
      </c>
      <c r="AW5" s="43" t="n">
        <f aca="false">DATE(YEAR(Assumptions!$C$8),MONTH(Assumptions!$C$8)+AW4-1,1)</f>
        <v>47331</v>
      </c>
      <c r="AX5" s="43" t="n">
        <f aca="false">DATE(YEAR(Assumptions!$C$8),MONTH(Assumptions!$C$8)+AX4-1,1)</f>
        <v>47362</v>
      </c>
    </row>
    <row r="6" customFormat="false" ht="15" hidden="false" customHeight="false" outlineLevel="0" collapsed="false">
      <c r="A6" s="7" t="s">
        <v>673</v>
      </c>
      <c r="B6" s="7" t="s">
        <v>674</v>
      </c>
      <c r="C6" s="26" t="n">
        <v>39</v>
      </c>
      <c r="D6" s="26" t="n">
        <v>39</v>
      </c>
      <c r="E6" s="15" t="n">
        <f aca="false">C6+Assumptions!$C$9*(D6-C6)</f>
        <v>39</v>
      </c>
      <c r="F6" s="44" t="s">
        <v>675</v>
      </c>
      <c r="G6" s="22" t="n">
        <v>1</v>
      </c>
      <c r="H6" s="22" t="n">
        <v>36</v>
      </c>
      <c r="I6" s="17" t="n">
        <f aca="false">SUMIF($O$3:$AX$3,1,O6:AX6)</f>
        <v>468</v>
      </c>
      <c r="J6" s="17" t="n">
        <f aca="false">SUMIF($O$3:$AX$3,2,O6:AX6)</f>
        <v>468</v>
      </c>
      <c r="K6" s="17" t="n">
        <f aca="false">SUMIF($O$3:$AX$3,3,O6:AX6)</f>
        <v>468</v>
      </c>
      <c r="L6" s="7" t="s">
        <v>676</v>
      </c>
      <c r="M6" s="7" t="s">
        <v>87</v>
      </c>
      <c r="O6" s="17" t="n">
        <f aca="false">IF(AND(O$4&gt;=$G6,O$4&lt;=$H6),IF($F6="Monthly",$E6,IF(MOD(O$4-$G6,12)=0,$E6,0)),0)</f>
        <v>39</v>
      </c>
      <c r="P6" s="17" t="n">
        <f aca="false">IF(AND(P$4&gt;=$G6,P$4&lt;=$H6),IF($F6="Monthly",$E6,IF(MOD(P$4-$G6,12)=0,$E6,0)),0)</f>
        <v>39</v>
      </c>
      <c r="Q6" s="17" t="n">
        <f aca="false">IF(AND(Q$4&gt;=$G6,Q$4&lt;=$H6),IF($F6="Monthly",$E6,IF(MOD(Q$4-$G6,12)=0,$E6,0)),0)</f>
        <v>39</v>
      </c>
      <c r="R6" s="17" t="n">
        <f aca="false">IF(AND(R$4&gt;=$G6,R$4&lt;=$H6),IF($F6="Monthly",$E6,IF(MOD(R$4-$G6,12)=0,$E6,0)),0)</f>
        <v>39</v>
      </c>
      <c r="S6" s="17" t="n">
        <f aca="false">IF(AND(S$4&gt;=$G6,S$4&lt;=$H6),IF($F6="Monthly",$E6,IF(MOD(S$4-$G6,12)=0,$E6,0)),0)</f>
        <v>39</v>
      </c>
      <c r="T6" s="17" t="n">
        <f aca="false">IF(AND(T$4&gt;=$G6,T$4&lt;=$H6),IF($F6="Monthly",$E6,IF(MOD(T$4-$G6,12)=0,$E6,0)),0)</f>
        <v>39</v>
      </c>
      <c r="U6" s="17" t="n">
        <f aca="false">IF(AND(U$4&gt;=$G6,U$4&lt;=$H6),IF($F6="Monthly",$E6,IF(MOD(U$4-$G6,12)=0,$E6,0)),0)</f>
        <v>39</v>
      </c>
      <c r="V6" s="17" t="n">
        <f aca="false">IF(AND(V$4&gt;=$G6,V$4&lt;=$H6),IF($F6="Monthly",$E6,IF(MOD(V$4-$G6,12)=0,$E6,0)),0)</f>
        <v>39</v>
      </c>
      <c r="W6" s="17" t="n">
        <f aca="false">IF(AND(W$4&gt;=$G6,W$4&lt;=$H6),IF($F6="Monthly",$E6,IF(MOD(W$4-$G6,12)=0,$E6,0)),0)</f>
        <v>39</v>
      </c>
      <c r="X6" s="17" t="n">
        <f aca="false">IF(AND(X$4&gt;=$G6,X$4&lt;=$H6),IF($F6="Monthly",$E6,IF(MOD(X$4-$G6,12)=0,$E6,0)),0)</f>
        <v>39</v>
      </c>
      <c r="Y6" s="17" t="n">
        <f aca="false">IF(AND(Y$4&gt;=$G6,Y$4&lt;=$H6),IF($F6="Monthly",$E6,IF(MOD(Y$4-$G6,12)=0,$E6,0)),0)</f>
        <v>39</v>
      </c>
      <c r="Z6" s="17" t="n">
        <f aca="false">IF(AND(Z$4&gt;=$G6,Z$4&lt;=$H6),IF($F6="Monthly",$E6,IF(MOD(Z$4-$G6,12)=0,$E6,0)),0)</f>
        <v>39</v>
      </c>
      <c r="AA6" s="17" t="n">
        <f aca="false">IF(AND(AA$4&gt;=$G6,AA$4&lt;=$H6),IF($F6="Monthly",$E6,IF(MOD(AA$4-$G6,12)=0,$E6,0)),0)</f>
        <v>39</v>
      </c>
      <c r="AB6" s="17" t="n">
        <f aca="false">IF(AND(AB$4&gt;=$G6,AB$4&lt;=$H6),IF($F6="Monthly",$E6,IF(MOD(AB$4-$G6,12)=0,$E6,0)),0)</f>
        <v>39</v>
      </c>
      <c r="AC6" s="17" t="n">
        <f aca="false">IF(AND(AC$4&gt;=$G6,AC$4&lt;=$H6),IF($F6="Monthly",$E6,IF(MOD(AC$4-$G6,12)=0,$E6,0)),0)</f>
        <v>39</v>
      </c>
      <c r="AD6" s="17" t="n">
        <f aca="false">IF(AND(AD$4&gt;=$G6,AD$4&lt;=$H6),IF($F6="Monthly",$E6,IF(MOD(AD$4-$G6,12)=0,$E6,0)),0)</f>
        <v>39</v>
      </c>
      <c r="AE6" s="17" t="n">
        <f aca="false">IF(AND(AE$4&gt;=$G6,AE$4&lt;=$H6),IF($F6="Monthly",$E6,IF(MOD(AE$4-$G6,12)=0,$E6,0)),0)</f>
        <v>39</v>
      </c>
      <c r="AF6" s="17" t="n">
        <f aca="false">IF(AND(AF$4&gt;=$G6,AF$4&lt;=$H6),IF($F6="Monthly",$E6,IF(MOD(AF$4-$G6,12)=0,$E6,0)),0)</f>
        <v>39</v>
      </c>
      <c r="AG6" s="17" t="n">
        <f aca="false">IF(AND(AG$4&gt;=$G6,AG$4&lt;=$H6),IF($F6="Monthly",$E6,IF(MOD(AG$4-$G6,12)=0,$E6,0)),0)</f>
        <v>39</v>
      </c>
      <c r="AH6" s="17" t="n">
        <f aca="false">IF(AND(AH$4&gt;=$G6,AH$4&lt;=$H6),IF($F6="Monthly",$E6,IF(MOD(AH$4-$G6,12)=0,$E6,0)),0)</f>
        <v>39</v>
      </c>
      <c r="AI6" s="17" t="n">
        <f aca="false">IF(AND(AI$4&gt;=$G6,AI$4&lt;=$H6),IF($F6="Monthly",$E6,IF(MOD(AI$4-$G6,12)=0,$E6,0)),0)</f>
        <v>39</v>
      </c>
      <c r="AJ6" s="17" t="n">
        <f aca="false">IF(AND(AJ$4&gt;=$G6,AJ$4&lt;=$H6),IF($F6="Monthly",$E6,IF(MOD(AJ$4-$G6,12)=0,$E6,0)),0)</f>
        <v>39</v>
      </c>
      <c r="AK6" s="17" t="n">
        <f aca="false">IF(AND(AK$4&gt;=$G6,AK$4&lt;=$H6),IF($F6="Monthly",$E6,IF(MOD(AK$4-$G6,12)=0,$E6,0)),0)</f>
        <v>39</v>
      </c>
      <c r="AL6" s="17" t="n">
        <f aca="false">IF(AND(AL$4&gt;=$G6,AL$4&lt;=$H6),IF($F6="Monthly",$E6,IF(MOD(AL$4-$G6,12)=0,$E6,0)),0)</f>
        <v>39</v>
      </c>
      <c r="AM6" s="17" t="n">
        <f aca="false">IF(AND(AM$4&gt;=$G6,AM$4&lt;=$H6),IF($F6="Monthly",$E6,IF(MOD(AM$4-$G6,12)=0,$E6,0)),0)</f>
        <v>39</v>
      </c>
      <c r="AN6" s="17" t="n">
        <f aca="false">IF(AND(AN$4&gt;=$G6,AN$4&lt;=$H6),IF($F6="Monthly",$E6,IF(MOD(AN$4-$G6,12)=0,$E6,0)),0)</f>
        <v>39</v>
      </c>
      <c r="AO6" s="17" t="n">
        <f aca="false">IF(AND(AO$4&gt;=$G6,AO$4&lt;=$H6),IF($F6="Monthly",$E6,IF(MOD(AO$4-$G6,12)=0,$E6,0)),0)</f>
        <v>39</v>
      </c>
      <c r="AP6" s="17" t="n">
        <f aca="false">IF(AND(AP$4&gt;=$G6,AP$4&lt;=$H6),IF($F6="Monthly",$E6,IF(MOD(AP$4-$G6,12)=0,$E6,0)),0)</f>
        <v>39</v>
      </c>
      <c r="AQ6" s="17" t="n">
        <f aca="false">IF(AND(AQ$4&gt;=$G6,AQ$4&lt;=$H6),IF($F6="Monthly",$E6,IF(MOD(AQ$4-$G6,12)=0,$E6,0)),0)</f>
        <v>39</v>
      </c>
      <c r="AR6" s="17" t="n">
        <f aca="false">IF(AND(AR$4&gt;=$G6,AR$4&lt;=$H6),IF($F6="Monthly",$E6,IF(MOD(AR$4-$G6,12)=0,$E6,0)),0)</f>
        <v>39</v>
      </c>
      <c r="AS6" s="17" t="n">
        <f aca="false">IF(AND(AS$4&gt;=$G6,AS$4&lt;=$H6),IF($F6="Monthly",$E6,IF(MOD(AS$4-$G6,12)=0,$E6,0)),0)</f>
        <v>39</v>
      </c>
      <c r="AT6" s="17" t="n">
        <f aca="false">IF(AND(AT$4&gt;=$G6,AT$4&lt;=$H6),IF($F6="Monthly",$E6,IF(MOD(AT$4-$G6,12)=0,$E6,0)),0)</f>
        <v>39</v>
      </c>
      <c r="AU6" s="17" t="n">
        <f aca="false">IF(AND(AU$4&gt;=$G6,AU$4&lt;=$H6),IF($F6="Monthly",$E6,IF(MOD(AU$4-$G6,12)=0,$E6,0)),0)</f>
        <v>39</v>
      </c>
      <c r="AV6" s="17" t="n">
        <f aca="false">IF(AND(AV$4&gt;=$G6,AV$4&lt;=$H6),IF($F6="Monthly",$E6,IF(MOD(AV$4-$G6,12)=0,$E6,0)),0)</f>
        <v>39</v>
      </c>
      <c r="AW6" s="17" t="n">
        <f aca="false">IF(AND(AW$4&gt;=$G6,AW$4&lt;=$H6),IF($F6="Monthly",$E6,IF(MOD(AW$4-$G6,12)=0,$E6,0)),0)</f>
        <v>39</v>
      </c>
      <c r="AX6" s="17" t="n">
        <f aca="false">IF(AND(AX$4&gt;=$G6,AX$4&lt;=$H6),IF($F6="Monthly",$E6,IF(MOD(AX$4-$G6,12)=0,$E6,0)),0)</f>
        <v>39</v>
      </c>
    </row>
    <row r="7" customFormat="false" ht="15" hidden="false" customHeight="false" outlineLevel="0" collapsed="false">
      <c r="A7" s="7" t="s">
        <v>677</v>
      </c>
      <c r="B7" s="7" t="s">
        <v>678</v>
      </c>
      <c r="C7" s="26" t="n">
        <v>7</v>
      </c>
      <c r="D7" s="26" t="n">
        <v>14</v>
      </c>
      <c r="E7" s="15" t="n">
        <f aca="false">C7+Assumptions!$C$9*(D7-C7)</f>
        <v>10.5</v>
      </c>
      <c r="F7" s="44" t="s">
        <v>675</v>
      </c>
      <c r="G7" s="22" t="n">
        <v>1</v>
      </c>
      <c r="H7" s="22" t="n">
        <v>36</v>
      </c>
      <c r="I7" s="17" t="n">
        <f aca="false">SUMIF($O$3:$AX$3,1,O7:AX7)</f>
        <v>126</v>
      </c>
      <c r="J7" s="17" t="n">
        <f aca="false">SUMIF($O$3:$AX$3,2,O7:AX7)</f>
        <v>126</v>
      </c>
      <c r="K7" s="17" t="n">
        <f aca="false">SUMIF($O$3:$AX$3,3,O7:AX7)</f>
        <v>126</v>
      </c>
      <c r="L7" s="7" t="s">
        <v>679</v>
      </c>
      <c r="M7" s="7" t="s">
        <v>73</v>
      </c>
      <c r="O7" s="17" t="n">
        <f aca="false">IF(AND(O$4&gt;=$G7,O$4&lt;=$H7),IF($F7="Monthly",$E7,IF(MOD(O$4-$G7,12)=0,$E7,0)),0)</f>
        <v>10.5</v>
      </c>
      <c r="P7" s="17" t="n">
        <f aca="false">IF(AND(P$4&gt;=$G7,P$4&lt;=$H7),IF($F7="Monthly",$E7,IF(MOD(P$4-$G7,12)=0,$E7,0)),0)</f>
        <v>10.5</v>
      </c>
      <c r="Q7" s="17" t="n">
        <f aca="false">IF(AND(Q$4&gt;=$G7,Q$4&lt;=$H7),IF($F7="Monthly",$E7,IF(MOD(Q$4-$G7,12)=0,$E7,0)),0)</f>
        <v>10.5</v>
      </c>
      <c r="R7" s="17" t="n">
        <f aca="false">IF(AND(R$4&gt;=$G7,R$4&lt;=$H7),IF($F7="Monthly",$E7,IF(MOD(R$4-$G7,12)=0,$E7,0)),0)</f>
        <v>10.5</v>
      </c>
      <c r="S7" s="17" t="n">
        <f aca="false">IF(AND(S$4&gt;=$G7,S$4&lt;=$H7),IF($F7="Monthly",$E7,IF(MOD(S$4-$G7,12)=0,$E7,0)),0)</f>
        <v>10.5</v>
      </c>
      <c r="T7" s="17" t="n">
        <f aca="false">IF(AND(T$4&gt;=$G7,T$4&lt;=$H7),IF($F7="Monthly",$E7,IF(MOD(T$4-$G7,12)=0,$E7,0)),0)</f>
        <v>10.5</v>
      </c>
      <c r="U7" s="17" t="n">
        <f aca="false">IF(AND(U$4&gt;=$G7,U$4&lt;=$H7),IF($F7="Monthly",$E7,IF(MOD(U$4-$G7,12)=0,$E7,0)),0)</f>
        <v>10.5</v>
      </c>
      <c r="V7" s="17" t="n">
        <f aca="false">IF(AND(V$4&gt;=$G7,V$4&lt;=$H7),IF($F7="Monthly",$E7,IF(MOD(V$4-$G7,12)=0,$E7,0)),0)</f>
        <v>10.5</v>
      </c>
      <c r="W7" s="17" t="n">
        <f aca="false">IF(AND(W$4&gt;=$G7,W$4&lt;=$H7),IF($F7="Monthly",$E7,IF(MOD(W$4-$G7,12)=0,$E7,0)),0)</f>
        <v>10.5</v>
      </c>
      <c r="X7" s="17" t="n">
        <f aca="false">IF(AND(X$4&gt;=$G7,X$4&lt;=$H7),IF($F7="Monthly",$E7,IF(MOD(X$4-$G7,12)=0,$E7,0)),0)</f>
        <v>10.5</v>
      </c>
      <c r="Y7" s="17" t="n">
        <f aca="false">IF(AND(Y$4&gt;=$G7,Y$4&lt;=$H7),IF($F7="Monthly",$E7,IF(MOD(Y$4-$G7,12)=0,$E7,0)),0)</f>
        <v>10.5</v>
      </c>
      <c r="Z7" s="17" t="n">
        <f aca="false">IF(AND(Z$4&gt;=$G7,Z$4&lt;=$H7),IF($F7="Monthly",$E7,IF(MOD(Z$4-$G7,12)=0,$E7,0)),0)</f>
        <v>10.5</v>
      </c>
      <c r="AA7" s="17" t="n">
        <f aca="false">IF(AND(AA$4&gt;=$G7,AA$4&lt;=$H7),IF($F7="Monthly",$E7,IF(MOD(AA$4-$G7,12)=0,$E7,0)),0)</f>
        <v>10.5</v>
      </c>
      <c r="AB7" s="17" t="n">
        <f aca="false">IF(AND(AB$4&gt;=$G7,AB$4&lt;=$H7),IF($F7="Monthly",$E7,IF(MOD(AB$4-$G7,12)=0,$E7,0)),0)</f>
        <v>10.5</v>
      </c>
      <c r="AC7" s="17" t="n">
        <f aca="false">IF(AND(AC$4&gt;=$G7,AC$4&lt;=$H7),IF($F7="Monthly",$E7,IF(MOD(AC$4-$G7,12)=0,$E7,0)),0)</f>
        <v>10.5</v>
      </c>
      <c r="AD7" s="17" t="n">
        <f aca="false">IF(AND(AD$4&gt;=$G7,AD$4&lt;=$H7),IF($F7="Monthly",$E7,IF(MOD(AD$4-$G7,12)=0,$E7,0)),0)</f>
        <v>10.5</v>
      </c>
      <c r="AE7" s="17" t="n">
        <f aca="false">IF(AND(AE$4&gt;=$G7,AE$4&lt;=$H7),IF($F7="Monthly",$E7,IF(MOD(AE$4-$G7,12)=0,$E7,0)),0)</f>
        <v>10.5</v>
      </c>
      <c r="AF7" s="17" t="n">
        <f aca="false">IF(AND(AF$4&gt;=$G7,AF$4&lt;=$H7),IF($F7="Monthly",$E7,IF(MOD(AF$4-$G7,12)=0,$E7,0)),0)</f>
        <v>10.5</v>
      </c>
      <c r="AG7" s="17" t="n">
        <f aca="false">IF(AND(AG$4&gt;=$G7,AG$4&lt;=$H7),IF($F7="Monthly",$E7,IF(MOD(AG$4-$G7,12)=0,$E7,0)),0)</f>
        <v>10.5</v>
      </c>
      <c r="AH7" s="17" t="n">
        <f aca="false">IF(AND(AH$4&gt;=$G7,AH$4&lt;=$H7),IF($F7="Monthly",$E7,IF(MOD(AH$4-$G7,12)=0,$E7,0)),0)</f>
        <v>10.5</v>
      </c>
      <c r="AI7" s="17" t="n">
        <f aca="false">IF(AND(AI$4&gt;=$G7,AI$4&lt;=$H7),IF($F7="Monthly",$E7,IF(MOD(AI$4-$G7,12)=0,$E7,0)),0)</f>
        <v>10.5</v>
      </c>
      <c r="AJ7" s="17" t="n">
        <f aca="false">IF(AND(AJ$4&gt;=$G7,AJ$4&lt;=$H7),IF($F7="Monthly",$E7,IF(MOD(AJ$4-$G7,12)=0,$E7,0)),0)</f>
        <v>10.5</v>
      </c>
      <c r="AK7" s="17" t="n">
        <f aca="false">IF(AND(AK$4&gt;=$G7,AK$4&lt;=$H7),IF($F7="Monthly",$E7,IF(MOD(AK$4-$G7,12)=0,$E7,0)),0)</f>
        <v>10.5</v>
      </c>
      <c r="AL7" s="17" t="n">
        <f aca="false">IF(AND(AL$4&gt;=$G7,AL$4&lt;=$H7),IF($F7="Monthly",$E7,IF(MOD(AL$4-$G7,12)=0,$E7,0)),0)</f>
        <v>10.5</v>
      </c>
      <c r="AM7" s="17" t="n">
        <f aca="false">IF(AND(AM$4&gt;=$G7,AM$4&lt;=$H7),IF($F7="Monthly",$E7,IF(MOD(AM$4-$G7,12)=0,$E7,0)),0)</f>
        <v>10.5</v>
      </c>
      <c r="AN7" s="17" t="n">
        <f aca="false">IF(AND(AN$4&gt;=$G7,AN$4&lt;=$H7),IF($F7="Monthly",$E7,IF(MOD(AN$4-$G7,12)=0,$E7,0)),0)</f>
        <v>10.5</v>
      </c>
      <c r="AO7" s="17" t="n">
        <f aca="false">IF(AND(AO$4&gt;=$G7,AO$4&lt;=$H7),IF($F7="Monthly",$E7,IF(MOD(AO$4-$G7,12)=0,$E7,0)),0)</f>
        <v>10.5</v>
      </c>
      <c r="AP7" s="17" t="n">
        <f aca="false">IF(AND(AP$4&gt;=$G7,AP$4&lt;=$H7),IF($F7="Monthly",$E7,IF(MOD(AP$4-$G7,12)=0,$E7,0)),0)</f>
        <v>10.5</v>
      </c>
      <c r="AQ7" s="17" t="n">
        <f aca="false">IF(AND(AQ$4&gt;=$G7,AQ$4&lt;=$H7),IF($F7="Monthly",$E7,IF(MOD(AQ$4-$G7,12)=0,$E7,0)),0)</f>
        <v>10.5</v>
      </c>
      <c r="AR7" s="17" t="n">
        <f aca="false">IF(AND(AR$4&gt;=$G7,AR$4&lt;=$H7),IF($F7="Monthly",$E7,IF(MOD(AR$4-$G7,12)=0,$E7,0)),0)</f>
        <v>10.5</v>
      </c>
      <c r="AS7" s="17" t="n">
        <f aca="false">IF(AND(AS$4&gt;=$G7,AS$4&lt;=$H7),IF($F7="Monthly",$E7,IF(MOD(AS$4-$G7,12)=0,$E7,0)),0)</f>
        <v>10.5</v>
      </c>
      <c r="AT7" s="17" t="n">
        <f aca="false">IF(AND(AT$4&gt;=$G7,AT$4&lt;=$H7),IF($F7="Monthly",$E7,IF(MOD(AT$4-$G7,12)=0,$E7,0)),0)</f>
        <v>10.5</v>
      </c>
      <c r="AU7" s="17" t="n">
        <f aca="false">IF(AND(AU$4&gt;=$G7,AU$4&lt;=$H7),IF($F7="Monthly",$E7,IF(MOD(AU$4-$G7,12)=0,$E7,0)),0)</f>
        <v>10.5</v>
      </c>
      <c r="AV7" s="17" t="n">
        <f aca="false">IF(AND(AV$4&gt;=$G7,AV$4&lt;=$H7),IF($F7="Monthly",$E7,IF(MOD(AV$4-$G7,12)=0,$E7,0)),0)</f>
        <v>10.5</v>
      </c>
      <c r="AW7" s="17" t="n">
        <f aca="false">IF(AND(AW$4&gt;=$G7,AW$4&lt;=$H7),IF($F7="Monthly",$E7,IF(MOD(AW$4-$G7,12)=0,$E7,0)),0)</f>
        <v>10.5</v>
      </c>
      <c r="AX7" s="17" t="n">
        <f aca="false">IF(AND(AX$4&gt;=$G7,AX$4&lt;=$H7),IF($F7="Monthly",$E7,IF(MOD(AX$4-$G7,12)=0,$E7,0)),0)</f>
        <v>10.5</v>
      </c>
    </row>
    <row r="8" customFormat="false" ht="15" hidden="false" customHeight="false" outlineLevel="0" collapsed="false">
      <c r="A8" s="7" t="s">
        <v>680</v>
      </c>
      <c r="B8" s="7" t="s">
        <v>678</v>
      </c>
      <c r="C8" s="26" t="n">
        <v>0</v>
      </c>
      <c r="D8" s="26" t="n">
        <v>40</v>
      </c>
      <c r="E8" s="15" t="n">
        <f aca="false">C8+Assumptions!$C$9*(D8-C8)</f>
        <v>20</v>
      </c>
      <c r="F8" s="44" t="s">
        <v>681</v>
      </c>
      <c r="G8" s="22" t="n">
        <v>1</v>
      </c>
      <c r="H8" s="22" t="n">
        <v>36</v>
      </c>
      <c r="I8" s="17" t="n">
        <f aca="false">SUMIF($O$3:$AX$3,1,O8:AX8)</f>
        <v>20</v>
      </c>
      <c r="J8" s="17" t="n">
        <f aca="false">SUMIF($O$3:$AX$3,2,O8:AX8)</f>
        <v>20</v>
      </c>
      <c r="K8" s="17" t="n">
        <f aca="false">SUMIF($O$3:$AX$3,3,O8:AX8)</f>
        <v>20</v>
      </c>
      <c r="L8" s="7" t="s">
        <v>682</v>
      </c>
      <c r="M8" s="7" t="s">
        <v>73</v>
      </c>
      <c r="O8" s="17" t="n">
        <f aca="false">IF(AND(O$4&gt;=$G8,O$4&lt;=$H8),IF($F8="Monthly",$E8,IF(MOD(O$4-$G8,12)=0,$E8,0)),0)</f>
        <v>20</v>
      </c>
      <c r="P8" s="17" t="n">
        <f aca="false">IF(AND(P$4&gt;=$G8,P$4&lt;=$H8),IF($F8="Monthly",$E8,IF(MOD(P$4-$G8,12)=0,$E8,0)),0)</f>
        <v>0</v>
      </c>
      <c r="Q8" s="17" t="n">
        <f aca="false">IF(AND(Q$4&gt;=$G8,Q$4&lt;=$H8),IF($F8="Monthly",$E8,IF(MOD(Q$4-$G8,12)=0,$E8,0)),0)</f>
        <v>0</v>
      </c>
      <c r="R8" s="17" t="n">
        <f aca="false">IF(AND(R$4&gt;=$G8,R$4&lt;=$H8),IF($F8="Monthly",$E8,IF(MOD(R$4-$G8,12)=0,$E8,0)),0)</f>
        <v>0</v>
      </c>
      <c r="S8" s="17" t="n">
        <f aca="false">IF(AND(S$4&gt;=$G8,S$4&lt;=$H8),IF($F8="Monthly",$E8,IF(MOD(S$4-$G8,12)=0,$E8,0)),0)</f>
        <v>0</v>
      </c>
      <c r="T8" s="17" t="n">
        <f aca="false">IF(AND(T$4&gt;=$G8,T$4&lt;=$H8),IF($F8="Monthly",$E8,IF(MOD(T$4-$G8,12)=0,$E8,0)),0)</f>
        <v>0</v>
      </c>
      <c r="U8" s="17" t="n">
        <f aca="false">IF(AND(U$4&gt;=$G8,U$4&lt;=$H8),IF($F8="Monthly",$E8,IF(MOD(U$4-$G8,12)=0,$E8,0)),0)</f>
        <v>0</v>
      </c>
      <c r="V8" s="17" t="n">
        <f aca="false">IF(AND(V$4&gt;=$G8,V$4&lt;=$H8),IF($F8="Monthly",$E8,IF(MOD(V$4-$G8,12)=0,$E8,0)),0)</f>
        <v>0</v>
      </c>
      <c r="W8" s="17" t="n">
        <f aca="false">IF(AND(W$4&gt;=$G8,W$4&lt;=$H8),IF($F8="Monthly",$E8,IF(MOD(W$4-$G8,12)=0,$E8,0)),0)</f>
        <v>0</v>
      </c>
      <c r="X8" s="17" t="n">
        <f aca="false">IF(AND(X$4&gt;=$G8,X$4&lt;=$H8),IF($F8="Monthly",$E8,IF(MOD(X$4-$G8,12)=0,$E8,0)),0)</f>
        <v>0</v>
      </c>
      <c r="Y8" s="17" t="n">
        <f aca="false">IF(AND(Y$4&gt;=$G8,Y$4&lt;=$H8),IF($F8="Monthly",$E8,IF(MOD(Y$4-$G8,12)=0,$E8,0)),0)</f>
        <v>0</v>
      </c>
      <c r="Z8" s="17" t="n">
        <f aca="false">IF(AND(Z$4&gt;=$G8,Z$4&lt;=$H8),IF($F8="Monthly",$E8,IF(MOD(Z$4-$G8,12)=0,$E8,0)),0)</f>
        <v>0</v>
      </c>
      <c r="AA8" s="17" t="n">
        <f aca="false">IF(AND(AA$4&gt;=$G8,AA$4&lt;=$H8),IF($F8="Monthly",$E8,IF(MOD(AA$4-$G8,12)=0,$E8,0)),0)</f>
        <v>20</v>
      </c>
      <c r="AB8" s="17" t="n">
        <f aca="false">IF(AND(AB$4&gt;=$G8,AB$4&lt;=$H8),IF($F8="Monthly",$E8,IF(MOD(AB$4-$G8,12)=0,$E8,0)),0)</f>
        <v>0</v>
      </c>
      <c r="AC8" s="17" t="n">
        <f aca="false">IF(AND(AC$4&gt;=$G8,AC$4&lt;=$H8),IF($F8="Monthly",$E8,IF(MOD(AC$4-$G8,12)=0,$E8,0)),0)</f>
        <v>0</v>
      </c>
      <c r="AD8" s="17" t="n">
        <f aca="false">IF(AND(AD$4&gt;=$G8,AD$4&lt;=$H8),IF($F8="Monthly",$E8,IF(MOD(AD$4-$G8,12)=0,$E8,0)),0)</f>
        <v>0</v>
      </c>
      <c r="AE8" s="17" t="n">
        <f aca="false">IF(AND(AE$4&gt;=$G8,AE$4&lt;=$H8),IF($F8="Monthly",$E8,IF(MOD(AE$4-$G8,12)=0,$E8,0)),0)</f>
        <v>0</v>
      </c>
      <c r="AF8" s="17" t="n">
        <f aca="false">IF(AND(AF$4&gt;=$G8,AF$4&lt;=$H8),IF($F8="Monthly",$E8,IF(MOD(AF$4-$G8,12)=0,$E8,0)),0)</f>
        <v>0</v>
      </c>
      <c r="AG8" s="17" t="n">
        <f aca="false">IF(AND(AG$4&gt;=$G8,AG$4&lt;=$H8),IF($F8="Monthly",$E8,IF(MOD(AG$4-$G8,12)=0,$E8,0)),0)</f>
        <v>0</v>
      </c>
      <c r="AH8" s="17" t="n">
        <f aca="false">IF(AND(AH$4&gt;=$G8,AH$4&lt;=$H8),IF($F8="Monthly",$E8,IF(MOD(AH$4-$G8,12)=0,$E8,0)),0)</f>
        <v>0</v>
      </c>
      <c r="AI8" s="17" t="n">
        <f aca="false">IF(AND(AI$4&gt;=$G8,AI$4&lt;=$H8),IF($F8="Monthly",$E8,IF(MOD(AI$4-$G8,12)=0,$E8,0)),0)</f>
        <v>0</v>
      </c>
      <c r="AJ8" s="17" t="n">
        <f aca="false">IF(AND(AJ$4&gt;=$G8,AJ$4&lt;=$H8),IF($F8="Monthly",$E8,IF(MOD(AJ$4-$G8,12)=0,$E8,0)),0)</f>
        <v>0</v>
      </c>
      <c r="AK8" s="17" t="n">
        <f aca="false">IF(AND(AK$4&gt;=$G8,AK$4&lt;=$H8),IF($F8="Monthly",$E8,IF(MOD(AK$4-$G8,12)=0,$E8,0)),0)</f>
        <v>0</v>
      </c>
      <c r="AL8" s="17" t="n">
        <f aca="false">IF(AND(AL$4&gt;=$G8,AL$4&lt;=$H8),IF($F8="Monthly",$E8,IF(MOD(AL$4-$G8,12)=0,$E8,0)),0)</f>
        <v>0</v>
      </c>
      <c r="AM8" s="17" t="n">
        <f aca="false">IF(AND(AM$4&gt;=$G8,AM$4&lt;=$H8),IF($F8="Monthly",$E8,IF(MOD(AM$4-$G8,12)=0,$E8,0)),0)</f>
        <v>20</v>
      </c>
      <c r="AN8" s="17" t="n">
        <f aca="false">IF(AND(AN$4&gt;=$G8,AN$4&lt;=$H8),IF($F8="Monthly",$E8,IF(MOD(AN$4-$G8,12)=0,$E8,0)),0)</f>
        <v>0</v>
      </c>
      <c r="AO8" s="17" t="n">
        <f aca="false">IF(AND(AO$4&gt;=$G8,AO$4&lt;=$H8),IF($F8="Monthly",$E8,IF(MOD(AO$4-$G8,12)=0,$E8,0)),0)</f>
        <v>0</v>
      </c>
      <c r="AP8" s="17" t="n">
        <f aca="false">IF(AND(AP$4&gt;=$G8,AP$4&lt;=$H8),IF($F8="Monthly",$E8,IF(MOD(AP$4-$G8,12)=0,$E8,0)),0)</f>
        <v>0</v>
      </c>
      <c r="AQ8" s="17" t="n">
        <f aca="false">IF(AND(AQ$4&gt;=$G8,AQ$4&lt;=$H8),IF($F8="Monthly",$E8,IF(MOD(AQ$4-$G8,12)=0,$E8,0)),0)</f>
        <v>0</v>
      </c>
      <c r="AR8" s="17" t="n">
        <f aca="false">IF(AND(AR$4&gt;=$G8,AR$4&lt;=$H8),IF($F8="Monthly",$E8,IF(MOD(AR$4-$G8,12)=0,$E8,0)),0)</f>
        <v>0</v>
      </c>
      <c r="AS8" s="17" t="n">
        <f aca="false">IF(AND(AS$4&gt;=$G8,AS$4&lt;=$H8),IF($F8="Monthly",$E8,IF(MOD(AS$4-$G8,12)=0,$E8,0)),0)</f>
        <v>0</v>
      </c>
      <c r="AT8" s="17" t="n">
        <f aca="false">IF(AND(AT$4&gt;=$G8,AT$4&lt;=$H8),IF($F8="Monthly",$E8,IF(MOD(AT$4-$G8,12)=0,$E8,0)),0)</f>
        <v>0</v>
      </c>
      <c r="AU8" s="17" t="n">
        <f aca="false">IF(AND(AU$4&gt;=$G8,AU$4&lt;=$H8),IF($F8="Monthly",$E8,IF(MOD(AU$4-$G8,12)=0,$E8,0)),0)</f>
        <v>0</v>
      </c>
      <c r="AV8" s="17" t="n">
        <f aca="false">IF(AND(AV$4&gt;=$G8,AV$4&lt;=$H8),IF($F8="Monthly",$E8,IF(MOD(AV$4-$G8,12)=0,$E8,0)),0)</f>
        <v>0</v>
      </c>
      <c r="AW8" s="17" t="n">
        <f aca="false">IF(AND(AW$4&gt;=$G8,AW$4&lt;=$H8),IF($F8="Monthly",$E8,IF(MOD(AW$4-$G8,12)=0,$E8,0)),0)</f>
        <v>0</v>
      </c>
      <c r="AX8" s="17" t="n">
        <f aca="false">IF(AND(AX$4&gt;=$G8,AX$4&lt;=$H8),IF($F8="Monthly",$E8,IF(MOD(AX$4-$G8,12)=0,$E8,0)),0)</f>
        <v>0</v>
      </c>
    </row>
    <row r="9" customFormat="false" ht="15" hidden="false" customHeight="false" outlineLevel="0" collapsed="false">
      <c r="A9" s="7" t="s">
        <v>683</v>
      </c>
      <c r="B9" s="7" t="s">
        <v>684</v>
      </c>
      <c r="C9" s="26" t="n">
        <v>0</v>
      </c>
      <c r="D9" s="26" t="n">
        <v>20</v>
      </c>
      <c r="E9" s="15" t="n">
        <f aca="false">C9+Assumptions!$C$9*(D9-C9)</f>
        <v>10</v>
      </c>
      <c r="F9" s="44" t="s">
        <v>675</v>
      </c>
      <c r="G9" s="22" t="n">
        <v>1</v>
      </c>
      <c r="H9" s="22" t="n">
        <v>12</v>
      </c>
      <c r="I9" s="17" t="n">
        <f aca="false">SUMIF($O$3:$AX$3,1,O9:AX9)</f>
        <v>120</v>
      </c>
      <c r="J9" s="17" t="n">
        <f aca="false">SUMIF($O$3:$AX$3,2,O9:AX9)</f>
        <v>0</v>
      </c>
      <c r="K9" s="17" t="n">
        <f aca="false">SUMIF($O$3:$AX$3,3,O9:AX9)</f>
        <v>0</v>
      </c>
      <c r="L9" s="7" t="s">
        <v>685</v>
      </c>
      <c r="M9" s="7" t="s">
        <v>87</v>
      </c>
      <c r="O9" s="17" t="n">
        <f aca="false">IF(AND(O$4&gt;=$G9,O$4&lt;=$H9),IF($F9="Monthly",$E9,IF(MOD(O$4-$G9,12)=0,$E9,0)),0)</f>
        <v>10</v>
      </c>
      <c r="P9" s="17" t="n">
        <f aca="false">IF(AND(P$4&gt;=$G9,P$4&lt;=$H9),IF($F9="Monthly",$E9,IF(MOD(P$4-$G9,12)=0,$E9,0)),0)</f>
        <v>10</v>
      </c>
      <c r="Q9" s="17" t="n">
        <f aca="false">IF(AND(Q$4&gt;=$G9,Q$4&lt;=$H9),IF($F9="Monthly",$E9,IF(MOD(Q$4-$G9,12)=0,$E9,0)),0)</f>
        <v>10</v>
      </c>
      <c r="R9" s="17" t="n">
        <f aca="false">IF(AND(R$4&gt;=$G9,R$4&lt;=$H9),IF($F9="Monthly",$E9,IF(MOD(R$4-$G9,12)=0,$E9,0)),0)</f>
        <v>10</v>
      </c>
      <c r="S9" s="17" t="n">
        <f aca="false">IF(AND(S$4&gt;=$G9,S$4&lt;=$H9),IF($F9="Monthly",$E9,IF(MOD(S$4-$G9,12)=0,$E9,0)),0)</f>
        <v>10</v>
      </c>
      <c r="T9" s="17" t="n">
        <f aca="false">IF(AND(T$4&gt;=$G9,T$4&lt;=$H9),IF($F9="Monthly",$E9,IF(MOD(T$4-$G9,12)=0,$E9,0)),0)</f>
        <v>10</v>
      </c>
      <c r="U9" s="17" t="n">
        <f aca="false">IF(AND(U$4&gt;=$G9,U$4&lt;=$H9),IF($F9="Monthly",$E9,IF(MOD(U$4-$G9,12)=0,$E9,0)),0)</f>
        <v>10</v>
      </c>
      <c r="V9" s="17" t="n">
        <f aca="false">IF(AND(V$4&gt;=$G9,V$4&lt;=$H9),IF($F9="Monthly",$E9,IF(MOD(V$4-$G9,12)=0,$E9,0)),0)</f>
        <v>10</v>
      </c>
      <c r="W9" s="17" t="n">
        <f aca="false">IF(AND(W$4&gt;=$G9,W$4&lt;=$H9),IF($F9="Monthly",$E9,IF(MOD(W$4-$G9,12)=0,$E9,0)),0)</f>
        <v>10</v>
      </c>
      <c r="X9" s="17" t="n">
        <f aca="false">IF(AND(X$4&gt;=$G9,X$4&lt;=$H9),IF($F9="Monthly",$E9,IF(MOD(X$4-$G9,12)=0,$E9,0)),0)</f>
        <v>10</v>
      </c>
      <c r="Y9" s="17" t="n">
        <f aca="false">IF(AND(Y$4&gt;=$G9,Y$4&lt;=$H9),IF($F9="Monthly",$E9,IF(MOD(Y$4-$G9,12)=0,$E9,0)),0)</f>
        <v>10</v>
      </c>
      <c r="Z9" s="17" t="n">
        <f aca="false">IF(AND(Z$4&gt;=$G9,Z$4&lt;=$H9),IF($F9="Monthly",$E9,IF(MOD(Z$4-$G9,12)=0,$E9,0)),0)</f>
        <v>10</v>
      </c>
      <c r="AA9" s="17" t="n">
        <f aca="false">IF(AND(AA$4&gt;=$G9,AA$4&lt;=$H9),IF($F9="Monthly",$E9,IF(MOD(AA$4-$G9,12)=0,$E9,0)),0)</f>
        <v>0</v>
      </c>
      <c r="AB9" s="17" t="n">
        <f aca="false">IF(AND(AB$4&gt;=$G9,AB$4&lt;=$H9),IF($F9="Monthly",$E9,IF(MOD(AB$4-$G9,12)=0,$E9,0)),0)</f>
        <v>0</v>
      </c>
      <c r="AC9" s="17" t="n">
        <f aca="false">IF(AND(AC$4&gt;=$G9,AC$4&lt;=$H9),IF($F9="Monthly",$E9,IF(MOD(AC$4-$G9,12)=0,$E9,0)),0)</f>
        <v>0</v>
      </c>
      <c r="AD9" s="17" t="n">
        <f aca="false">IF(AND(AD$4&gt;=$G9,AD$4&lt;=$H9),IF($F9="Monthly",$E9,IF(MOD(AD$4-$G9,12)=0,$E9,0)),0)</f>
        <v>0</v>
      </c>
      <c r="AE9" s="17" t="n">
        <f aca="false">IF(AND(AE$4&gt;=$G9,AE$4&lt;=$H9),IF($F9="Monthly",$E9,IF(MOD(AE$4-$G9,12)=0,$E9,0)),0)</f>
        <v>0</v>
      </c>
      <c r="AF9" s="17" t="n">
        <f aca="false">IF(AND(AF$4&gt;=$G9,AF$4&lt;=$H9),IF($F9="Monthly",$E9,IF(MOD(AF$4-$G9,12)=0,$E9,0)),0)</f>
        <v>0</v>
      </c>
      <c r="AG9" s="17" t="n">
        <f aca="false">IF(AND(AG$4&gt;=$G9,AG$4&lt;=$H9),IF($F9="Monthly",$E9,IF(MOD(AG$4-$G9,12)=0,$E9,0)),0)</f>
        <v>0</v>
      </c>
      <c r="AH9" s="17" t="n">
        <f aca="false">IF(AND(AH$4&gt;=$G9,AH$4&lt;=$H9),IF($F9="Monthly",$E9,IF(MOD(AH$4-$G9,12)=0,$E9,0)),0)</f>
        <v>0</v>
      </c>
      <c r="AI9" s="17" t="n">
        <f aca="false">IF(AND(AI$4&gt;=$G9,AI$4&lt;=$H9),IF($F9="Monthly",$E9,IF(MOD(AI$4-$G9,12)=0,$E9,0)),0)</f>
        <v>0</v>
      </c>
      <c r="AJ9" s="17" t="n">
        <f aca="false">IF(AND(AJ$4&gt;=$G9,AJ$4&lt;=$H9),IF($F9="Monthly",$E9,IF(MOD(AJ$4-$G9,12)=0,$E9,0)),0)</f>
        <v>0</v>
      </c>
      <c r="AK9" s="17" t="n">
        <f aca="false">IF(AND(AK$4&gt;=$G9,AK$4&lt;=$H9),IF($F9="Monthly",$E9,IF(MOD(AK$4-$G9,12)=0,$E9,0)),0)</f>
        <v>0</v>
      </c>
      <c r="AL9" s="17" t="n">
        <f aca="false">IF(AND(AL$4&gt;=$G9,AL$4&lt;=$H9),IF($F9="Monthly",$E9,IF(MOD(AL$4-$G9,12)=0,$E9,0)),0)</f>
        <v>0</v>
      </c>
      <c r="AM9" s="17" t="n">
        <f aca="false">IF(AND(AM$4&gt;=$G9,AM$4&lt;=$H9),IF($F9="Monthly",$E9,IF(MOD(AM$4-$G9,12)=0,$E9,0)),0)</f>
        <v>0</v>
      </c>
      <c r="AN9" s="17" t="n">
        <f aca="false">IF(AND(AN$4&gt;=$G9,AN$4&lt;=$H9),IF($F9="Monthly",$E9,IF(MOD(AN$4-$G9,12)=0,$E9,0)),0)</f>
        <v>0</v>
      </c>
      <c r="AO9" s="17" t="n">
        <f aca="false">IF(AND(AO$4&gt;=$G9,AO$4&lt;=$H9),IF($F9="Monthly",$E9,IF(MOD(AO$4-$G9,12)=0,$E9,0)),0)</f>
        <v>0</v>
      </c>
      <c r="AP9" s="17" t="n">
        <f aca="false">IF(AND(AP$4&gt;=$G9,AP$4&lt;=$H9),IF($F9="Monthly",$E9,IF(MOD(AP$4-$G9,12)=0,$E9,0)),0)</f>
        <v>0</v>
      </c>
      <c r="AQ9" s="17" t="n">
        <f aca="false">IF(AND(AQ$4&gt;=$G9,AQ$4&lt;=$H9),IF($F9="Monthly",$E9,IF(MOD(AQ$4-$G9,12)=0,$E9,0)),0)</f>
        <v>0</v>
      </c>
      <c r="AR9" s="17" t="n">
        <f aca="false">IF(AND(AR$4&gt;=$G9,AR$4&lt;=$H9),IF($F9="Monthly",$E9,IF(MOD(AR$4-$G9,12)=0,$E9,0)),0)</f>
        <v>0</v>
      </c>
      <c r="AS9" s="17" t="n">
        <f aca="false">IF(AND(AS$4&gt;=$G9,AS$4&lt;=$H9),IF($F9="Monthly",$E9,IF(MOD(AS$4-$G9,12)=0,$E9,0)),0)</f>
        <v>0</v>
      </c>
      <c r="AT9" s="17" t="n">
        <f aca="false">IF(AND(AT$4&gt;=$G9,AT$4&lt;=$H9),IF($F9="Monthly",$E9,IF(MOD(AT$4-$G9,12)=0,$E9,0)),0)</f>
        <v>0</v>
      </c>
      <c r="AU9" s="17" t="n">
        <f aca="false">IF(AND(AU$4&gt;=$G9,AU$4&lt;=$H9),IF($F9="Monthly",$E9,IF(MOD(AU$4-$G9,12)=0,$E9,0)),0)</f>
        <v>0</v>
      </c>
      <c r="AV9" s="17" t="n">
        <f aca="false">IF(AND(AV$4&gt;=$G9,AV$4&lt;=$H9),IF($F9="Monthly",$E9,IF(MOD(AV$4-$G9,12)=0,$E9,0)),0)</f>
        <v>0</v>
      </c>
      <c r="AW9" s="17" t="n">
        <f aca="false">IF(AND(AW$4&gt;=$G9,AW$4&lt;=$H9),IF($F9="Monthly",$E9,IF(MOD(AW$4-$G9,12)=0,$E9,0)),0)</f>
        <v>0</v>
      </c>
      <c r="AX9" s="17" t="n">
        <f aca="false">IF(AND(AX$4&gt;=$G9,AX$4&lt;=$H9),IF($F9="Monthly",$E9,IF(MOD(AX$4-$G9,12)=0,$E9,0)),0)</f>
        <v>0</v>
      </c>
    </row>
    <row r="10" customFormat="false" ht="15" hidden="false" customHeight="false" outlineLevel="0" collapsed="false">
      <c r="A10" s="7" t="s">
        <v>686</v>
      </c>
      <c r="B10" s="7" t="s">
        <v>684</v>
      </c>
      <c r="C10" s="26" t="n">
        <v>20</v>
      </c>
      <c r="D10" s="26" t="n">
        <v>39</v>
      </c>
      <c r="E10" s="15" t="n">
        <f aca="false">C10+Assumptions!$C$9*(D10-C10)</f>
        <v>29.5</v>
      </c>
      <c r="F10" s="44" t="s">
        <v>675</v>
      </c>
      <c r="G10" s="22" t="n">
        <v>13</v>
      </c>
      <c r="H10" s="22" t="n">
        <v>36</v>
      </c>
      <c r="I10" s="17" t="n">
        <f aca="false">SUMIF($O$3:$AX$3,1,O10:AX10)</f>
        <v>0</v>
      </c>
      <c r="J10" s="17" t="n">
        <f aca="false">SUMIF($O$3:$AX$3,2,O10:AX10)</f>
        <v>354</v>
      </c>
      <c r="K10" s="17" t="n">
        <f aca="false">SUMIF($O$3:$AX$3,3,O10:AX10)</f>
        <v>354</v>
      </c>
      <c r="L10" s="7" t="s">
        <v>687</v>
      </c>
      <c r="M10" s="7" t="s">
        <v>87</v>
      </c>
      <c r="O10" s="17" t="n">
        <f aca="false">IF(AND(O$4&gt;=$G10,O$4&lt;=$H10),IF($F10="Monthly",$E10,IF(MOD(O$4-$G10,12)=0,$E10,0)),0)</f>
        <v>0</v>
      </c>
      <c r="P10" s="17" t="n">
        <f aca="false">IF(AND(P$4&gt;=$G10,P$4&lt;=$H10),IF($F10="Monthly",$E10,IF(MOD(P$4-$G10,12)=0,$E10,0)),0)</f>
        <v>0</v>
      </c>
      <c r="Q10" s="17" t="n">
        <f aca="false">IF(AND(Q$4&gt;=$G10,Q$4&lt;=$H10),IF($F10="Monthly",$E10,IF(MOD(Q$4-$G10,12)=0,$E10,0)),0)</f>
        <v>0</v>
      </c>
      <c r="R10" s="17" t="n">
        <f aca="false">IF(AND(R$4&gt;=$G10,R$4&lt;=$H10),IF($F10="Monthly",$E10,IF(MOD(R$4-$G10,12)=0,$E10,0)),0)</f>
        <v>0</v>
      </c>
      <c r="S10" s="17" t="n">
        <f aca="false">IF(AND(S$4&gt;=$G10,S$4&lt;=$H10),IF($F10="Monthly",$E10,IF(MOD(S$4-$G10,12)=0,$E10,0)),0)</f>
        <v>0</v>
      </c>
      <c r="T10" s="17" t="n">
        <f aca="false">IF(AND(T$4&gt;=$G10,T$4&lt;=$H10),IF($F10="Monthly",$E10,IF(MOD(T$4-$G10,12)=0,$E10,0)),0)</f>
        <v>0</v>
      </c>
      <c r="U10" s="17" t="n">
        <f aca="false">IF(AND(U$4&gt;=$G10,U$4&lt;=$H10),IF($F10="Monthly",$E10,IF(MOD(U$4-$G10,12)=0,$E10,0)),0)</f>
        <v>0</v>
      </c>
      <c r="V10" s="17" t="n">
        <f aca="false">IF(AND(V$4&gt;=$G10,V$4&lt;=$H10),IF($F10="Monthly",$E10,IF(MOD(V$4-$G10,12)=0,$E10,0)),0)</f>
        <v>0</v>
      </c>
      <c r="W10" s="17" t="n">
        <f aca="false">IF(AND(W$4&gt;=$G10,W$4&lt;=$H10),IF($F10="Monthly",$E10,IF(MOD(W$4-$G10,12)=0,$E10,0)),0)</f>
        <v>0</v>
      </c>
      <c r="X10" s="17" t="n">
        <f aca="false">IF(AND(X$4&gt;=$G10,X$4&lt;=$H10),IF($F10="Monthly",$E10,IF(MOD(X$4-$G10,12)=0,$E10,0)),0)</f>
        <v>0</v>
      </c>
      <c r="Y10" s="17" t="n">
        <f aca="false">IF(AND(Y$4&gt;=$G10,Y$4&lt;=$H10),IF($F10="Monthly",$E10,IF(MOD(Y$4-$G10,12)=0,$E10,0)),0)</f>
        <v>0</v>
      </c>
      <c r="Z10" s="17" t="n">
        <f aca="false">IF(AND(Z$4&gt;=$G10,Z$4&lt;=$H10),IF($F10="Monthly",$E10,IF(MOD(Z$4-$G10,12)=0,$E10,0)),0)</f>
        <v>0</v>
      </c>
      <c r="AA10" s="17" t="n">
        <f aca="false">IF(AND(AA$4&gt;=$G10,AA$4&lt;=$H10),IF($F10="Monthly",$E10,IF(MOD(AA$4-$G10,12)=0,$E10,0)),0)</f>
        <v>29.5</v>
      </c>
      <c r="AB10" s="17" t="n">
        <f aca="false">IF(AND(AB$4&gt;=$G10,AB$4&lt;=$H10),IF($F10="Monthly",$E10,IF(MOD(AB$4-$G10,12)=0,$E10,0)),0)</f>
        <v>29.5</v>
      </c>
      <c r="AC10" s="17" t="n">
        <f aca="false">IF(AND(AC$4&gt;=$G10,AC$4&lt;=$H10),IF($F10="Monthly",$E10,IF(MOD(AC$4-$G10,12)=0,$E10,0)),0)</f>
        <v>29.5</v>
      </c>
      <c r="AD10" s="17" t="n">
        <f aca="false">IF(AND(AD$4&gt;=$G10,AD$4&lt;=$H10),IF($F10="Monthly",$E10,IF(MOD(AD$4-$G10,12)=0,$E10,0)),0)</f>
        <v>29.5</v>
      </c>
      <c r="AE10" s="17" t="n">
        <f aca="false">IF(AND(AE$4&gt;=$G10,AE$4&lt;=$H10),IF($F10="Monthly",$E10,IF(MOD(AE$4-$G10,12)=0,$E10,0)),0)</f>
        <v>29.5</v>
      </c>
      <c r="AF10" s="17" t="n">
        <f aca="false">IF(AND(AF$4&gt;=$G10,AF$4&lt;=$H10),IF($F10="Monthly",$E10,IF(MOD(AF$4-$G10,12)=0,$E10,0)),0)</f>
        <v>29.5</v>
      </c>
      <c r="AG10" s="17" t="n">
        <f aca="false">IF(AND(AG$4&gt;=$G10,AG$4&lt;=$H10),IF($F10="Monthly",$E10,IF(MOD(AG$4-$G10,12)=0,$E10,0)),0)</f>
        <v>29.5</v>
      </c>
      <c r="AH10" s="17" t="n">
        <f aca="false">IF(AND(AH$4&gt;=$G10,AH$4&lt;=$H10),IF($F10="Monthly",$E10,IF(MOD(AH$4-$G10,12)=0,$E10,0)),0)</f>
        <v>29.5</v>
      </c>
      <c r="AI10" s="17" t="n">
        <f aca="false">IF(AND(AI$4&gt;=$G10,AI$4&lt;=$H10),IF($F10="Monthly",$E10,IF(MOD(AI$4-$G10,12)=0,$E10,0)),0)</f>
        <v>29.5</v>
      </c>
      <c r="AJ10" s="17" t="n">
        <f aca="false">IF(AND(AJ$4&gt;=$G10,AJ$4&lt;=$H10),IF($F10="Monthly",$E10,IF(MOD(AJ$4-$G10,12)=0,$E10,0)),0)</f>
        <v>29.5</v>
      </c>
      <c r="AK10" s="17" t="n">
        <f aca="false">IF(AND(AK$4&gt;=$G10,AK$4&lt;=$H10),IF($F10="Monthly",$E10,IF(MOD(AK$4-$G10,12)=0,$E10,0)),0)</f>
        <v>29.5</v>
      </c>
      <c r="AL10" s="17" t="n">
        <f aca="false">IF(AND(AL$4&gt;=$G10,AL$4&lt;=$H10),IF($F10="Monthly",$E10,IF(MOD(AL$4-$G10,12)=0,$E10,0)),0)</f>
        <v>29.5</v>
      </c>
      <c r="AM10" s="17" t="n">
        <f aca="false">IF(AND(AM$4&gt;=$G10,AM$4&lt;=$H10),IF($F10="Monthly",$E10,IF(MOD(AM$4-$G10,12)=0,$E10,0)),0)</f>
        <v>29.5</v>
      </c>
      <c r="AN10" s="17" t="n">
        <f aca="false">IF(AND(AN$4&gt;=$G10,AN$4&lt;=$H10),IF($F10="Monthly",$E10,IF(MOD(AN$4-$G10,12)=0,$E10,0)),0)</f>
        <v>29.5</v>
      </c>
      <c r="AO10" s="17" t="n">
        <f aca="false">IF(AND(AO$4&gt;=$G10,AO$4&lt;=$H10),IF($F10="Monthly",$E10,IF(MOD(AO$4-$G10,12)=0,$E10,0)),0)</f>
        <v>29.5</v>
      </c>
      <c r="AP10" s="17" t="n">
        <f aca="false">IF(AND(AP$4&gt;=$G10,AP$4&lt;=$H10),IF($F10="Monthly",$E10,IF(MOD(AP$4-$G10,12)=0,$E10,0)),0)</f>
        <v>29.5</v>
      </c>
      <c r="AQ10" s="17" t="n">
        <f aca="false">IF(AND(AQ$4&gt;=$G10,AQ$4&lt;=$H10),IF($F10="Monthly",$E10,IF(MOD(AQ$4-$G10,12)=0,$E10,0)),0)</f>
        <v>29.5</v>
      </c>
      <c r="AR10" s="17" t="n">
        <f aca="false">IF(AND(AR$4&gt;=$G10,AR$4&lt;=$H10),IF($F10="Monthly",$E10,IF(MOD(AR$4-$G10,12)=0,$E10,0)),0)</f>
        <v>29.5</v>
      </c>
      <c r="AS10" s="17" t="n">
        <f aca="false">IF(AND(AS$4&gt;=$G10,AS$4&lt;=$H10),IF($F10="Monthly",$E10,IF(MOD(AS$4-$G10,12)=0,$E10,0)),0)</f>
        <v>29.5</v>
      </c>
      <c r="AT10" s="17" t="n">
        <f aca="false">IF(AND(AT$4&gt;=$G10,AT$4&lt;=$H10),IF($F10="Monthly",$E10,IF(MOD(AT$4-$G10,12)=0,$E10,0)),0)</f>
        <v>29.5</v>
      </c>
      <c r="AU10" s="17" t="n">
        <f aca="false">IF(AND(AU$4&gt;=$G10,AU$4&lt;=$H10),IF($F10="Monthly",$E10,IF(MOD(AU$4-$G10,12)=0,$E10,0)),0)</f>
        <v>29.5</v>
      </c>
      <c r="AV10" s="17" t="n">
        <f aca="false">IF(AND(AV$4&gt;=$G10,AV$4&lt;=$H10),IF($F10="Monthly",$E10,IF(MOD(AV$4-$G10,12)=0,$E10,0)),0)</f>
        <v>29.5</v>
      </c>
      <c r="AW10" s="17" t="n">
        <f aca="false">IF(AND(AW$4&gt;=$G10,AW$4&lt;=$H10),IF($F10="Monthly",$E10,IF(MOD(AW$4-$G10,12)=0,$E10,0)),0)</f>
        <v>29.5</v>
      </c>
      <c r="AX10" s="17" t="n">
        <f aca="false">IF(AND(AX$4&gt;=$G10,AX$4&lt;=$H10),IF($F10="Monthly",$E10,IF(MOD(AX$4-$G10,12)=0,$E10,0)),0)</f>
        <v>29.5</v>
      </c>
    </row>
    <row r="11" customFormat="false" ht="15" hidden="false" customHeight="false" outlineLevel="0" collapsed="false">
      <c r="A11" s="7" t="s">
        <v>688</v>
      </c>
      <c r="B11" s="7" t="s">
        <v>689</v>
      </c>
      <c r="C11" s="26" t="n">
        <v>100</v>
      </c>
      <c r="D11" s="26" t="n">
        <v>200</v>
      </c>
      <c r="E11" s="15" t="n">
        <f aca="false">C11+Assumptions!$C$9*(D11-C11)</f>
        <v>150</v>
      </c>
      <c r="F11" s="44" t="s">
        <v>675</v>
      </c>
      <c r="G11" s="22" t="n">
        <v>1</v>
      </c>
      <c r="H11" s="22" t="n">
        <v>36</v>
      </c>
      <c r="I11" s="17" t="n">
        <f aca="false">SUMIF($O$3:$AX$3,1,O11:AX11)</f>
        <v>1800</v>
      </c>
      <c r="J11" s="17" t="n">
        <f aca="false">SUMIF($O$3:$AX$3,2,O11:AX11)</f>
        <v>1800</v>
      </c>
      <c r="K11" s="17" t="n">
        <f aca="false">SUMIF($O$3:$AX$3,3,O11:AX11)</f>
        <v>1800</v>
      </c>
      <c r="L11" s="7" t="s">
        <v>690</v>
      </c>
      <c r="M11" s="7" t="s">
        <v>168</v>
      </c>
      <c r="O11" s="17" t="n">
        <f aca="false">IF(AND(O$4&gt;=$G11,O$4&lt;=$H11),IF($F11="Monthly",$E11,IF(MOD(O$4-$G11,12)=0,$E11,0)),0)</f>
        <v>150</v>
      </c>
      <c r="P11" s="17" t="n">
        <f aca="false">IF(AND(P$4&gt;=$G11,P$4&lt;=$H11),IF($F11="Monthly",$E11,IF(MOD(P$4-$G11,12)=0,$E11,0)),0)</f>
        <v>150</v>
      </c>
      <c r="Q11" s="17" t="n">
        <f aca="false">IF(AND(Q$4&gt;=$G11,Q$4&lt;=$H11),IF($F11="Monthly",$E11,IF(MOD(Q$4-$G11,12)=0,$E11,0)),0)</f>
        <v>150</v>
      </c>
      <c r="R11" s="17" t="n">
        <f aca="false">IF(AND(R$4&gt;=$G11,R$4&lt;=$H11),IF($F11="Monthly",$E11,IF(MOD(R$4-$G11,12)=0,$E11,0)),0)</f>
        <v>150</v>
      </c>
      <c r="S11" s="17" t="n">
        <f aca="false">IF(AND(S$4&gt;=$G11,S$4&lt;=$H11),IF($F11="Monthly",$E11,IF(MOD(S$4-$G11,12)=0,$E11,0)),0)</f>
        <v>150</v>
      </c>
      <c r="T11" s="17" t="n">
        <f aca="false">IF(AND(T$4&gt;=$G11,T$4&lt;=$H11),IF($F11="Monthly",$E11,IF(MOD(T$4-$G11,12)=0,$E11,0)),0)</f>
        <v>150</v>
      </c>
      <c r="U11" s="17" t="n">
        <f aca="false">IF(AND(U$4&gt;=$G11,U$4&lt;=$H11),IF($F11="Monthly",$E11,IF(MOD(U$4-$G11,12)=0,$E11,0)),0)</f>
        <v>150</v>
      </c>
      <c r="V11" s="17" t="n">
        <f aca="false">IF(AND(V$4&gt;=$G11,V$4&lt;=$H11),IF($F11="Monthly",$E11,IF(MOD(V$4-$G11,12)=0,$E11,0)),0)</f>
        <v>150</v>
      </c>
      <c r="W11" s="17" t="n">
        <f aca="false">IF(AND(W$4&gt;=$G11,W$4&lt;=$H11),IF($F11="Monthly",$E11,IF(MOD(W$4-$G11,12)=0,$E11,0)),0)</f>
        <v>150</v>
      </c>
      <c r="X11" s="17" t="n">
        <f aca="false">IF(AND(X$4&gt;=$G11,X$4&lt;=$H11),IF($F11="Monthly",$E11,IF(MOD(X$4-$G11,12)=0,$E11,0)),0)</f>
        <v>150</v>
      </c>
      <c r="Y11" s="17" t="n">
        <f aca="false">IF(AND(Y$4&gt;=$G11,Y$4&lt;=$H11),IF($F11="Monthly",$E11,IF(MOD(Y$4-$G11,12)=0,$E11,0)),0)</f>
        <v>150</v>
      </c>
      <c r="Z11" s="17" t="n">
        <f aca="false">IF(AND(Z$4&gt;=$G11,Z$4&lt;=$H11),IF($F11="Monthly",$E11,IF(MOD(Z$4-$G11,12)=0,$E11,0)),0)</f>
        <v>150</v>
      </c>
      <c r="AA11" s="17" t="n">
        <f aca="false">IF(AND(AA$4&gt;=$G11,AA$4&lt;=$H11),IF($F11="Monthly",$E11,IF(MOD(AA$4-$G11,12)=0,$E11,0)),0)</f>
        <v>150</v>
      </c>
      <c r="AB11" s="17" t="n">
        <f aca="false">IF(AND(AB$4&gt;=$G11,AB$4&lt;=$H11),IF($F11="Monthly",$E11,IF(MOD(AB$4-$G11,12)=0,$E11,0)),0)</f>
        <v>150</v>
      </c>
      <c r="AC11" s="17" t="n">
        <f aca="false">IF(AND(AC$4&gt;=$G11,AC$4&lt;=$H11),IF($F11="Monthly",$E11,IF(MOD(AC$4-$G11,12)=0,$E11,0)),0)</f>
        <v>150</v>
      </c>
      <c r="AD11" s="17" t="n">
        <f aca="false">IF(AND(AD$4&gt;=$G11,AD$4&lt;=$H11),IF($F11="Monthly",$E11,IF(MOD(AD$4-$G11,12)=0,$E11,0)),0)</f>
        <v>150</v>
      </c>
      <c r="AE11" s="17" t="n">
        <f aca="false">IF(AND(AE$4&gt;=$G11,AE$4&lt;=$H11),IF($F11="Monthly",$E11,IF(MOD(AE$4-$G11,12)=0,$E11,0)),0)</f>
        <v>150</v>
      </c>
      <c r="AF11" s="17" t="n">
        <f aca="false">IF(AND(AF$4&gt;=$G11,AF$4&lt;=$H11),IF($F11="Monthly",$E11,IF(MOD(AF$4-$G11,12)=0,$E11,0)),0)</f>
        <v>150</v>
      </c>
      <c r="AG11" s="17" t="n">
        <f aca="false">IF(AND(AG$4&gt;=$G11,AG$4&lt;=$H11),IF($F11="Monthly",$E11,IF(MOD(AG$4-$G11,12)=0,$E11,0)),0)</f>
        <v>150</v>
      </c>
      <c r="AH11" s="17" t="n">
        <f aca="false">IF(AND(AH$4&gt;=$G11,AH$4&lt;=$H11),IF($F11="Monthly",$E11,IF(MOD(AH$4-$G11,12)=0,$E11,0)),0)</f>
        <v>150</v>
      </c>
      <c r="AI11" s="17" t="n">
        <f aca="false">IF(AND(AI$4&gt;=$G11,AI$4&lt;=$H11),IF($F11="Monthly",$E11,IF(MOD(AI$4-$G11,12)=0,$E11,0)),0)</f>
        <v>150</v>
      </c>
      <c r="AJ11" s="17" t="n">
        <f aca="false">IF(AND(AJ$4&gt;=$G11,AJ$4&lt;=$H11),IF($F11="Monthly",$E11,IF(MOD(AJ$4-$G11,12)=0,$E11,0)),0)</f>
        <v>150</v>
      </c>
      <c r="AK11" s="17" t="n">
        <f aca="false">IF(AND(AK$4&gt;=$G11,AK$4&lt;=$H11),IF($F11="Monthly",$E11,IF(MOD(AK$4-$G11,12)=0,$E11,0)),0)</f>
        <v>150</v>
      </c>
      <c r="AL11" s="17" t="n">
        <f aca="false">IF(AND(AL$4&gt;=$G11,AL$4&lt;=$H11),IF($F11="Monthly",$E11,IF(MOD(AL$4-$G11,12)=0,$E11,0)),0)</f>
        <v>150</v>
      </c>
      <c r="AM11" s="17" t="n">
        <f aca="false">IF(AND(AM$4&gt;=$G11,AM$4&lt;=$H11),IF($F11="Monthly",$E11,IF(MOD(AM$4-$G11,12)=0,$E11,0)),0)</f>
        <v>150</v>
      </c>
      <c r="AN11" s="17" t="n">
        <f aca="false">IF(AND(AN$4&gt;=$G11,AN$4&lt;=$H11),IF($F11="Monthly",$E11,IF(MOD(AN$4-$G11,12)=0,$E11,0)),0)</f>
        <v>150</v>
      </c>
      <c r="AO11" s="17" t="n">
        <f aca="false">IF(AND(AO$4&gt;=$G11,AO$4&lt;=$H11),IF($F11="Monthly",$E11,IF(MOD(AO$4-$G11,12)=0,$E11,0)),0)</f>
        <v>150</v>
      </c>
      <c r="AP11" s="17" t="n">
        <f aca="false">IF(AND(AP$4&gt;=$G11,AP$4&lt;=$H11),IF($F11="Monthly",$E11,IF(MOD(AP$4-$G11,12)=0,$E11,0)),0)</f>
        <v>150</v>
      </c>
      <c r="AQ11" s="17" t="n">
        <f aca="false">IF(AND(AQ$4&gt;=$G11,AQ$4&lt;=$H11),IF($F11="Monthly",$E11,IF(MOD(AQ$4-$G11,12)=0,$E11,0)),0)</f>
        <v>150</v>
      </c>
      <c r="AR11" s="17" t="n">
        <f aca="false">IF(AND(AR$4&gt;=$G11,AR$4&lt;=$H11),IF($F11="Monthly",$E11,IF(MOD(AR$4-$G11,12)=0,$E11,0)),0)</f>
        <v>150</v>
      </c>
      <c r="AS11" s="17" t="n">
        <f aca="false">IF(AND(AS$4&gt;=$G11,AS$4&lt;=$H11),IF($F11="Monthly",$E11,IF(MOD(AS$4-$G11,12)=0,$E11,0)),0)</f>
        <v>150</v>
      </c>
      <c r="AT11" s="17" t="n">
        <f aca="false">IF(AND(AT$4&gt;=$G11,AT$4&lt;=$H11),IF($F11="Monthly",$E11,IF(MOD(AT$4-$G11,12)=0,$E11,0)),0)</f>
        <v>150</v>
      </c>
      <c r="AU11" s="17" t="n">
        <f aca="false">IF(AND(AU$4&gt;=$G11,AU$4&lt;=$H11),IF($F11="Monthly",$E11,IF(MOD(AU$4-$G11,12)=0,$E11,0)),0)</f>
        <v>150</v>
      </c>
      <c r="AV11" s="17" t="n">
        <f aca="false">IF(AND(AV$4&gt;=$G11,AV$4&lt;=$H11),IF($F11="Monthly",$E11,IF(MOD(AV$4-$G11,12)=0,$E11,0)),0)</f>
        <v>150</v>
      </c>
      <c r="AW11" s="17" t="n">
        <f aca="false">IF(AND(AW$4&gt;=$G11,AW$4&lt;=$H11),IF($F11="Monthly",$E11,IF(MOD(AW$4-$G11,12)=0,$E11,0)),0)</f>
        <v>150</v>
      </c>
      <c r="AX11" s="17" t="n">
        <f aca="false">IF(AND(AX$4&gt;=$G11,AX$4&lt;=$H11),IF($F11="Monthly",$E11,IF(MOD(AX$4-$G11,12)=0,$E11,0)),0)</f>
        <v>150</v>
      </c>
    </row>
    <row r="12" customFormat="false" ht="15" hidden="false" customHeight="false" outlineLevel="0" collapsed="false">
      <c r="A12" s="7" t="s">
        <v>691</v>
      </c>
      <c r="B12" s="7" t="s">
        <v>689</v>
      </c>
      <c r="C12" s="26" t="n">
        <v>0</v>
      </c>
      <c r="D12" s="26" t="n">
        <v>25</v>
      </c>
      <c r="E12" s="15" t="n">
        <f aca="false">C12+Assumptions!$C$9*(D12-C12)</f>
        <v>12.5</v>
      </c>
      <c r="F12" s="44" t="s">
        <v>675</v>
      </c>
      <c r="G12" s="22" t="n">
        <v>1</v>
      </c>
      <c r="H12" s="22" t="n">
        <v>36</v>
      </c>
      <c r="I12" s="17" t="n">
        <f aca="false">SUMIF($O$3:$AX$3,1,O12:AX12)</f>
        <v>150</v>
      </c>
      <c r="J12" s="17" t="n">
        <f aca="false">SUMIF($O$3:$AX$3,2,O12:AX12)</f>
        <v>150</v>
      </c>
      <c r="K12" s="17" t="n">
        <f aca="false">SUMIF($O$3:$AX$3,3,O12:AX12)</f>
        <v>150</v>
      </c>
      <c r="L12" s="7" t="s">
        <v>692</v>
      </c>
      <c r="M12" s="7" t="s">
        <v>73</v>
      </c>
      <c r="O12" s="17" t="n">
        <f aca="false">IF(AND(O$4&gt;=$G12,O$4&lt;=$H12),IF($F12="Monthly",$E12,IF(MOD(O$4-$G12,12)=0,$E12,0)),0)</f>
        <v>12.5</v>
      </c>
      <c r="P12" s="17" t="n">
        <f aca="false">IF(AND(P$4&gt;=$G12,P$4&lt;=$H12),IF($F12="Monthly",$E12,IF(MOD(P$4-$G12,12)=0,$E12,0)),0)</f>
        <v>12.5</v>
      </c>
      <c r="Q12" s="17" t="n">
        <f aca="false">IF(AND(Q$4&gt;=$G12,Q$4&lt;=$H12),IF($F12="Monthly",$E12,IF(MOD(Q$4-$G12,12)=0,$E12,0)),0)</f>
        <v>12.5</v>
      </c>
      <c r="R12" s="17" t="n">
        <f aca="false">IF(AND(R$4&gt;=$G12,R$4&lt;=$H12),IF($F12="Monthly",$E12,IF(MOD(R$4-$G12,12)=0,$E12,0)),0)</f>
        <v>12.5</v>
      </c>
      <c r="S12" s="17" t="n">
        <f aca="false">IF(AND(S$4&gt;=$G12,S$4&lt;=$H12),IF($F12="Monthly",$E12,IF(MOD(S$4-$G12,12)=0,$E12,0)),0)</f>
        <v>12.5</v>
      </c>
      <c r="T12" s="17" t="n">
        <f aca="false">IF(AND(T$4&gt;=$G12,T$4&lt;=$H12),IF($F12="Monthly",$E12,IF(MOD(T$4-$G12,12)=0,$E12,0)),0)</f>
        <v>12.5</v>
      </c>
      <c r="U12" s="17" t="n">
        <f aca="false">IF(AND(U$4&gt;=$G12,U$4&lt;=$H12),IF($F12="Monthly",$E12,IF(MOD(U$4-$G12,12)=0,$E12,0)),0)</f>
        <v>12.5</v>
      </c>
      <c r="V12" s="17" t="n">
        <f aca="false">IF(AND(V$4&gt;=$G12,V$4&lt;=$H12),IF($F12="Monthly",$E12,IF(MOD(V$4-$G12,12)=0,$E12,0)),0)</f>
        <v>12.5</v>
      </c>
      <c r="W12" s="17" t="n">
        <f aca="false">IF(AND(W$4&gt;=$G12,W$4&lt;=$H12),IF($F12="Monthly",$E12,IF(MOD(W$4-$G12,12)=0,$E12,0)),0)</f>
        <v>12.5</v>
      </c>
      <c r="X12" s="17" t="n">
        <f aca="false">IF(AND(X$4&gt;=$G12,X$4&lt;=$H12),IF($F12="Monthly",$E12,IF(MOD(X$4-$G12,12)=0,$E12,0)),0)</f>
        <v>12.5</v>
      </c>
      <c r="Y12" s="17" t="n">
        <f aca="false">IF(AND(Y$4&gt;=$G12,Y$4&lt;=$H12),IF($F12="Monthly",$E12,IF(MOD(Y$4-$G12,12)=0,$E12,0)),0)</f>
        <v>12.5</v>
      </c>
      <c r="Z12" s="17" t="n">
        <f aca="false">IF(AND(Z$4&gt;=$G12,Z$4&lt;=$H12),IF($F12="Monthly",$E12,IF(MOD(Z$4-$G12,12)=0,$E12,0)),0)</f>
        <v>12.5</v>
      </c>
      <c r="AA12" s="17" t="n">
        <f aca="false">IF(AND(AA$4&gt;=$G12,AA$4&lt;=$H12),IF($F12="Monthly",$E12,IF(MOD(AA$4-$G12,12)=0,$E12,0)),0)</f>
        <v>12.5</v>
      </c>
      <c r="AB12" s="17" t="n">
        <f aca="false">IF(AND(AB$4&gt;=$G12,AB$4&lt;=$H12),IF($F12="Monthly",$E12,IF(MOD(AB$4-$G12,12)=0,$E12,0)),0)</f>
        <v>12.5</v>
      </c>
      <c r="AC12" s="17" t="n">
        <f aca="false">IF(AND(AC$4&gt;=$G12,AC$4&lt;=$H12),IF($F12="Monthly",$E12,IF(MOD(AC$4-$G12,12)=0,$E12,0)),0)</f>
        <v>12.5</v>
      </c>
      <c r="AD12" s="17" t="n">
        <f aca="false">IF(AND(AD$4&gt;=$G12,AD$4&lt;=$H12),IF($F12="Monthly",$E12,IF(MOD(AD$4-$G12,12)=0,$E12,0)),0)</f>
        <v>12.5</v>
      </c>
      <c r="AE12" s="17" t="n">
        <f aca="false">IF(AND(AE$4&gt;=$G12,AE$4&lt;=$H12),IF($F12="Monthly",$E12,IF(MOD(AE$4-$G12,12)=0,$E12,0)),0)</f>
        <v>12.5</v>
      </c>
      <c r="AF12" s="17" t="n">
        <f aca="false">IF(AND(AF$4&gt;=$G12,AF$4&lt;=$H12),IF($F12="Monthly",$E12,IF(MOD(AF$4-$G12,12)=0,$E12,0)),0)</f>
        <v>12.5</v>
      </c>
      <c r="AG12" s="17" t="n">
        <f aca="false">IF(AND(AG$4&gt;=$G12,AG$4&lt;=$H12),IF($F12="Monthly",$E12,IF(MOD(AG$4-$G12,12)=0,$E12,0)),0)</f>
        <v>12.5</v>
      </c>
      <c r="AH12" s="17" t="n">
        <f aca="false">IF(AND(AH$4&gt;=$G12,AH$4&lt;=$H12),IF($F12="Monthly",$E12,IF(MOD(AH$4-$G12,12)=0,$E12,0)),0)</f>
        <v>12.5</v>
      </c>
      <c r="AI12" s="17" t="n">
        <f aca="false">IF(AND(AI$4&gt;=$G12,AI$4&lt;=$H12),IF($F12="Monthly",$E12,IF(MOD(AI$4-$G12,12)=0,$E12,0)),0)</f>
        <v>12.5</v>
      </c>
      <c r="AJ12" s="17" t="n">
        <f aca="false">IF(AND(AJ$4&gt;=$G12,AJ$4&lt;=$H12),IF($F12="Monthly",$E12,IF(MOD(AJ$4-$G12,12)=0,$E12,0)),0)</f>
        <v>12.5</v>
      </c>
      <c r="AK12" s="17" t="n">
        <f aca="false">IF(AND(AK$4&gt;=$G12,AK$4&lt;=$H12),IF($F12="Monthly",$E12,IF(MOD(AK$4-$G12,12)=0,$E12,0)),0)</f>
        <v>12.5</v>
      </c>
      <c r="AL12" s="17" t="n">
        <f aca="false">IF(AND(AL$4&gt;=$G12,AL$4&lt;=$H12),IF($F12="Monthly",$E12,IF(MOD(AL$4-$G12,12)=0,$E12,0)),0)</f>
        <v>12.5</v>
      </c>
      <c r="AM12" s="17" t="n">
        <f aca="false">IF(AND(AM$4&gt;=$G12,AM$4&lt;=$H12),IF($F12="Monthly",$E12,IF(MOD(AM$4-$G12,12)=0,$E12,0)),0)</f>
        <v>12.5</v>
      </c>
      <c r="AN12" s="17" t="n">
        <f aca="false">IF(AND(AN$4&gt;=$G12,AN$4&lt;=$H12),IF($F12="Monthly",$E12,IF(MOD(AN$4-$G12,12)=0,$E12,0)),0)</f>
        <v>12.5</v>
      </c>
      <c r="AO12" s="17" t="n">
        <f aca="false">IF(AND(AO$4&gt;=$G12,AO$4&lt;=$H12),IF($F12="Monthly",$E12,IF(MOD(AO$4-$G12,12)=0,$E12,0)),0)</f>
        <v>12.5</v>
      </c>
      <c r="AP12" s="17" t="n">
        <f aca="false">IF(AND(AP$4&gt;=$G12,AP$4&lt;=$H12),IF($F12="Monthly",$E12,IF(MOD(AP$4-$G12,12)=0,$E12,0)),0)</f>
        <v>12.5</v>
      </c>
      <c r="AQ12" s="17" t="n">
        <f aca="false">IF(AND(AQ$4&gt;=$G12,AQ$4&lt;=$H12),IF($F12="Monthly",$E12,IF(MOD(AQ$4-$G12,12)=0,$E12,0)),0)</f>
        <v>12.5</v>
      </c>
      <c r="AR12" s="17" t="n">
        <f aca="false">IF(AND(AR$4&gt;=$G12,AR$4&lt;=$H12),IF($F12="Monthly",$E12,IF(MOD(AR$4-$G12,12)=0,$E12,0)),0)</f>
        <v>12.5</v>
      </c>
      <c r="AS12" s="17" t="n">
        <f aca="false">IF(AND(AS$4&gt;=$G12,AS$4&lt;=$H12),IF($F12="Monthly",$E12,IF(MOD(AS$4-$G12,12)=0,$E12,0)),0)</f>
        <v>12.5</v>
      </c>
      <c r="AT12" s="17" t="n">
        <f aca="false">IF(AND(AT$4&gt;=$G12,AT$4&lt;=$H12),IF($F12="Monthly",$E12,IF(MOD(AT$4-$G12,12)=0,$E12,0)),0)</f>
        <v>12.5</v>
      </c>
      <c r="AU12" s="17" t="n">
        <f aca="false">IF(AND(AU$4&gt;=$G12,AU$4&lt;=$H12),IF($F12="Monthly",$E12,IF(MOD(AU$4-$G12,12)=0,$E12,0)),0)</f>
        <v>12.5</v>
      </c>
      <c r="AV12" s="17" t="n">
        <f aca="false">IF(AND(AV$4&gt;=$G12,AV$4&lt;=$H12),IF($F12="Monthly",$E12,IF(MOD(AV$4-$G12,12)=0,$E12,0)),0)</f>
        <v>12.5</v>
      </c>
      <c r="AW12" s="17" t="n">
        <f aca="false">IF(AND(AW$4&gt;=$G12,AW$4&lt;=$H12),IF($F12="Monthly",$E12,IF(MOD(AW$4-$G12,12)=0,$E12,0)),0)</f>
        <v>12.5</v>
      </c>
      <c r="AX12" s="17" t="n">
        <f aca="false">IF(AND(AX$4&gt;=$G12,AX$4&lt;=$H12),IF($F12="Monthly",$E12,IF(MOD(AX$4-$G12,12)=0,$E12,0)),0)</f>
        <v>12.5</v>
      </c>
    </row>
    <row r="13" customFormat="false" ht="15" hidden="false" customHeight="false" outlineLevel="0" collapsed="false">
      <c r="A13" s="7" t="s">
        <v>693</v>
      </c>
      <c r="B13" s="7" t="s">
        <v>694</v>
      </c>
      <c r="C13" s="26" t="n">
        <v>38</v>
      </c>
      <c r="D13" s="26" t="n">
        <v>85</v>
      </c>
      <c r="E13" s="15" t="n">
        <f aca="false">C13+Assumptions!$C$9*(D13-C13)</f>
        <v>61.5</v>
      </c>
      <c r="F13" s="44" t="s">
        <v>675</v>
      </c>
      <c r="G13" s="22" t="n">
        <v>1</v>
      </c>
      <c r="H13" s="22" t="n">
        <v>36</v>
      </c>
      <c r="I13" s="17" t="n">
        <f aca="false">SUMIF($O$3:$AX$3,1,O13:AX13)</f>
        <v>738</v>
      </c>
      <c r="J13" s="17" t="n">
        <f aca="false">SUMIF($O$3:$AX$3,2,O13:AX13)</f>
        <v>738</v>
      </c>
      <c r="K13" s="17" t="n">
        <f aca="false">SUMIF($O$3:$AX$3,3,O13:AX13)</f>
        <v>738</v>
      </c>
      <c r="L13" s="7" t="s">
        <v>695</v>
      </c>
      <c r="M13" s="7" t="s">
        <v>87</v>
      </c>
      <c r="O13" s="17" t="n">
        <f aca="false">IF(AND(O$4&gt;=$G13,O$4&lt;=$H13),IF($F13="Monthly",$E13,IF(MOD(O$4-$G13,12)=0,$E13,0)),0)</f>
        <v>61.5</v>
      </c>
      <c r="P13" s="17" t="n">
        <f aca="false">IF(AND(P$4&gt;=$G13,P$4&lt;=$H13),IF($F13="Monthly",$E13,IF(MOD(P$4-$G13,12)=0,$E13,0)),0)</f>
        <v>61.5</v>
      </c>
      <c r="Q13" s="17" t="n">
        <f aca="false">IF(AND(Q$4&gt;=$G13,Q$4&lt;=$H13),IF($F13="Monthly",$E13,IF(MOD(Q$4-$G13,12)=0,$E13,0)),0)</f>
        <v>61.5</v>
      </c>
      <c r="R13" s="17" t="n">
        <f aca="false">IF(AND(R$4&gt;=$G13,R$4&lt;=$H13),IF($F13="Monthly",$E13,IF(MOD(R$4-$G13,12)=0,$E13,0)),0)</f>
        <v>61.5</v>
      </c>
      <c r="S13" s="17" t="n">
        <f aca="false">IF(AND(S$4&gt;=$G13,S$4&lt;=$H13),IF($F13="Monthly",$E13,IF(MOD(S$4-$G13,12)=0,$E13,0)),0)</f>
        <v>61.5</v>
      </c>
      <c r="T13" s="17" t="n">
        <f aca="false">IF(AND(T$4&gt;=$G13,T$4&lt;=$H13),IF($F13="Monthly",$E13,IF(MOD(T$4-$G13,12)=0,$E13,0)),0)</f>
        <v>61.5</v>
      </c>
      <c r="U13" s="17" t="n">
        <f aca="false">IF(AND(U$4&gt;=$G13,U$4&lt;=$H13),IF($F13="Monthly",$E13,IF(MOD(U$4-$G13,12)=0,$E13,0)),0)</f>
        <v>61.5</v>
      </c>
      <c r="V13" s="17" t="n">
        <f aca="false">IF(AND(V$4&gt;=$G13,V$4&lt;=$H13),IF($F13="Monthly",$E13,IF(MOD(V$4-$G13,12)=0,$E13,0)),0)</f>
        <v>61.5</v>
      </c>
      <c r="W13" s="17" t="n">
        <f aca="false">IF(AND(W$4&gt;=$G13,W$4&lt;=$H13),IF($F13="Monthly",$E13,IF(MOD(W$4-$G13,12)=0,$E13,0)),0)</f>
        <v>61.5</v>
      </c>
      <c r="X13" s="17" t="n">
        <f aca="false">IF(AND(X$4&gt;=$G13,X$4&lt;=$H13),IF($F13="Monthly",$E13,IF(MOD(X$4-$G13,12)=0,$E13,0)),0)</f>
        <v>61.5</v>
      </c>
      <c r="Y13" s="17" t="n">
        <f aca="false">IF(AND(Y$4&gt;=$G13,Y$4&lt;=$H13),IF($F13="Monthly",$E13,IF(MOD(Y$4-$G13,12)=0,$E13,0)),0)</f>
        <v>61.5</v>
      </c>
      <c r="Z13" s="17" t="n">
        <f aca="false">IF(AND(Z$4&gt;=$G13,Z$4&lt;=$H13),IF($F13="Monthly",$E13,IF(MOD(Z$4-$G13,12)=0,$E13,0)),0)</f>
        <v>61.5</v>
      </c>
      <c r="AA13" s="17" t="n">
        <f aca="false">IF(AND(AA$4&gt;=$G13,AA$4&lt;=$H13),IF($F13="Monthly",$E13,IF(MOD(AA$4-$G13,12)=0,$E13,0)),0)</f>
        <v>61.5</v>
      </c>
      <c r="AB13" s="17" t="n">
        <f aca="false">IF(AND(AB$4&gt;=$G13,AB$4&lt;=$H13),IF($F13="Monthly",$E13,IF(MOD(AB$4-$G13,12)=0,$E13,0)),0)</f>
        <v>61.5</v>
      </c>
      <c r="AC13" s="17" t="n">
        <f aca="false">IF(AND(AC$4&gt;=$G13,AC$4&lt;=$H13),IF($F13="Monthly",$E13,IF(MOD(AC$4-$G13,12)=0,$E13,0)),0)</f>
        <v>61.5</v>
      </c>
      <c r="AD13" s="17" t="n">
        <f aca="false">IF(AND(AD$4&gt;=$G13,AD$4&lt;=$H13),IF($F13="Monthly",$E13,IF(MOD(AD$4-$G13,12)=0,$E13,0)),0)</f>
        <v>61.5</v>
      </c>
      <c r="AE13" s="17" t="n">
        <f aca="false">IF(AND(AE$4&gt;=$G13,AE$4&lt;=$H13),IF($F13="Monthly",$E13,IF(MOD(AE$4-$G13,12)=0,$E13,0)),0)</f>
        <v>61.5</v>
      </c>
      <c r="AF13" s="17" t="n">
        <f aca="false">IF(AND(AF$4&gt;=$G13,AF$4&lt;=$H13),IF($F13="Monthly",$E13,IF(MOD(AF$4-$G13,12)=0,$E13,0)),0)</f>
        <v>61.5</v>
      </c>
      <c r="AG13" s="17" t="n">
        <f aca="false">IF(AND(AG$4&gt;=$G13,AG$4&lt;=$H13),IF($F13="Monthly",$E13,IF(MOD(AG$4-$G13,12)=0,$E13,0)),0)</f>
        <v>61.5</v>
      </c>
      <c r="AH13" s="17" t="n">
        <f aca="false">IF(AND(AH$4&gt;=$G13,AH$4&lt;=$H13),IF($F13="Monthly",$E13,IF(MOD(AH$4-$G13,12)=0,$E13,0)),0)</f>
        <v>61.5</v>
      </c>
      <c r="AI13" s="17" t="n">
        <f aca="false">IF(AND(AI$4&gt;=$G13,AI$4&lt;=$H13),IF($F13="Monthly",$E13,IF(MOD(AI$4-$G13,12)=0,$E13,0)),0)</f>
        <v>61.5</v>
      </c>
      <c r="AJ13" s="17" t="n">
        <f aca="false">IF(AND(AJ$4&gt;=$G13,AJ$4&lt;=$H13),IF($F13="Monthly",$E13,IF(MOD(AJ$4-$G13,12)=0,$E13,0)),0)</f>
        <v>61.5</v>
      </c>
      <c r="AK13" s="17" t="n">
        <f aca="false">IF(AND(AK$4&gt;=$G13,AK$4&lt;=$H13),IF($F13="Monthly",$E13,IF(MOD(AK$4-$G13,12)=0,$E13,0)),0)</f>
        <v>61.5</v>
      </c>
      <c r="AL13" s="17" t="n">
        <f aca="false">IF(AND(AL$4&gt;=$G13,AL$4&lt;=$H13),IF($F13="Monthly",$E13,IF(MOD(AL$4-$G13,12)=0,$E13,0)),0)</f>
        <v>61.5</v>
      </c>
      <c r="AM13" s="17" t="n">
        <f aca="false">IF(AND(AM$4&gt;=$G13,AM$4&lt;=$H13),IF($F13="Monthly",$E13,IF(MOD(AM$4-$G13,12)=0,$E13,0)),0)</f>
        <v>61.5</v>
      </c>
      <c r="AN13" s="17" t="n">
        <f aca="false">IF(AND(AN$4&gt;=$G13,AN$4&lt;=$H13),IF($F13="Monthly",$E13,IF(MOD(AN$4-$G13,12)=0,$E13,0)),0)</f>
        <v>61.5</v>
      </c>
      <c r="AO13" s="17" t="n">
        <f aca="false">IF(AND(AO$4&gt;=$G13,AO$4&lt;=$H13),IF($F13="Monthly",$E13,IF(MOD(AO$4-$G13,12)=0,$E13,0)),0)</f>
        <v>61.5</v>
      </c>
      <c r="AP13" s="17" t="n">
        <f aca="false">IF(AND(AP$4&gt;=$G13,AP$4&lt;=$H13),IF($F13="Monthly",$E13,IF(MOD(AP$4-$G13,12)=0,$E13,0)),0)</f>
        <v>61.5</v>
      </c>
      <c r="AQ13" s="17" t="n">
        <f aca="false">IF(AND(AQ$4&gt;=$G13,AQ$4&lt;=$H13),IF($F13="Monthly",$E13,IF(MOD(AQ$4-$G13,12)=0,$E13,0)),0)</f>
        <v>61.5</v>
      </c>
      <c r="AR13" s="17" t="n">
        <f aca="false">IF(AND(AR$4&gt;=$G13,AR$4&lt;=$H13),IF($F13="Monthly",$E13,IF(MOD(AR$4-$G13,12)=0,$E13,0)),0)</f>
        <v>61.5</v>
      </c>
      <c r="AS13" s="17" t="n">
        <f aca="false">IF(AND(AS$4&gt;=$G13,AS$4&lt;=$H13),IF($F13="Monthly",$E13,IF(MOD(AS$4-$G13,12)=0,$E13,0)),0)</f>
        <v>61.5</v>
      </c>
      <c r="AT13" s="17" t="n">
        <f aca="false">IF(AND(AT$4&gt;=$G13,AT$4&lt;=$H13),IF($F13="Monthly",$E13,IF(MOD(AT$4-$G13,12)=0,$E13,0)),0)</f>
        <v>61.5</v>
      </c>
      <c r="AU13" s="17" t="n">
        <f aca="false">IF(AND(AU$4&gt;=$G13,AU$4&lt;=$H13),IF($F13="Monthly",$E13,IF(MOD(AU$4-$G13,12)=0,$E13,0)),0)</f>
        <v>61.5</v>
      </c>
      <c r="AV13" s="17" t="n">
        <f aca="false">IF(AND(AV$4&gt;=$G13,AV$4&lt;=$H13),IF($F13="Monthly",$E13,IF(MOD(AV$4-$G13,12)=0,$E13,0)),0)</f>
        <v>61.5</v>
      </c>
      <c r="AW13" s="17" t="n">
        <f aca="false">IF(AND(AW$4&gt;=$G13,AW$4&lt;=$H13),IF($F13="Monthly",$E13,IF(MOD(AW$4-$G13,12)=0,$E13,0)),0)</f>
        <v>61.5</v>
      </c>
      <c r="AX13" s="17" t="n">
        <f aca="false">IF(AND(AX$4&gt;=$G13,AX$4&lt;=$H13),IF($F13="Monthly",$E13,IF(MOD(AX$4-$G13,12)=0,$E13,0)),0)</f>
        <v>61.5</v>
      </c>
    </row>
    <row r="14" customFormat="false" ht="15" hidden="false" customHeight="false" outlineLevel="0" collapsed="false">
      <c r="A14" s="7" t="s">
        <v>696</v>
      </c>
      <c r="B14" s="7" t="s">
        <v>697</v>
      </c>
      <c r="C14" s="26" t="n">
        <v>21</v>
      </c>
      <c r="D14" s="26" t="n">
        <v>47</v>
      </c>
      <c r="E14" s="15" t="n">
        <f aca="false">C14+Assumptions!$C$9*(D14-C14)</f>
        <v>34</v>
      </c>
      <c r="F14" s="44" t="s">
        <v>675</v>
      </c>
      <c r="G14" s="22" t="n">
        <v>3</v>
      </c>
      <c r="H14" s="22" t="n">
        <v>36</v>
      </c>
      <c r="I14" s="17" t="n">
        <f aca="false">SUMIF($O$3:$AX$3,1,O14:AX14)</f>
        <v>340</v>
      </c>
      <c r="J14" s="17" t="n">
        <f aca="false">SUMIF($O$3:$AX$3,2,O14:AX14)</f>
        <v>408</v>
      </c>
      <c r="K14" s="17" t="n">
        <f aca="false">SUMIF($O$3:$AX$3,3,O14:AX14)</f>
        <v>408</v>
      </c>
      <c r="L14" s="7" t="s">
        <v>698</v>
      </c>
      <c r="M14" s="7" t="s">
        <v>87</v>
      </c>
      <c r="O14" s="17" t="n">
        <f aca="false">IF(AND(O$4&gt;=$G14,O$4&lt;=$H14),IF($F14="Monthly",$E14,IF(MOD(O$4-$G14,12)=0,$E14,0)),0)</f>
        <v>0</v>
      </c>
      <c r="P14" s="17" t="n">
        <f aca="false">IF(AND(P$4&gt;=$G14,P$4&lt;=$H14),IF($F14="Monthly",$E14,IF(MOD(P$4-$G14,12)=0,$E14,0)),0)</f>
        <v>0</v>
      </c>
      <c r="Q14" s="17" t="n">
        <f aca="false">IF(AND(Q$4&gt;=$G14,Q$4&lt;=$H14),IF($F14="Monthly",$E14,IF(MOD(Q$4-$G14,12)=0,$E14,0)),0)</f>
        <v>34</v>
      </c>
      <c r="R14" s="17" t="n">
        <f aca="false">IF(AND(R$4&gt;=$G14,R$4&lt;=$H14),IF($F14="Monthly",$E14,IF(MOD(R$4-$G14,12)=0,$E14,0)),0)</f>
        <v>34</v>
      </c>
      <c r="S14" s="17" t="n">
        <f aca="false">IF(AND(S$4&gt;=$G14,S$4&lt;=$H14),IF($F14="Monthly",$E14,IF(MOD(S$4-$G14,12)=0,$E14,0)),0)</f>
        <v>34</v>
      </c>
      <c r="T14" s="17" t="n">
        <f aca="false">IF(AND(T$4&gt;=$G14,T$4&lt;=$H14),IF($F14="Monthly",$E14,IF(MOD(T$4-$G14,12)=0,$E14,0)),0)</f>
        <v>34</v>
      </c>
      <c r="U14" s="17" t="n">
        <f aca="false">IF(AND(U$4&gt;=$G14,U$4&lt;=$H14),IF($F14="Monthly",$E14,IF(MOD(U$4-$G14,12)=0,$E14,0)),0)</f>
        <v>34</v>
      </c>
      <c r="V14" s="17" t="n">
        <f aca="false">IF(AND(V$4&gt;=$G14,V$4&lt;=$H14),IF($F14="Monthly",$E14,IF(MOD(V$4-$G14,12)=0,$E14,0)),0)</f>
        <v>34</v>
      </c>
      <c r="W14" s="17" t="n">
        <f aca="false">IF(AND(W$4&gt;=$G14,W$4&lt;=$H14),IF($F14="Monthly",$E14,IF(MOD(W$4-$G14,12)=0,$E14,0)),0)</f>
        <v>34</v>
      </c>
      <c r="X14" s="17" t="n">
        <f aca="false">IF(AND(X$4&gt;=$G14,X$4&lt;=$H14),IF($F14="Monthly",$E14,IF(MOD(X$4-$G14,12)=0,$E14,0)),0)</f>
        <v>34</v>
      </c>
      <c r="Y14" s="17" t="n">
        <f aca="false">IF(AND(Y$4&gt;=$G14,Y$4&lt;=$H14),IF($F14="Monthly",$E14,IF(MOD(Y$4-$G14,12)=0,$E14,0)),0)</f>
        <v>34</v>
      </c>
      <c r="Z14" s="17" t="n">
        <f aca="false">IF(AND(Z$4&gt;=$G14,Z$4&lt;=$H14),IF($F14="Monthly",$E14,IF(MOD(Z$4-$G14,12)=0,$E14,0)),0)</f>
        <v>34</v>
      </c>
      <c r="AA14" s="17" t="n">
        <f aca="false">IF(AND(AA$4&gt;=$G14,AA$4&lt;=$H14),IF($F14="Monthly",$E14,IF(MOD(AA$4-$G14,12)=0,$E14,0)),0)</f>
        <v>34</v>
      </c>
      <c r="AB14" s="17" t="n">
        <f aca="false">IF(AND(AB$4&gt;=$G14,AB$4&lt;=$H14),IF($F14="Monthly",$E14,IF(MOD(AB$4-$G14,12)=0,$E14,0)),0)</f>
        <v>34</v>
      </c>
      <c r="AC14" s="17" t="n">
        <f aca="false">IF(AND(AC$4&gt;=$G14,AC$4&lt;=$H14),IF($F14="Monthly",$E14,IF(MOD(AC$4-$G14,12)=0,$E14,0)),0)</f>
        <v>34</v>
      </c>
      <c r="AD14" s="17" t="n">
        <f aca="false">IF(AND(AD$4&gt;=$G14,AD$4&lt;=$H14),IF($F14="Monthly",$E14,IF(MOD(AD$4-$G14,12)=0,$E14,0)),0)</f>
        <v>34</v>
      </c>
      <c r="AE14" s="17" t="n">
        <f aca="false">IF(AND(AE$4&gt;=$G14,AE$4&lt;=$H14),IF($F14="Monthly",$E14,IF(MOD(AE$4-$G14,12)=0,$E14,0)),0)</f>
        <v>34</v>
      </c>
      <c r="AF14" s="17" t="n">
        <f aca="false">IF(AND(AF$4&gt;=$G14,AF$4&lt;=$H14),IF($F14="Monthly",$E14,IF(MOD(AF$4-$G14,12)=0,$E14,0)),0)</f>
        <v>34</v>
      </c>
      <c r="AG14" s="17" t="n">
        <f aca="false">IF(AND(AG$4&gt;=$G14,AG$4&lt;=$H14),IF($F14="Monthly",$E14,IF(MOD(AG$4-$G14,12)=0,$E14,0)),0)</f>
        <v>34</v>
      </c>
      <c r="AH14" s="17" t="n">
        <f aca="false">IF(AND(AH$4&gt;=$G14,AH$4&lt;=$H14),IF($F14="Monthly",$E14,IF(MOD(AH$4-$G14,12)=0,$E14,0)),0)</f>
        <v>34</v>
      </c>
      <c r="AI14" s="17" t="n">
        <f aca="false">IF(AND(AI$4&gt;=$G14,AI$4&lt;=$H14),IF($F14="Monthly",$E14,IF(MOD(AI$4-$G14,12)=0,$E14,0)),0)</f>
        <v>34</v>
      </c>
      <c r="AJ14" s="17" t="n">
        <f aca="false">IF(AND(AJ$4&gt;=$G14,AJ$4&lt;=$H14),IF($F14="Monthly",$E14,IF(MOD(AJ$4-$G14,12)=0,$E14,0)),0)</f>
        <v>34</v>
      </c>
      <c r="AK14" s="17" t="n">
        <f aca="false">IF(AND(AK$4&gt;=$G14,AK$4&lt;=$H14),IF($F14="Monthly",$E14,IF(MOD(AK$4-$G14,12)=0,$E14,0)),0)</f>
        <v>34</v>
      </c>
      <c r="AL14" s="17" t="n">
        <f aca="false">IF(AND(AL$4&gt;=$G14,AL$4&lt;=$H14),IF($F14="Monthly",$E14,IF(MOD(AL$4-$G14,12)=0,$E14,0)),0)</f>
        <v>34</v>
      </c>
      <c r="AM14" s="17" t="n">
        <f aca="false">IF(AND(AM$4&gt;=$G14,AM$4&lt;=$H14),IF($F14="Monthly",$E14,IF(MOD(AM$4-$G14,12)=0,$E14,0)),0)</f>
        <v>34</v>
      </c>
      <c r="AN14" s="17" t="n">
        <f aca="false">IF(AND(AN$4&gt;=$G14,AN$4&lt;=$H14),IF($F14="Monthly",$E14,IF(MOD(AN$4-$G14,12)=0,$E14,0)),0)</f>
        <v>34</v>
      </c>
      <c r="AO14" s="17" t="n">
        <f aca="false">IF(AND(AO$4&gt;=$G14,AO$4&lt;=$H14),IF($F14="Monthly",$E14,IF(MOD(AO$4-$G14,12)=0,$E14,0)),0)</f>
        <v>34</v>
      </c>
      <c r="AP14" s="17" t="n">
        <f aca="false">IF(AND(AP$4&gt;=$G14,AP$4&lt;=$H14),IF($F14="Monthly",$E14,IF(MOD(AP$4-$G14,12)=0,$E14,0)),0)</f>
        <v>34</v>
      </c>
      <c r="AQ14" s="17" t="n">
        <f aca="false">IF(AND(AQ$4&gt;=$G14,AQ$4&lt;=$H14),IF($F14="Monthly",$E14,IF(MOD(AQ$4-$G14,12)=0,$E14,0)),0)</f>
        <v>34</v>
      </c>
      <c r="AR14" s="17" t="n">
        <f aca="false">IF(AND(AR$4&gt;=$G14,AR$4&lt;=$H14),IF($F14="Monthly",$E14,IF(MOD(AR$4-$G14,12)=0,$E14,0)),0)</f>
        <v>34</v>
      </c>
      <c r="AS14" s="17" t="n">
        <f aca="false">IF(AND(AS$4&gt;=$G14,AS$4&lt;=$H14),IF($F14="Monthly",$E14,IF(MOD(AS$4-$G14,12)=0,$E14,0)),0)</f>
        <v>34</v>
      </c>
      <c r="AT14" s="17" t="n">
        <f aca="false">IF(AND(AT$4&gt;=$G14,AT$4&lt;=$H14),IF($F14="Monthly",$E14,IF(MOD(AT$4-$G14,12)=0,$E14,0)),0)</f>
        <v>34</v>
      </c>
      <c r="AU14" s="17" t="n">
        <f aca="false">IF(AND(AU$4&gt;=$G14,AU$4&lt;=$H14),IF($F14="Monthly",$E14,IF(MOD(AU$4-$G14,12)=0,$E14,0)),0)</f>
        <v>34</v>
      </c>
      <c r="AV14" s="17" t="n">
        <f aca="false">IF(AND(AV$4&gt;=$G14,AV$4&lt;=$H14),IF($F14="Monthly",$E14,IF(MOD(AV$4-$G14,12)=0,$E14,0)),0)</f>
        <v>34</v>
      </c>
      <c r="AW14" s="17" t="n">
        <f aca="false">IF(AND(AW$4&gt;=$G14,AW$4&lt;=$H14),IF($F14="Monthly",$E14,IF(MOD(AW$4-$G14,12)=0,$E14,0)),0)</f>
        <v>34</v>
      </c>
      <c r="AX14" s="17" t="n">
        <f aca="false">IF(AND(AX$4&gt;=$G14,AX$4&lt;=$H14),IF($F14="Monthly",$E14,IF(MOD(AX$4-$G14,12)=0,$E14,0)),0)</f>
        <v>34</v>
      </c>
    </row>
    <row r="15" customFormat="false" ht="15" hidden="false" customHeight="false" outlineLevel="0" collapsed="false">
      <c r="A15" s="7" t="s">
        <v>699</v>
      </c>
      <c r="B15" s="7" t="s">
        <v>678</v>
      </c>
      <c r="C15" s="26" t="n">
        <v>0</v>
      </c>
      <c r="D15" s="26" t="n">
        <v>20</v>
      </c>
      <c r="E15" s="15" t="n">
        <f aca="false">C15+Assumptions!$C$9*(D15-C15)</f>
        <v>10</v>
      </c>
      <c r="F15" s="44" t="s">
        <v>675</v>
      </c>
      <c r="G15" s="22" t="n">
        <v>1</v>
      </c>
      <c r="H15" s="22" t="n">
        <v>36</v>
      </c>
      <c r="I15" s="17" t="n">
        <f aca="false">SUMIF($O$3:$AX$3,1,O15:AX15)</f>
        <v>120</v>
      </c>
      <c r="J15" s="17" t="n">
        <f aca="false">SUMIF($O$3:$AX$3,2,O15:AX15)</f>
        <v>120</v>
      </c>
      <c r="K15" s="17" t="n">
        <f aca="false">SUMIF($O$3:$AX$3,3,O15:AX15)</f>
        <v>120</v>
      </c>
      <c r="L15" s="7" t="s">
        <v>700</v>
      </c>
      <c r="M15" s="7" t="s">
        <v>87</v>
      </c>
      <c r="O15" s="17" t="n">
        <f aca="false">IF(AND(O$4&gt;=$G15,O$4&lt;=$H15),IF($F15="Monthly",$E15,IF(MOD(O$4-$G15,12)=0,$E15,0)),0)</f>
        <v>10</v>
      </c>
      <c r="P15" s="17" t="n">
        <f aca="false">IF(AND(P$4&gt;=$G15,P$4&lt;=$H15),IF($F15="Monthly",$E15,IF(MOD(P$4-$G15,12)=0,$E15,0)),0)</f>
        <v>10</v>
      </c>
      <c r="Q15" s="17" t="n">
        <f aca="false">IF(AND(Q$4&gt;=$G15,Q$4&lt;=$H15),IF($F15="Monthly",$E15,IF(MOD(Q$4-$G15,12)=0,$E15,0)),0)</f>
        <v>10</v>
      </c>
      <c r="R15" s="17" t="n">
        <f aca="false">IF(AND(R$4&gt;=$G15,R$4&lt;=$H15),IF($F15="Monthly",$E15,IF(MOD(R$4-$G15,12)=0,$E15,0)),0)</f>
        <v>10</v>
      </c>
      <c r="S15" s="17" t="n">
        <f aca="false">IF(AND(S$4&gt;=$G15,S$4&lt;=$H15),IF($F15="Monthly",$E15,IF(MOD(S$4-$G15,12)=0,$E15,0)),0)</f>
        <v>10</v>
      </c>
      <c r="T15" s="17" t="n">
        <f aca="false">IF(AND(T$4&gt;=$G15,T$4&lt;=$H15),IF($F15="Monthly",$E15,IF(MOD(T$4-$G15,12)=0,$E15,0)),0)</f>
        <v>10</v>
      </c>
      <c r="U15" s="17" t="n">
        <f aca="false">IF(AND(U$4&gt;=$G15,U$4&lt;=$H15),IF($F15="Monthly",$E15,IF(MOD(U$4-$G15,12)=0,$E15,0)),0)</f>
        <v>10</v>
      </c>
      <c r="V15" s="17" t="n">
        <f aca="false">IF(AND(V$4&gt;=$G15,V$4&lt;=$H15),IF($F15="Monthly",$E15,IF(MOD(V$4-$G15,12)=0,$E15,0)),0)</f>
        <v>10</v>
      </c>
      <c r="W15" s="17" t="n">
        <f aca="false">IF(AND(W$4&gt;=$G15,W$4&lt;=$H15),IF($F15="Monthly",$E15,IF(MOD(W$4-$G15,12)=0,$E15,0)),0)</f>
        <v>10</v>
      </c>
      <c r="X15" s="17" t="n">
        <f aca="false">IF(AND(X$4&gt;=$G15,X$4&lt;=$H15),IF($F15="Monthly",$E15,IF(MOD(X$4-$G15,12)=0,$E15,0)),0)</f>
        <v>10</v>
      </c>
      <c r="Y15" s="17" t="n">
        <f aca="false">IF(AND(Y$4&gt;=$G15,Y$4&lt;=$H15),IF($F15="Monthly",$E15,IF(MOD(Y$4-$G15,12)=0,$E15,0)),0)</f>
        <v>10</v>
      </c>
      <c r="Z15" s="17" t="n">
        <f aca="false">IF(AND(Z$4&gt;=$G15,Z$4&lt;=$H15),IF($F15="Monthly",$E15,IF(MOD(Z$4-$G15,12)=0,$E15,0)),0)</f>
        <v>10</v>
      </c>
      <c r="AA15" s="17" t="n">
        <f aca="false">IF(AND(AA$4&gt;=$G15,AA$4&lt;=$H15),IF($F15="Monthly",$E15,IF(MOD(AA$4-$G15,12)=0,$E15,0)),0)</f>
        <v>10</v>
      </c>
      <c r="AB15" s="17" t="n">
        <f aca="false">IF(AND(AB$4&gt;=$G15,AB$4&lt;=$H15),IF($F15="Monthly",$E15,IF(MOD(AB$4-$G15,12)=0,$E15,0)),0)</f>
        <v>10</v>
      </c>
      <c r="AC15" s="17" t="n">
        <f aca="false">IF(AND(AC$4&gt;=$G15,AC$4&lt;=$H15),IF($F15="Monthly",$E15,IF(MOD(AC$4-$G15,12)=0,$E15,0)),0)</f>
        <v>10</v>
      </c>
      <c r="AD15" s="17" t="n">
        <f aca="false">IF(AND(AD$4&gt;=$G15,AD$4&lt;=$H15),IF($F15="Monthly",$E15,IF(MOD(AD$4-$G15,12)=0,$E15,0)),0)</f>
        <v>10</v>
      </c>
      <c r="AE15" s="17" t="n">
        <f aca="false">IF(AND(AE$4&gt;=$G15,AE$4&lt;=$H15),IF($F15="Monthly",$E15,IF(MOD(AE$4-$G15,12)=0,$E15,0)),0)</f>
        <v>10</v>
      </c>
      <c r="AF15" s="17" t="n">
        <f aca="false">IF(AND(AF$4&gt;=$G15,AF$4&lt;=$H15),IF($F15="Monthly",$E15,IF(MOD(AF$4-$G15,12)=0,$E15,0)),0)</f>
        <v>10</v>
      </c>
      <c r="AG15" s="17" t="n">
        <f aca="false">IF(AND(AG$4&gt;=$G15,AG$4&lt;=$H15),IF($F15="Monthly",$E15,IF(MOD(AG$4-$G15,12)=0,$E15,0)),0)</f>
        <v>10</v>
      </c>
      <c r="AH15" s="17" t="n">
        <f aca="false">IF(AND(AH$4&gt;=$G15,AH$4&lt;=$H15),IF($F15="Monthly",$E15,IF(MOD(AH$4-$G15,12)=0,$E15,0)),0)</f>
        <v>10</v>
      </c>
      <c r="AI15" s="17" t="n">
        <f aca="false">IF(AND(AI$4&gt;=$G15,AI$4&lt;=$H15),IF($F15="Monthly",$E15,IF(MOD(AI$4-$G15,12)=0,$E15,0)),0)</f>
        <v>10</v>
      </c>
      <c r="AJ15" s="17" t="n">
        <f aca="false">IF(AND(AJ$4&gt;=$G15,AJ$4&lt;=$H15),IF($F15="Monthly",$E15,IF(MOD(AJ$4-$G15,12)=0,$E15,0)),0)</f>
        <v>10</v>
      </c>
      <c r="AK15" s="17" t="n">
        <f aca="false">IF(AND(AK$4&gt;=$G15,AK$4&lt;=$H15),IF($F15="Monthly",$E15,IF(MOD(AK$4-$G15,12)=0,$E15,0)),0)</f>
        <v>10</v>
      </c>
      <c r="AL15" s="17" t="n">
        <f aca="false">IF(AND(AL$4&gt;=$G15,AL$4&lt;=$H15),IF($F15="Monthly",$E15,IF(MOD(AL$4-$G15,12)=0,$E15,0)),0)</f>
        <v>10</v>
      </c>
      <c r="AM15" s="17" t="n">
        <f aca="false">IF(AND(AM$4&gt;=$G15,AM$4&lt;=$H15),IF($F15="Monthly",$E15,IF(MOD(AM$4-$G15,12)=0,$E15,0)),0)</f>
        <v>10</v>
      </c>
      <c r="AN15" s="17" t="n">
        <f aca="false">IF(AND(AN$4&gt;=$G15,AN$4&lt;=$H15),IF($F15="Monthly",$E15,IF(MOD(AN$4-$G15,12)=0,$E15,0)),0)</f>
        <v>10</v>
      </c>
      <c r="AO15" s="17" t="n">
        <f aca="false">IF(AND(AO$4&gt;=$G15,AO$4&lt;=$H15),IF($F15="Monthly",$E15,IF(MOD(AO$4-$G15,12)=0,$E15,0)),0)</f>
        <v>10</v>
      </c>
      <c r="AP15" s="17" t="n">
        <f aca="false">IF(AND(AP$4&gt;=$G15,AP$4&lt;=$H15),IF($F15="Monthly",$E15,IF(MOD(AP$4-$G15,12)=0,$E15,0)),0)</f>
        <v>10</v>
      </c>
      <c r="AQ15" s="17" t="n">
        <f aca="false">IF(AND(AQ$4&gt;=$G15,AQ$4&lt;=$H15),IF($F15="Monthly",$E15,IF(MOD(AQ$4-$G15,12)=0,$E15,0)),0)</f>
        <v>10</v>
      </c>
      <c r="AR15" s="17" t="n">
        <f aca="false">IF(AND(AR$4&gt;=$G15,AR$4&lt;=$H15),IF($F15="Monthly",$E15,IF(MOD(AR$4-$G15,12)=0,$E15,0)),0)</f>
        <v>10</v>
      </c>
      <c r="AS15" s="17" t="n">
        <f aca="false">IF(AND(AS$4&gt;=$G15,AS$4&lt;=$H15),IF($F15="Monthly",$E15,IF(MOD(AS$4-$G15,12)=0,$E15,0)),0)</f>
        <v>10</v>
      </c>
      <c r="AT15" s="17" t="n">
        <f aca="false">IF(AND(AT$4&gt;=$G15,AT$4&lt;=$H15),IF($F15="Monthly",$E15,IF(MOD(AT$4-$G15,12)=0,$E15,0)),0)</f>
        <v>10</v>
      </c>
      <c r="AU15" s="17" t="n">
        <f aca="false">IF(AND(AU$4&gt;=$G15,AU$4&lt;=$H15),IF($F15="Monthly",$E15,IF(MOD(AU$4-$G15,12)=0,$E15,0)),0)</f>
        <v>10</v>
      </c>
      <c r="AV15" s="17" t="n">
        <f aca="false">IF(AND(AV$4&gt;=$G15,AV$4&lt;=$H15),IF($F15="Monthly",$E15,IF(MOD(AV$4-$G15,12)=0,$E15,0)),0)</f>
        <v>10</v>
      </c>
      <c r="AW15" s="17" t="n">
        <f aca="false">IF(AND(AW$4&gt;=$G15,AW$4&lt;=$H15),IF($F15="Monthly",$E15,IF(MOD(AW$4-$G15,12)=0,$E15,0)),0)</f>
        <v>10</v>
      </c>
      <c r="AX15" s="17" t="n">
        <f aca="false">IF(AND(AX$4&gt;=$G15,AX$4&lt;=$H15),IF($F15="Monthly",$E15,IF(MOD(AX$4-$G15,12)=0,$E15,0)),0)</f>
        <v>10</v>
      </c>
    </row>
    <row r="16" customFormat="false" ht="15" hidden="false" customHeight="false" outlineLevel="0" collapsed="false">
      <c r="A16" s="7" t="s">
        <v>701</v>
      </c>
      <c r="B16" s="7" t="s">
        <v>605</v>
      </c>
      <c r="C16" s="26" t="n">
        <v>1.5</v>
      </c>
      <c r="D16" s="26" t="n">
        <v>3</v>
      </c>
      <c r="E16" s="15" t="n">
        <f aca="false">C16+Assumptions!$C$9*(D16-C16)</f>
        <v>2.25</v>
      </c>
      <c r="F16" s="44" t="s">
        <v>675</v>
      </c>
      <c r="G16" s="22" t="n">
        <v>1</v>
      </c>
      <c r="H16" s="22" t="n">
        <v>36</v>
      </c>
      <c r="I16" s="17" t="n">
        <f aca="false">SUMIF($O$3:$AX$3,1,O16:AX16)</f>
        <v>27</v>
      </c>
      <c r="J16" s="17" t="n">
        <f aca="false">SUMIF($O$3:$AX$3,2,O16:AX16)</f>
        <v>27</v>
      </c>
      <c r="K16" s="17" t="n">
        <f aca="false">SUMIF($O$3:$AX$3,3,O16:AX16)</f>
        <v>27</v>
      </c>
      <c r="L16" s="7" t="s">
        <v>702</v>
      </c>
      <c r="M16" s="7" t="s">
        <v>78</v>
      </c>
      <c r="O16" s="17" t="n">
        <f aca="false">IF(AND(O$4&gt;=$G16,O$4&lt;=$H16),IF($F16="Monthly",$E16,IF(MOD(O$4-$G16,12)=0,$E16,0)),0)</f>
        <v>2.25</v>
      </c>
      <c r="P16" s="17" t="n">
        <f aca="false">IF(AND(P$4&gt;=$G16,P$4&lt;=$H16),IF($F16="Monthly",$E16,IF(MOD(P$4-$G16,12)=0,$E16,0)),0)</f>
        <v>2.25</v>
      </c>
      <c r="Q16" s="17" t="n">
        <f aca="false">IF(AND(Q$4&gt;=$G16,Q$4&lt;=$H16),IF($F16="Monthly",$E16,IF(MOD(Q$4-$G16,12)=0,$E16,0)),0)</f>
        <v>2.25</v>
      </c>
      <c r="R16" s="17" t="n">
        <f aca="false">IF(AND(R$4&gt;=$G16,R$4&lt;=$H16),IF($F16="Monthly",$E16,IF(MOD(R$4-$G16,12)=0,$E16,0)),0)</f>
        <v>2.25</v>
      </c>
      <c r="S16" s="17" t="n">
        <f aca="false">IF(AND(S$4&gt;=$G16,S$4&lt;=$H16),IF($F16="Monthly",$E16,IF(MOD(S$4-$G16,12)=0,$E16,0)),0)</f>
        <v>2.25</v>
      </c>
      <c r="T16" s="17" t="n">
        <f aca="false">IF(AND(T$4&gt;=$G16,T$4&lt;=$H16),IF($F16="Monthly",$E16,IF(MOD(T$4-$G16,12)=0,$E16,0)),0)</f>
        <v>2.25</v>
      </c>
      <c r="U16" s="17" t="n">
        <f aca="false">IF(AND(U$4&gt;=$G16,U$4&lt;=$H16),IF($F16="Monthly",$E16,IF(MOD(U$4-$G16,12)=0,$E16,0)),0)</f>
        <v>2.25</v>
      </c>
      <c r="V16" s="17" t="n">
        <f aca="false">IF(AND(V$4&gt;=$G16,V$4&lt;=$H16),IF($F16="Monthly",$E16,IF(MOD(V$4-$G16,12)=0,$E16,0)),0)</f>
        <v>2.25</v>
      </c>
      <c r="W16" s="17" t="n">
        <f aca="false">IF(AND(W$4&gt;=$G16,W$4&lt;=$H16),IF($F16="Monthly",$E16,IF(MOD(W$4-$G16,12)=0,$E16,0)),0)</f>
        <v>2.25</v>
      </c>
      <c r="X16" s="17" t="n">
        <f aca="false">IF(AND(X$4&gt;=$G16,X$4&lt;=$H16),IF($F16="Monthly",$E16,IF(MOD(X$4-$G16,12)=0,$E16,0)),0)</f>
        <v>2.25</v>
      </c>
      <c r="Y16" s="17" t="n">
        <f aca="false">IF(AND(Y$4&gt;=$G16,Y$4&lt;=$H16),IF($F16="Monthly",$E16,IF(MOD(Y$4-$G16,12)=0,$E16,0)),0)</f>
        <v>2.25</v>
      </c>
      <c r="Z16" s="17" t="n">
        <f aca="false">IF(AND(Z$4&gt;=$G16,Z$4&lt;=$H16),IF($F16="Monthly",$E16,IF(MOD(Z$4-$G16,12)=0,$E16,0)),0)</f>
        <v>2.25</v>
      </c>
      <c r="AA16" s="17" t="n">
        <f aca="false">IF(AND(AA$4&gt;=$G16,AA$4&lt;=$H16),IF($F16="Monthly",$E16,IF(MOD(AA$4-$G16,12)=0,$E16,0)),0)</f>
        <v>2.25</v>
      </c>
      <c r="AB16" s="17" t="n">
        <f aca="false">IF(AND(AB$4&gt;=$G16,AB$4&lt;=$H16),IF($F16="Monthly",$E16,IF(MOD(AB$4-$G16,12)=0,$E16,0)),0)</f>
        <v>2.25</v>
      </c>
      <c r="AC16" s="17" t="n">
        <f aca="false">IF(AND(AC$4&gt;=$G16,AC$4&lt;=$H16),IF($F16="Monthly",$E16,IF(MOD(AC$4-$G16,12)=0,$E16,0)),0)</f>
        <v>2.25</v>
      </c>
      <c r="AD16" s="17" t="n">
        <f aca="false">IF(AND(AD$4&gt;=$G16,AD$4&lt;=$H16),IF($F16="Monthly",$E16,IF(MOD(AD$4-$G16,12)=0,$E16,0)),0)</f>
        <v>2.25</v>
      </c>
      <c r="AE16" s="17" t="n">
        <f aca="false">IF(AND(AE$4&gt;=$G16,AE$4&lt;=$H16),IF($F16="Monthly",$E16,IF(MOD(AE$4-$G16,12)=0,$E16,0)),0)</f>
        <v>2.25</v>
      </c>
      <c r="AF16" s="17" t="n">
        <f aca="false">IF(AND(AF$4&gt;=$G16,AF$4&lt;=$H16),IF($F16="Monthly",$E16,IF(MOD(AF$4-$G16,12)=0,$E16,0)),0)</f>
        <v>2.25</v>
      </c>
      <c r="AG16" s="17" t="n">
        <f aca="false">IF(AND(AG$4&gt;=$G16,AG$4&lt;=$H16),IF($F16="Monthly",$E16,IF(MOD(AG$4-$G16,12)=0,$E16,0)),0)</f>
        <v>2.25</v>
      </c>
      <c r="AH16" s="17" t="n">
        <f aca="false">IF(AND(AH$4&gt;=$G16,AH$4&lt;=$H16),IF($F16="Monthly",$E16,IF(MOD(AH$4-$G16,12)=0,$E16,0)),0)</f>
        <v>2.25</v>
      </c>
      <c r="AI16" s="17" t="n">
        <f aca="false">IF(AND(AI$4&gt;=$G16,AI$4&lt;=$H16),IF($F16="Monthly",$E16,IF(MOD(AI$4-$G16,12)=0,$E16,0)),0)</f>
        <v>2.25</v>
      </c>
      <c r="AJ16" s="17" t="n">
        <f aca="false">IF(AND(AJ$4&gt;=$G16,AJ$4&lt;=$H16),IF($F16="Monthly",$E16,IF(MOD(AJ$4-$G16,12)=0,$E16,0)),0)</f>
        <v>2.25</v>
      </c>
      <c r="AK16" s="17" t="n">
        <f aca="false">IF(AND(AK$4&gt;=$G16,AK$4&lt;=$H16),IF($F16="Monthly",$E16,IF(MOD(AK$4-$G16,12)=0,$E16,0)),0)</f>
        <v>2.25</v>
      </c>
      <c r="AL16" s="17" t="n">
        <f aca="false">IF(AND(AL$4&gt;=$G16,AL$4&lt;=$H16),IF($F16="Monthly",$E16,IF(MOD(AL$4-$G16,12)=0,$E16,0)),0)</f>
        <v>2.25</v>
      </c>
      <c r="AM16" s="17" t="n">
        <f aca="false">IF(AND(AM$4&gt;=$G16,AM$4&lt;=$H16),IF($F16="Monthly",$E16,IF(MOD(AM$4-$G16,12)=0,$E16,0)),0)</f>
        <v>2.25</v>
      </c>
      <c r="AN16" s="17" t="n">
        <f aca="false">IF(AND(AN$4&gt;=$G16,AN$4&lt;=$H16),IF($F16="Monthly",$E16,IF(MOD(AN$4-$G16,12)=0,$E16,0)),0)</f>
        <v>2.25</v>
      </c>
      <c r="AO16" s="17" t="n">
        <f aca="false">IF(AND(AO$4&gt;=$G16,AO$4&lt;=$H16),IF($F16="Monthly",$E16,IF(MOD(AO$4-$G16,12)=0,$E16,0)),0)</f>
        <v>2.25</v>
      </c>
      <c r="AP16" s="17" t="n">
        <f aca="false">IF(AND(AP$4&gt;=$G16,AP$4&lt;=$H16),IF($F16="Monthly",$E16,IF(MOD(AP$4-$G16,12)=0,$E16,0)),0)</f>
        <v>2.25</v>
      </c>
      <c r="AQ16" s="17" t="n">
        <f aca="false">IF(AND(AQ$4&gt;=$G16,AQ$4&lt;=$H16),IF($F16="Monthly",$E16,IF(MOD(AQ$4-$G16,12)=0,$E16,0)),0)</f>
        <v>2.25</v>
      </c>
      <c r="AR16" s="17" t="n">
        <f aca="false">IF(AND(AR$4&gt;=$G16,AR$4&lt;=$H16),IF($F16="Monthly",$E16,IF(MOD(AR$4-$G16,12)=0,$E16,0)),0)</f>
        <v>2.25</v>
      </c>
      <c r="AS16" s="17" t="n">
        <f aca="false">IF(AND(AS$4&gt;=$G16,AS$4&lt;=$H16),IF($F16="Monthly",$E16,IF(MOD(AS$4-$G16,12)=0,$E16,0)),0)</f>
        <v>2.25</v>
      </c>
      <c r="AT16" s="17" t="n">
        <f aca="false">IF(AND(AT$4&gt;=$G16,AT$4&lt;=$H16),IF($F16="Monthly",$E16,IF(MOD(AT$4-$G16,12)=0,$E16,0)),0)</f>
        <v>2.25</v>
      </c>
      <c r="AU16" s="17" t="n">
        <f aca="false">IF(AND(AU$4&gt;=$G16,AU$4&lt;=$H16),IF($F16="Monthly",$E16,IF(MOD(AU$4-$G16,12)=0,$E16,0)),0)</f>
        <v>2.25</v>
      </c>
      <c r="AV16" s="17" t="n">
        <f aca="false">IF(AND(AV$4&gt;=$G16,AV$4&lt;=$H16),IF($F16="Monthly",$E16,IF(MOD(AV$4-$G16,12)=0,$E16,0)),0)</f>
        <v>2.25</v>
      </c>
      <c r="AW16" s="17" t="n">
        <f aca="false">IF(AND(AW$4&gt;=$G16,AW$4&lt;=$H16),IF($F16="Monthly",$E16,IF(MOD(AW$4-$G16,12)=0,$E16,0)),0)</f>
        <v>2.25</v>
      </c>
      <c r="AX16" s="17" t="n">
        <f aca="false">IF(AND(AX$4&gt;=$G16,AX$4&lt;=$H16),IF($F16="Monthly",$E16,IF(MOD(AX$4-$G16,12)=0,$E16,0)),0)</f>
        <v>2.25</v>
      </c>
    </row>
    <row r="17" customFormat="false" ht="15" hidden="false" customHeight="false" outlineLevel="0" collapsed="false">
      <c r="A17" s="7" t="s">
        <v>703</v>
      </c>
      <c r="B17" s="7" t="s">
        <v>704</v>
      </c>
      <c r="C17" s="26" t="n">
        <v>0</v>
      </c>
      <c r="D17" s="26" t="n">
        <v>25</v>
      </c>
      <c r="E17" s="15" t="n">
        <f aca="false">C17+Assumptions!$C$9*(D17-C17)</f>
        <v>12.5</v>
      </c>
      <c r="F17" s="44" t="s">
        <v>675</v>
      </c>
      <c r="G17" s="22" t="n">
        <v>1</v>
      </c>
      <c r="H17" s="22" t="n">
        <v>36</v>
      </c>
      <c r="I17" s="17" t="n">
        <f aca="false">SUMIF($O$3:$AX$3,1,O17:AX17)</f>
        <v>150</v>
      </c>
      <c r="J17" s="17" t="n">
        <f aca="false">SUMIF($O$3:$AX$3,2,O17:AX17)</f>
        <v>150</v>
      </c>
      <c r="K17" s="17" t="n">
        <f aca="false">SUMIF($O$3:$AX$3,3,O17:AX17)</f>
        <v>150</v>
      </c>
      <c r="L17" s="7" t="s">
        <v>705</v>
      </c>
      <c r="M17" s="7" t="s">
        <v>168</v>
      </c>
      <c r="O17" s="17" t="n">
        <f aca="false">IF(AND(O$4&gt;=$G17,O$4&lt;=$H17),IF($F17="Monthly",$E17,IF(MOD(O$4-$G17,12)=0,$E17,0)),0)</f>
        <v>12.5</v>
      </c>
      <c r="P17" s="17" t="n">
        <f aca="false">IF(AND(P$4&gt;=$G17,P$4&lt;=$H17),IF($F17="Monthly",$E17,IF(MOD(P$4-$G17,12)=0,$E17,0)),0)</f>
        <v>12.5</v>
      </c>
      <c r="Q17" s="17" t="n">
        <f aca="false">IF(AND(Q$4&gt;=$G17,Q$4&lt;=$H17),IF($F17="Monthly",$E17,IF(MOD(Q$4-$G17,12)=0,$E17,0)),0)</f>
        <v>12.5</v>
      </c>
      <c r="R17" s="17" t="n">
        <f aca="false">IF(AND(R$4&gt;=$G17,R$4&lt;=$H17),IF($F17="Monthly",$E17,IF(MOD(R$4-$G17,12)=0,$E17,0)),0)</f>
        <v>12.5</v>
      </c>
      <c r="S17" s="17" t="n">
        <f aca="false">IF(AND(S$4&gt;=$G17,S$4&lt;=$H17),IF($F17="Monthly",$E17,IF(MOD(S$4-$G17,12)=0,$E17,0)),0)</f>
        <v>12.5</v>
      </c>
      <c r="T17" s="17" t="n">
        <f aca="false">IF(AND(T$4&gt;=$G17,T$4&lt;=$H17),IF($F17="Monthly",$E17,IF(MOD(T$4-$G17,12)=0,$E17,0)),0)</f>
        <v>12.5</v>
      </c>
      <c r="U17" s="17" t="n">
        <f aca="false">IF(AND(U$4&gt;=$G17,U$4&lt;=$H17),IF($F17="Monthly",$E17,IF(MOD(U$4-$G17,12)=0,$E17,0)),0)</f>
        <v>12.5</v>
      </c>
      <c r="V17" s="17" t="n">
        <f aca="false">IF(AND(V$4&gt;=$G17,V$4&lt;=$H17),IF($F17="Monthly",$E17,IF(MOD(V$4-$G17,12)=0,$E17,0)),0)</f>
        <v>12.5</v>
      </c>
      <c r="W17" s="17" t="n">
        <f aca="false">IF(AND(W$4&gt;=$G17,W$4&lt;=$H17),IF($F17="Monthly",$E17,IF(MOD(W$4-$G17,12)=0,$E17,0)),0)</f>
        <v>12.5</v>
      </c>
      <c r="X17" s="17" t="n">
        <f aca="false">IF(AND(X$4&gt;=$G17,X$4&lt;=$H17),IF($F17="Monthly",$E17,IF(MOD(X$4-$G17,12)=0,$E17,0)),0)</f>
        <v>12.5</v>
      </c>
      <c r="Y17" s="17" t="n">
        <f aca="false">IF(AND(Y$4&gt;=$G17,Y$4&lt;=$H17),IF($F17="Monthly",$E17,IF(MOD(Y$4-$G17,12)=0,$E17,0)),0)</f>
        <v>12.5</v>
      </c>
      <c r="Z17" s="17" t="n">
        <f aca="false">IF(AND(Z$4&gt;=$G17,Z$4&lt;=$H17),IF($F17="Monthly",$E17,IF(MOD(Z$4-$G17,12)=0,$E17,0)),0)</f>
        <v>12.5</v>
      </c>
      <c r="AA17" s="17" t="n">
        <f aca="false">IF(AND(AA$4&gt;=$G17,AA$4&lt;=$H17),IF($F17="Monthly",$E17,IF(MOD(AA$4-$G17,12)=0,$E17,0)),0)</f>
        <v>12.5</v>
      </c>
      <c r="AB17" s="17" t="n">
        <f aca="false">IF(AND(AB$4&gt;=$G17,AB$4&lt;=$H17),IF($F17="Monthly",$E17,IF(MOD(AB$4-$G17,12)=0,$E17,0)),0)</f>
        <v>12.5</v>
      </c>
      <c r="AC17" s="17" t="n">
        <f aca="false">IF(AND(AC$4&gt;=$G17,AC$4&lt;=$H17),IF($F17="Monthly",$E17,IF(MOD(AC$4-$G17,12)=0,$E17,0)),0)</f>
        <v>12.5</v>
      </c>
      <c r="AD17" s="17" t="n">
        <f aca="false">IF(AND(AD$4&gt;=$G17,AD$4&lt;=$H17),IF($F17="Monthly",$E17,IF(MOD(AD$4-$G17,12)=0,$E17,0)),0)</f>
        <v>12.5</v>
      </c>
      <c r="AE17" s="17" t="n">
        <f aca="false">IF(AND(AE$4&gt;=$G17,AE$4&lt;=$H17),IF($F17="Monthly",$E17,IF(MOD(AE$4-$G17,12)=0,$E17,0)),0)</f>
        <v>12.5</v>
      </c>
      <c r="AF17" s="17" t="n">
        <f aca="false">IF(AND(AF$4&gt;=$G17,AF$4&lt;=$H17),IF($F17="Monthly",$E17,IF(MOD(AF$4-$G17,12)=0,$E17,0)),0)</f>
        <v>12.5</v>
      </c>
      <c r="AG17" s="17" t="n">
        <f aca="false">IF(AND(AG$4&gt;=$G17,AG$4&lt;=$H17),IF($F17="Monthly",$E17,IF(MOD(AG$4-$G17,12)=0,$E17,0)),0)</f>
        <v>12.5</v>
      </c>
      <c r="AH17" s="17" t="n">
        <f aca="false">IF(AND(AH$4&gt;=$G17,AH$4&lt;=$H17),IF($F17="Monthly",$E17,IF(MOD(AH$4-$G17,12)=0,$E17,0)),0)</f>
        <v>12.5</v>
      </c>
      <c r="AI17" s="17" t="n">
        <f aca="false">IF(AND(AI$4&gt;=$G17,AI$4&lt;=$H17),IF($F17="Monthly",$E17,IF(MOD(AI$4-$G17,12)=0,$E17,0)),0)</f>
        <v>12.5</v>
      </c>
      <c r="AJ17" s="17" t="n">
        <f aca="false">IF(AND(AJ$4&gt;=$G17,AJ$4&lt;=$H17),IF($F17="Monthly",$E17,IF(MOD(AJ$4-$G17,12)=0,$E17,0)),0)</f>
        <v>12.5</v>
      </c>
      <c r="AK17" s="17" t="n">
        <f aca="false">IF(AND(AK$4&gt;=$G17,AK$4&lt;=$H17),IF($F17="Monthly",$E17,IF(MOD(AK$4-$G17,12)=0,$E17,0)),0)</f>
        <v>12.5</v>
      </c>
      <c r="AL17" s="17" t="n">
        <f aca="false">IF(AND(AL$4&gt;=$G17,AL$4&lt;=$H17),IF($F17="Monthly",$E17,IF(MOD(AL$4-$G17,12)=0,$E17,0)),0)</f>
        <v>12.5</v>
      </c>
      <c r="AM17" s="17" t="n">
        <f aca="false">IF(AND(AM$4&gt;=$G17,AM$4&lt;=$H17),IF($F17="Monthly",$E17,IF(MOD(AM$4-$G17,12)=0,$E17,0)),0)</f>
        <v>12.5</v>
      </c>
      <c r="AN17" s="17" t="n">
        <f aca="false">IF(AND(AN$4&gt;=$G17,AN$4&lt;=$H17),IF($F17="Monthly",$E17,IF(MOD(AN$4-$G17,12)=0,$E17,0)),0)</f>
        <v>12.5</v>
      </c>
      <c r="AO17" s="17" t="n">
        <f aca="false">IF(AND(AO$4&gt;=$G17,AO$4&lt;=$H17),IF($F17="Monthly",$E17,IF(MOD(AO$4-$G17,12)=0,$E17,0)),0)</f>
        <v>12.5</v>
      </c>
      <c r="AP17" s="17" t="n">
        <f aca="false">IF(AND(AP$4&gt;=$G17,AP$4&lt;=$H17),IF($F17="Monthly",$E17,IF(MOD(AP$4-$G17,12)=0,$E17,0)),0)</f>
        <v>12.5</v>
      </c>
      <c r="AQ17" s="17" t="n">
        <f aca="false">IF(AND(AQ$4&gt;=$G17,AQ$4&lt;=$H17),IF($F17="Monthly",$E17,IF(MOD(AQ$4-$G17,12)=0,$E17,0)),0)</f>
        <v>12.5</v>
      </c>
      <c r="AR17" s="17" t="n">
        <f aca="false">IF(AND(AR$4&gt;=$G17,AR$4&lt;=$H17),IF($F17="Monthly",$E17,IF(MOD(AR$4-$G17,12)=0,$E17,0)),0)</f>
        <v>12.5</v>
      </c>
      <c r="AS17" s="17" t="n">
        <f aca="false">IF(AND(AS$4&gt;=$G17,AS$4&lt;=$H17),IF($F17="Monthly",$E17,IF(MOD(AS$4-$G17,12)=0,$E17,0)),0)</f>
        <v>12.5</v>
      </c>
      <c r="AT17" s="17" t="n">
        <f aca="false">IF(AND(AT$4&gt;=$G17,AT$4&lt;=$H17),IF($F17="Monthly",$E17,IF(MOD(AT$4-$G17,12)=0,$E17,0)),0)</f>
        <v>12.5</v>
      </c>
      <c r="AU17" s="17" t="n">
        <f aca="false">IF(AND(AU$4&gt;=$G17,AU$4&lt;=$H17),IF($F17="Monthly",$E17,IF(MOD(AU$4-$G17,12)=0,$E17,0)),0)</f>
        <v>12.5</v>
      </c>
      <c r="AV17" s="17" t="n">
        <f aca="false">IF(AND(AV$4&gt;=$G17,AV$4&lt;=$H17),IF($F17="Monthly",$E17,IF(MOD(AV$4-$G17,12)=0,$E17,0)),0)</f>
        <v>12.5</v>
      </c>
      <c r="AW17" s="17" t="n">
        <f aca="false">IF(AND(AW$4&gt;=$G17,AW$4&lt;=$H17),IF($F17="Monthly",$E17,IF(MOD(AW$4-$G17,12)=0,$E17,0)),0)</f>
        <v>12.5</v>
      </c>
      <c r="AX17" s="17" t="n">
        <f aca="false">IF(AND(AX$4&gt;=$G17,AX$4&lt;=$H17),IF($F17="Monthly",$E17,IF(MOD(AX$4-$G17,12)=0,$E17,0)),0)</f>
        <v>12.5</v>
      </c>
    </row>
    <row r="18" customFormat="false" ht="15" hidden="false" customHeight="false" outlineLevel="0" collapsed="false">
      <c r="A18" s="7" t="s">
        <v>706</v>
      </c>
      <c r="B18" s="7" t="s">
        <v>707</v>
      </c>
      <c r="C18" s="26" t="n">
        <v>61</v>
      </c>
      <c r="D18" s="26" t="n">
        <v>61</v>
      </c>
      <c r="E18" s="15" t="n">
        <f aca="false">C18+Assumptions!$C$9*(D18-C18)</f>
        <v>61</v>
      </c>
      <c r="F18" s="44" t="s">
        <v>681</v>
      </c>
      <c r="G18" s="22" t="n">
        <v>1</v>
      </c>
      <c r="H18" s="22" t="n">
        <v>36</v>
      </c>
      <c r="I18" s="17" t="n">
        <f aca="false">SUMIF($O$3:$AX$3,1,O18:AX18)</f>
        <v>61</v>
      </c>
      <c r="J18" s="17" t="n">
        <f aca="false">SUMIF($O$3:$AX$3,2,O18:AX18)</f>
        <v>61</v>
      </c>
      <c r="K18" s="17" t="n">
        <f aca="false">SUMIF($O$3:$AX$3,3,O18:AX18)</f>
        <v>61</v>
      </c>
      <c r="L18" s="7" t="s">
        <v>708</v>
      </c>
      <c r="M18" s="7" t="s">
        <v>87</v>
      </c>
      <c r="O18" s="17" t="n">
        <f aca="false">IF(AND(O$4&gt;=$G18,O$4&lt;=$H18),IF($F18="Monthly",$E18,IF(MOD(O$4-$G18,12)=0,$E18,0)),0)</f>
        <v>61</v>
      </c>
      <c r="P18" s="17" t="n">
        <f aca="false">IF(AND(P$4&gt;=$G18,P$4&lt;=$H18),IF($F18="Monthly",$E18,IF(MOD(P$4-$G18,12)=0,$E18,0)),0)</f>
        <v>0</v>
      </c>
      <c r="Q18" s="17" t="n">
        <f aca="false">IF(AND(Q$4&gt;=$G18,Q$4&lt;=$H18),IF($F18="Monthly",$E18,IF(MOD(Q$4-$G18,12)=0,$E18,0)),0)</f>
        <v>0</v>
      </c>
      <c r="R18" s="17" t="n">
        <f aca="false">IF(AND(R$4&gt;=$G18,R$4&lt;=$H18),IF($F18="Monthly",$E18,IF(MOD(R$4-$G18,12)=0,$E18,0)),0)</f>
        <v>0</v>
      </c>
      <c r="S18" s="17" t="n">
        <f aca="false">IF(AND(S$4&gt;=$G18,S$4&lt;=$H18),IF($F18="Monthly",$E18,IF(MOD(S$4-$G18,12)=0,$E18,0)),0)</f>
        <v>0</v>
      </c>
      <c r="T18" s="17" t="n">
        <f aca="false">IF(AND(T$4&gt;=$G18,T$4&lt;=$H18),IF($F18="Monthly",$E18,IF(MOD(T$4-$G18,12)=0,$E18,0)),0)</f>
        <v>0</v>
      </c>
      <c r="U18" s="17" t="n">
        <f aca="false">IF(AND(U$4&gt;=$G18,U$4&lt;=$H18),IF($F18="Monthly",$E18,IF(MOD(U$4-$G18,12)=0,$E18,0)),0)</f>
        <v>0</v>
      </c>
      <c r="V18" s="17" t="n">
        <f aca="false">IF(AND(V$4&gt;=$G18,V$4&lt;=$H18),IF($F18="Monthly",$E18,IF(MOD(V$4-$G18,12)=0,$E18,0)),0)</f>
        <v>0</v>
      </c>
      <c r="W18" s="17" t="n">
        <f aca="false">IF(AND(W$4&gt;=$G18,W$4&lt;=$H18),IF($F18="Monthly",$E18,IF(MOD(W$4-$G18,12)=0,$E18,0)),0)</f>
        <v>0</v>
      </c>
      <c r="X18" s="17" t="n">
        <f aca="false">IF(AND(X$4&gt;=$G18,X$4&lt;=$H18),IF($F18="Monthly",$E18,IF(MOD(X$4-$G18,12)=0,$E18,0)),0)</f>
        <v>0</v>
      </c>
      <c r="Y18" s="17" t="n">
        <f aca="false">IF(AND(Y$4&gt;=$G18,Y$4&lt;=$H18),IF($F18="Monthly",$E18,IF(MOD(Y$4-$G18,12)=0,$E18,0)),0)</f>
        <v>0</v>
      </c>
      <c r="Z18" s="17" t="n">
        <f aca="false">IF(AND(Z$4&gt;=$G18,Z$4&lt;=$H18),IF($F18="Monthly",$E18,IF(MOD(Z$4-$G18,12)=0,$E18,0)),0)</f>
        <v>0</v>
      </c>
      <c r="AA18" s="17" t="n">
        <f aca="false">IF(AND(AA$4&gt;=$G18,AA$4&lt;=$H18),IF($F18="Monthly",$E18,IF(MOD(AA$4-$G18,12)=0,$E18,0)),0)</f>
        <v>61</v>
      </c>
      <c r="AB18" s="17" t="n">
        <f aca="false">IF(AND(AB$4&gt;=$G18,AB$4&lt;=$H18),IF($F18="Monthly",$E18,IF(MOD(AB$4-$G18,12)=0,$E18,0)),0)</f>
        <v>0</v>
      </c>
      <c r="AC18" s="17" t="n">
        <f aca="false">IF(AND(AC$4&gt;=$G18,AC$4&lt;=$H18),IF($F18="Monthly",$E18,IF(MOD(AC$4-$G18,12)=0,$E18,0)),0)</f>
        <v>0</v>
      </c>
      <c r="AD18" s="17" t="n">
        <f aca="false">IF(AND(AD$4&gt;=$G18,AD$4&lt;=$H18),IF($F18="Monthly",$E18,IF(MOD(AD$4-$G18,12)=0,$E18,0)),0)</f>
        <v>0</v>
      </c>
      <c r="AE18" s="17" t="n">
        <f aca="false">IF(AND(AE$4&gt;=$G18,AE$4&lt;=$H18),IF($F18="Monthly",$E18,IF(MOD(AE$4-$G18,12)=0,$E18,0)),0)</f>
        <v>0</v>
      </c>
      <c r="AF18" s="17" t="n">
        <f aca="false">IF(AND(AF$4&gt;=$G18,AF$4&lt;=$H18),IF($F18="Monthly",$E18,IF(MOD(AF$4-$G18,12)=0,$E18,0)),0)</f>
        <v>0</v>
      </c>
      <c r="AG18" s="17" t="n">
        <f aca="false">IF(AND(AG$4&gt;=$G18,AG$4&lt;=$H18),IF($F18="Monthly",$E18,IF(MOD(AG$4-$G18,12)=0,$E18,0)),0)</f>
        <v>0</v>
      </c>
      <c r="AH18" s="17" t="n">
        <f aca="false">IF(AND(AH$4&gt;=$G18,AH$4&lt;=$H18),IF($F18="Monthly",$E18,IF(MOD(AH$4-$G18,12)=0,$E18,0)),0)</f>
        <v>0</v>
      </c>
      <c r="AI18" s="17" t="n">
        <f aca="false">IF(AND(AI$4&gt;=$G18,AI$4&lt;=$H18),IF($F18="Monthly",$E18,IF(MOD(AI$4-$G18,12)=0,$E18,0)),0)</f>
        <v>0</v>
      </c>
      <c r="AJ18" s="17" t="n">
        <f aca="false">IF(AND(AJ$4&gt;=$G18,AJ$4&lt;=$H18),IF($F18="Monthly",$E18,IF(MOD(AJ$4-$G18,12)=0,$E18,0)),0)</f>
        <v>0</v>
      </c>
      <c r="AK18" s="17" t="n">
        <f aca="false">IF(AND(AK$4&gt;=$G18,AK$4&lt;=$H18),IF($F18="Monthly",$E18,IF(MOD(AK$4-$G18,12)=0,$E18,0)),0)</f>
        <v>0</v>
      </c>
      <c r="AL18" s="17" t="n">
        <f aca="false">IF(AND(AL$4&gt;=$G18,AL$4&lt;=$H18),IF($F18="Monthly",$E18,IF(MOD(AL$4-$G18,12)=0,$E18,0)),0)</f>
        <v>0</v>
      </c>
      <c r="AM18" s="17" t="n">
        <f aca="false">IF(AND(AM$4&gt;=$G18,AM$4&lt;=$H18),IF($F18="Monthly",$E18,IF(MOD(AM$4-$G18,12)=0,$E18,0)),0)</f>
        <v>61</v>
      </c>
      <c r="AN18" s="17" t="n">
        <f aca="false">IF(AND(AN$4&gt;=$G18,AN$4&lt;=$H18),IF($F18="Monthly",$E18,IF(MOD(AN$4-$G18,12)=0,$E18,0)),0)</f>
        <v>0</v>
      </c>
      <c r="AO18" s="17" t="n">
        <f aca="false">IF(AND(AO$4&gt;=$G18,AO$4&lt;=$H18),IF($F18="Monthly",$E18,IF(MOD(AO$4-$G18,12)=0,$E18,0)),0)</f>
        <v>0</v>
      </c>
      <c r="AP18" s="17" t="n">
        <f aca="false">IF(AND(AP$4&gt;=$G18,AP$4&lt;=$H18),IF($F18="Monthly",$E18,IF(MOD(AP$4-$G18,12)=0,$E18,0)),0)</f>
        <v>0</v>
      </c>
      <c r="AQ18" s="17" t="n">
        <f aca="false">IF(AND(AQ$4&gt;=$G18,AQ$4&lt;=$H18),IF($F18="Monthly",$E18,IF(MOD(AQ$4-$G18,12)=0,$E18,0)),0)</f>
        <v>0</v>
      </c>
      <c r="AR18" s="17" t="n">
        <f aca="false">IF(AND(AR$4&gt;=$G18,AR$4&lt;=$H18),IF($F18="Monthly",$E18,IF(MOD(AR$4-$G18,12)=0,$E18,0)),0)</f>
        <v>0</v>
      </c>
      <c r="AS18" s="17" t="n">
        <f aca="false">IF(AND(AS$4&gt;=$G18,AS$4&lt;=$H18),IF($F18="Monthly",$E18,IF(MOD(AS$4-$G18,12)=0,$E18,0)),0)</f>
        <v>0</v>
      </c>
      <c r="AT18" s="17" t="n">
        <f aca="false">IF(AND(AT$4&gt;=$G18,AT$4&lt;=$H18),IF($F18="Monthly",$E18,IF(MOD(AT$4-$G18,12)=0,$E18,0)),0)</f>
        <v>0</v>
      </c>
      <c r="AU18" s="17" t="n">
        <f aca="false">IF(AND(AU$4&gt;=$G18,AU$4&lt;=$H18),IF($F18="Monthly",$E18,IF(MOD(AU$4-$G18,12)=0,$E18,0)),0)</f>
        <v>0</v>
      </c>
      <c r="AV18" s="17" t="n">
        <f aca="false">IF(AND(AV$4&gt;=$G18,AV$4&lt;=$H18),IF($F18="Monthly",$E18,IF(MOD(AV$4-$G18,12)=0,$E18,0)),0)</f>
        <v>0</v>
      </c>
      <c r="AW18" s="17" t="n">
        <f aca="false">IF(AND(AW$4&gt;=$G18,AW$4&lt;=$H18),IF($F18="Monthly",$E18,IF(MOD(AW$4-$G18,12)=0,$E18,0)),0)</f>
        <v>0</v>
      </c>
      <c r="AX18" s="17" t="n">
        <f aca="false">IF(AND(AX$4&gt;=$G18,AX$4&lt;=$H18),IF($F18="Monthly",$E18,IF(MOD(AX$4-$G18,12)=0,$E18,0)),0)</f>
        <v>0</v>
      </c>
    </row>
    <row r="19" customFormat="false" ht="15" hidden="false" customHeight="false" outlineLevel="0" collapsed="false">
      <c r="A19" s="7" t="s">
        <v>709</v>
      </c>
      <c r="B19" s="7" t="s">
        <v>707</v>
      </c>
      <c r="C19" s="26" t="n">
        <v>118</v>
      </c>
      <c r="D19" s="26" t="n">
        <v>118</v>
      </c>
      <c r="E19" s="15" t="n">
        <f aca="false">C19+Assumptions!$C$9*(D19-C19)</f>
        <v>118</v>
      </c>
      <c r="F19" s="44" t="s">
        <v>681</v>
      </c>
      <c r="G19" s="22" t="n">
        <v>5</v>
      </c>
      <c r="H19" s="22" t="n">
        <v>36</v>
      </c>
      <c r="I19" s="17" t="n">
        <f aca="false">SUMIF($O$3:$AX$3,1,O19:AX19)</f>
        <v>118</v>
      </c>
      <c r="J19" s="17" t="n">
        <f aca="false">SUMIF($O$3:$AX$3,2,O19:AX19)</f>
        <v>118</v>
      </c>
      <c r="K19" s="17" t="n">
        <f aca="false">SUMIF($O$3:$AX$3,3,O19:AX19)</f>
        <v>118</v>
      </c>
      <c r="L19" s="7" t="s">
        <v>710</v>
      </c>
      <c r="M19" s="7" t="s">
        <v>87</v>
      </c>
      <c r="O19" s="17" t="n">
        <f aca="false">IF(AND(O$4&gt;=$G19,O$4&lt;=$H19),IF($F19="Monthly",$E19,IF(MOD(O$4-$G19,12)=0,$E19,0)),0)</f>
        <v>0</v>
      </c>
      <c r="P19" s="17" t="n">
        <f aca="false">IF(AND(P$4&gt;=$G19,P$4&lt;=$H19),IF($F19="Monthly",$E19,IF(MOD(P$4-$G19,12)=0,$E19,0)),0)</f>
        <v>0</v>
      </c>
      <c r="Q19" s="17" t="n">
        <f aca="false">IF(AND(Q$4&gt;=$G19,Q$4&lt;=$H19),IF($F19="Monthly",$E19,IF(MOD(Q$4-$G19,12)=0,$E19,0)),0)</f>
        <v>0</v>
      </c>
      <c r="R19" s="17" t="n">
        <f aca="false">IF(AND(R$4&gt;=$G19,R$4&lt;=$H19),IF($F19="Monthly",$E19,IF(MOD(R$4-$G19,12)=0,$E19,0)),0)</f>
        <v>0</v>
      </c>
      <c r="S19" s="17" t="n">
        <f aca="false">IF(AND(S$4&gt;=$G19,S$4&lt;=$H19),IF($F19="Monthly",$E19,IF(MOD(S$4-$G19,12)=0,$E19,0)),0)</f>
        <v>118</v>
      </c>
      <c r="T19" s="17" t="n">
        <f aca="false">IF(AND(T$4&gt;=$G19,T$4&lt;=$H19),IF($F19="Monthly",$E19,IF(MOD(T$4-$G19,12)=0,$E19,0)),0)</f>
        <v>0</v>
      </c>
      <c r="U19" s="17" t="n">
        <f aca="false">IF(AND(U$4&gt;=$G19,U$4&lt;=$H19),IF($F19="Monthly",$E19,IF(MOD(U$4-$G19,12)=0,$E19,0)),0)</f>
        <v>0</v>
      </c>
      <c r="V19" s="17" t="n">
        <f aca="false">IF(AND(V$4&gt;=$G19,V$4&lt;=$H19),IF($F19="Monthly",$E19,IF(MOD(V$4-$G19,12)=0,$E19,0)),0)</f>
        <v>0</v>
      </c>
      <c r="W19" s="17" t="n">
        <f aca="false">IF(AND(W$4&gt;=$G19,W$4&lt;=$H19),IF($F19="Monthly",$E19,IF(MOD(W$4-$G19,12)=0,$E19,0)),0)</f>
        <v>0</v>
      </c>
      <c r="X19" s="17" t="n">
        <f aca="false">IF(AND(X$4&gt;=$G19,X$4&lt;=$H19),IF($F19="Monthly",$E19,IF(MOD(X$4-$G19,12)=0,$E19,0)),0)</f>
        <v>0</v>
      </c>
      <c r="Y19" s="17" t="n">
        <f aca="false">IF(AND(Y$4&gt;=$G19,Y$4&lt;=$H19),IF($F19="Monthly",$E19,IF(MOD(Y$4-$G19,12)=0,$E19,0)),0)</f>
        <v>0</v>
      </c>
      <c r="Z19" s="17" t="n">
        <f aca="false">IF(AND(Z$4&gt;=$G19,Z$4&lt;=$H19),IF($F19="Monthly",$E19,IF(MOD(Z$4-$G19,12)=0,$E19,0)),0)</f>
        <v>0</v>
      </c>
      <c r="AA19" s="17" t="n">
        <f aca="false">IF(AND(AA$4&gt;=$G19,AA$4&lt;=$H19),IF($F19="Monthly",$E19,IF(MOD(AA$4-$G19,12)=0,$E19,0)),0)</f>
        <v>0</v>
      </c>
      <c r="AB19" s="17" t="n">
        <f aca="false">IF(AND(AB$4&gt;=$G19,AB$4&lt;=$H19),IF($F19="Monthly",$E19,IF(MOD(AB$4-$G19,12)=0,$E19,0)),0)</f>
        <v>0</v>
      </c>
      <c r="AC19" s="17" t="n">
        <f aca="false">IF(AND(AC$4&gt;=$G19,AC$4&lt;=$H19),IF($F19="Monthly",$E19,IF(MOD(AC$4-$G19,12)=0,$E19,0)),0)</f>
        <v>0</v>
      </c>
      <c r="AD19" s="17" t="n">
        <f aca="false">IF(AND(AD$4&gt;=$G19,AD$4&lt;=$H19),IF($F19="Monthly",$E19,IF(MOD(AD$4-$G19,12)=0,$E19,0)),0)</f>
        <v>0</v>
      </c>
      <c r="AE19" s="17" t="n">
        <f aca="false">IF(AND(AE$4&gt;=$G19,AE$4&lt;=$H19),IF($F19="Monthly",$E19,IF(MOD(AE$4-$G19,12)=0,$E19,0)),0)</f>
        <v>118</v>
      </c>
      <c r="AF19" s="17" t="n">
        <f aca="false">IF(AND(AF$4&gt;=$G19,AF$4&lt;=$H19),IF($F19="Monthly",$E19,IF(MOD(AF$4-$G19,12)=0,$E19,0)),0)</f>
        <v>0</v>
      </c>
      <c r="AG19" s="17" t="n">
        <f aca="false">IF(AND(AG$4&gt;=$G19,AG$4&lt;=$H19),IF($F19="Monthly",$E19,IF(MOD(AG$4-$G19,12)=0,$E19,0)),0)</f>
        <v>0</v>
      </c>
      <c r="AH19" s="17" t="n">
        <f aca="false">IF(AND(AH$4&gt;=$G19,AH$4&lt;=$H19),IF($F19="Monthly",$E19,IF(MOD(AH$4-$G19,12)=0,$E19,0)),0)</f>
        <v>0</v>
      </c>
      <c r="AI19" s="17" t="n">
        <f aca="false">IF(AND(AI$4&gt;=$G19,AI$4&lt;=$H19),IF($F19="Monthly",$E19,IF(MOD(AI$4-$G19,12)=0,$E19,0)),0)</f>
        <v>0</v>
      </c>
      <c r="AJ19" s="17" t="n">
        <f aca="false">IF(AND(AJ$4&gt;=$G19,AJ$4&lt;=$H19),IF($F19="Monthly",$E19,IF(MOD(AJ$4-$G19,12)=0,$E19,0)),0)</f>
        <v>0</v>
      </c>
      <c r="AK19" s="17" t="n">
        <f aca="false">IF(AND(AK$4&gt;=$G19,AK$4&lt;=$H19),IF($F19="Monthly",$E19,IF(MOD(AK$4-$G19,12)=0,$E19,0)),0)</f>
        <v>0</v>
      </c>
      <c r="AL19" s="17" t="n">
        <f aca="false">IF(AND(AL$4&gt;=$G19,AL$4&lt;=$H19),IF($F19="Monthly",$E19,IF(MOD(AL$4-$G19,12)=0,$E19,0)),0)</f>
        <v>0</v>
      </c>
      <c r="AM19" s="17" t="n">
        <f aca="false">IF(AND(AM$4&gt;=$G19,AM$4&lt;=$H19),IF($F19="Monthly",$E19,IF(MOD(AM$4-$G19,12)=0,$E19,0)),0)</f>
        <v>0</v>
      </c>
      <c r="AN19" s="17" t="n">
        <f aca="false">IF(AND(AN$4&gt;=$G19,AN$4&lt;=$H19),IF($F19="Monthly",$E19,IF(MOD(AN$4-$G19,12)=0,$E19,0)),0)</f>
        <v>0</v>
      </c>
      <c r="AO19" s="17" t="n">
        <f aca="false">IF(AND(AO$4&gt;=$G19,AO$4&lt;=$H19),IF($F19="Monthly",$E19,IF(MOD(AO$4-$G19,12)=0,$E19,0)),0)</f>
        <v>0</v>
      </c>
      <c r="AP19" s="17" t="n">
        <f aca="false">IF(AND(AP$4&gt;=$G19,AP$4&lt;=$H19),IF($F19="Monthly",$E19,IF(MOD(AP$4-$G19,12)=0,$E19,0)),0)</f>
        <v>0</v>
      </c>
      <c r="AQ19" s="17" t="n">
        <f aca="false">IF(AND(AQ$4&gt;=$G19,AQ$4&lt;=$H19),IF($F19="Monthly",$E19,IF(MOD(AQ$4-$G19,12)=0,$E19,0)),0)</f>
        <v>118</v>
      </c>
      <c r="AR19" s="17" t="n">
        <f aca="false">IF(AND(AR$4&gt;=$G19,AR$4&lt;=$H19),IF($F19="Monthly",$E19,IF(MOD(AR$4-$G19,12)=0,$E19,0)),0)</f>
        <v>0</v>
      </c>
      <c r="AS19" s="17" t="n">
        <f aca="false">IF(AND(AS$4&gt;=$G19,AS$4&lt;=$H19),IF($F19="Monthly",$E19,IF(MOD(AS$4-$G19,12)=0,$E19,0)),0)</f>
        <v>0</v>
      </c>
      <c r="AT19" s="17" t="n">
        <f aca="false">IF(AND(AT$4&gt;=$G19,AT$4&lt;=$H19),IF($F19="Monthly",$E19,IF(MOD(AT$4-$G19,12)=0,$E19,0)),0)</f>
        <v>0</v>
      </c>
      <c r="AU19" s="17" t="n">
        <f aca="false">IF(AND(AU$4&gt;=$G19,AU$4&lt;=$H19),IF($F19="Monthly",$E19,IF(MOD(AU$4-$G19,12)=0,$E19,0)),0)</f>
        <v>0</v>
      </c>
      <c r="AV19" s="17" t="n">
        <f aca="false">IF(AND(AV$4&gt;=$G19,AV$4&lt;=$H19),IF($F19="Monthly",$E19,IF(MOD(AV$4-$G19,12)=0,$E19,0)),0)</f>
        <v>0</v>
      </c>
      <c r="AW19" s="17" t="n">
        <f aca="false">IF(AND(AW$4&gt;=$G19,AW$4&lt;=$H19),IF($F19="Monthly",$E19,IF(MOD(AW$4-$G19,12)=0,$E19,0)),0)</f>
        <v>0</v>
      </c>
      <c r="AX19" s="17" t="n">
        <f aca="false">IF(AND(AX$4&gt;=$G19,AX$4&lt;=$H19),IF($F19="Monthly",$E19,IF(MOD(AX$4-$G19,12)=0,$E19,0)),0)</f>
        <v>0</v>
      </c>
    </row>
    <row r="20" customFormat="false" ht="15" hidden="false" customHeight="false" outlineLevel="0" collapsed="false">
      <c r="A20" s="7" t="s">
        <v>711</v>
      </c>
      <c r="B20" s="7" t="s">
        <v>712</v>
      </c>
      <c r="C20" s="26" t="n">
        <v>100</v>
      </c>
      <c r="D20" s="26" t="n">
        <v>300</v>
      </c>
      <c r="E20" s="15" t="n">
        <f aca="false">C20+Assumptions!$C$9*(D20-C20)</f>
        <v>200</v>
      </c>
      <c r="F20" s="44" t="s">
        <v>681</v>
      </c>
      <c r="G20" s="22" t="n">
        <v>1</v>
      </c>
      <c r="H20" s="22" t="n">
        <v>36</v>
      </c>
      <c r="I20" s="17" t="n">
        <f aca="false">SUMIF($O$3:$AX$3,1,O20:AX20)</f>
        <v>200</v>
      </c>
      <c r="J20" s="17" t="n">
        <f aca="false">SUMIF($O$3:$AX$3,2,O20:AX20)</f>
        <v>200</v>
      </c>
      <c r="K20" s="17" t="n">
        <f aca="false">SUMIF($O$3:$AX$3,3,O20:AX20)</f>
        <v>200</v>
      </c>
      <c r="L20" s="7" t="s">
        <v>713</v>
      </c>
      <c r="M20" s="7" t="s">
        <v>168</v>
      </c>
      <c r="O20" s="17" t="n">
        <f aca="false">IF(AND(O$4&gt;=$G20,O$4&lt;=$H20),IF($F20="Monthly",$E20,IF(MOD(O$4-$G20,12)=0,$E20,0)),0)</f>
        <v>200</v>
      </c>
      <c r="P20" s="17" t="n">
        <f aca="false">IF(AND(P$4&gt;=$G20,P$4&lt;=$H20),IF($F20="Monthly",$E20,IF(MOD(P$4-$G20,12)=0,$E20,0)),0)</f>
        <v>0</v>
      </c>
      <c r="Q20" s="17" t="n">
        <f aca="false">IF(AND(Q$4&gt;=$G20,Q$4&lt;=$H20),IF($F20="Monthly",$E20,IF(MOD(Q$4-$G20,12)=0,$E20,0)),0)</f>
        <v>0</v>
      </c>
      <c r="R20" s="17" t="n">
        <f aca="false">IF(AND(R$4&gt;=$G20,R$4&lt;=$H20),IF($F20="Monthly",$E20,IF(MOD(R$4-$G20,12)=0,$E20,0)),0)</f>
        <v>0</v>
      </c>
      <c r="S20" s="17" t="n">
        <f aca="false">IF(AND(S$4&gt;=$G20,S$4&lt;=$H20),IF($F20="Monthly",$E20,IF(MOD(S$4-$G20,12)=0,$E20,0)),0)</f>
        <v>0</v>
      </c>
      <c r="T20" s="17" t="n">
        <f aca="false">IF(AND(T$4&gt;=$G20,T$4&lt;=$H20),IF($F20="Monthly",$E20,IF(MOD(T$4-$G20,12)=0,$E20,0)),0)</f>
        <v>0</v>
      </c>
      <c r="U20" s="17" t="n">
        <f aca="false">IF(AND(U$4&gt;=$G20,U$4&lt;=$H20),IF($F20="Monthly",$E20,IF(MOD(U$4-$G20,12)=0,$E20,0)),0)</f>
        <v>0</v>
      </c>
      <c r="V20" s="17" t="n">
        <f aca="false">IF(AND(V$4&gt;=$G20,V$4&lt;=$H20),IF($F20="Monthly",$E20,IF(MOD(V$4-$G20,12)=0,$E20,0)),0)</f>
        <v>0</v>
      </c>
      <c r="W20" s="17" t="n">
        <f aca="false">IF(AND(W$4&gt;=$G20,W$4&lt;=$H20),IF($F20="Monthly",$E20,IF(MOD(W$4-$G20,12)=0,$E20,0)),0)</f>
        <v>0</v>
      </c>
      <c r="X20" s="17" t="n">
        <f aca="false">IF(AND(X$4&gt;=$G20,X$4&lt;=$H20),IF($F20="Monthly",$E20,IF(MOD(X$4-$G20,12)=0,$E20,0)),0)</f>
        <v>0</v>
      </c>
      <c r="Y20" s="17" t="n">
        <f aca="false">IF(AND(Y$4&gt;=$G20,Y$4&lt;=$H20),IF($F20="Monthly",$E20,IF(MOD(Y$4-$G20,12)=0,$E20,0)),0)</f>
        <v>0</v>
      </c>
      <c r="Z20" s="17" t="n">
        <f aca="false">IF(AND(Z$4&gt;=$G20,Z$4&lt;=$H20),IF($F20="Monthly",$E20,IF(MOD(Z$4-$G20,12)=0,$E20,0)),0)</f>
        <v>0</v>
      </c>
      <c r="AA20" s="17" t="n">
        <f aca="false">IF(AND(AA$4&gt;=$G20,AA$4&lt;=$H20),IF($F20="Monthly",$E20,IF(MOD(AA$4-$G20,12)=0,$E20,0)),0)</f>
        <v>200</v>
      </c>
      <c r="AB20" s="17" t="n">
        <f aca="false">IF(AND(AB$4&gt;=$G20,AB$4&lt;=$H20),IF($F20="Monthly",$E20,IF(MOD(AB$4-$G20,12)=0,$E20,0)),0)</f>
        <v>0</v>
      </c>
      <c r="AC20" s="17" t="n">
        <f aca="false">IF(AND(AC$4&gt;=$G20,AC$4&lt;=$H20),IF($F20="Monthly",$E20,IF(MOD(AC$4-$G20,12)=0,$E20,0)),0)</f>
        <v>0</v>
      </c>
      <c r="AD20" s="17" t="n">
        <f aca="false">IF(AND(AD$4&gt;=$G20,AD$4&lt;=$H20),IF($F20="Monthly",$E20,IF(MOD(AD$4-$G20,12)=0,$E20,0)),0)</f>
        <v>0</v>
      </c>
      <c r="AE20" s="17" t="n">
        <f aca="false">IF(AND(AE$4&gt;=$G20,AE$4&lt;=$H20),IF($F20="Monthly",$E20,IF(MOD(AE$4-$G20,12)=0,$E20,0)),0)</f>
        <v>0</v>
      </c>
      <c r="AF20" s="17" t="n">
        <f aca="false">IF(AND(AF$4&gt;=$G20,AF$4&lt;=$H20),IF($F20="Monthly",$E20,IF(MOD(AF$4-$G20,12)=0,$E20,0)),0)</f>
        <v>0</v>
      </c>
      <c r="AG20" s="17" t="n">
        <f aca="false">IF(AND(AG$4&gt;=$G20,AG$4&lt;=$H20),IF($F20="Monthly",$E20,IF(MOD(AG$4-$G20,12)=0,$E20,0)),0)</f>
        <v>0</v>
      </c>
      <c r="AH20" s="17" t="n">
        <f aca="false">IF(AND(AH$4&gt;=$G20,AH$4&lt;=$H20),IF($F20="Monthly",$E20,IF(MOD(AH$4-$G20,12)=0,$E20,0)),0)</f>
        <v>0</v>
      </c>
      <c r="AI20" s="17" t="n">
        <f aca="false">IF(AND(AI$4&gt;=$G20,AI$4&lt;=$H20),IF($F20="Monthly",$E20,IF(MOD(AI$4-$G20,12)=0,$E20,0)),0)</f>
        <v>0</v>
      </c>
      <c r="AJ20" s="17" t="n">
        <f aca="false">IF(AND(AJ$4&gt;=$G20,AJ$4&lt;=$H20),IF($F20="Monthly",$E20,IF(MOD(AJ$4-$G20,12)=0,$E20,0)),0)</f>
        <v>0</v>
      </c>
      <c r="AK20" s="17" t="n">
        <f aca="false">IF(AND(AK$4&gt;=$G20,AK$4&lt;=$H20),IF($F20="Monthly",$E20,IF(MOD(AK$4-$G20,12)=0,$E20,0)),0)</f>
        <v>0</v>
      </c>
      <c r="AL20" s="17" t="n">
        <f aca="false">IF(AND(AL$4&gt;=$G20,AL$4&lt;=$H20),IF($F20="Monthly",$E20,IF(MOD(AL$4-$G20,12)=0,$E20,0)),0)</f>
        <v>0</v>
      </c>
      <c r="AM20" s="17" t="n">
        <f aca="false">IF(AND(AM$4&gt;=$G20,AM$4&lt;=$H20),IF($F20="Monthly",$E20,IF(MOD(AM$4-$G20,12)=0,$E20,0)),0)</f>
        <v>200</v>
      </c>
      <c r="AN20" s="17" t="n">
        <f aca="false">IF(AND(AN$4&gt;=$G20,AN$4&lt;=$H20),IF($F20="Monthly",$E20,IF(MOD(AN$4-$G20,12)=0,$E20,0)),0)</f>
        <v>0</v>
      </c>
      <c r="AO20" s="17" t="n">
        <f aca="false">IF(AND(AO$4&gt;=$G20,AO$4&lt;=$H20),IF($F20="Monthly",$E20,IF(MOD(AO$4-$G20,12)=0,$E20,0)),0)</f>
        <v>0</v>
      </c>
      <c r="AP20" s="17" t="n">
        <f aca="false">IF(AND(AP$4&gt;=$G20,AP$4&lt;=$H20),IF($F20="Monthly",$E20,IF(MOD(AP$4-$G20,12)=0,$E20,0)),0)</f>
        <v>0</v>
      </c>
      <c r="AQ20" s="17" t="n">
        <f aca="false">IF(AND(AQ$4&gt;=$G20,AQ$4&lt;=$H20),IF($F20="Monthly",$E20,IF(MOD(AQ$4-$G20,12)=0,$E20,0)),0)</f>
        <v>0</v>
      </c>
      <c r="AR20" s="17" t="n">
        <f aca="false">IF(AND(AR$4&gt;=$G20,AR$4&lt;=$H20),IF($F20="Monthly",$E20,IF(MOD(AR$4-$G20,12)=0,$E20,0)),0)</f>
        <v>0</v>
      </c>
      <c r="AS20" s="17" t="n">
        <f aca="false">IF(AND(AS$4&gt;=$G20,AS$4&lt;=$H20),IF($F20="Monthly",$E20,IF(MOD(AS$4-$G20,12)=0,$E20,0)),0)</f>
        <v>0</v>
      </c>
      <c r="AT20" s="17" t="n">
        <f aca="false">IF(AND(AT$4&gt;=$G20,AT$4&lt;=$H20),IF($F20="Monthly",$E20,IF(MOD(AT$4-$G20,12)=0,$E20,0)),0)</f>
        <v>0</v>
      </c>
      <c r="AU20" s="17" t="n">
        <f aca="false">IF(AND(AU$4&gt;=$G20,AU$4&lt;=$H20),IF($F20="Monthly",$E20,IF(MOD(AU$4-$G20,12)=0,$E20,0)),0)</f>
        <v>0</v>
      </c>
      <c r="AV20" s="17" t="n">
        <f aca="false">IF(AND(AV$4&gt;=$G20,AV$4&lt;=$H20),IF($F20="Monthly",$E20,IF(MOD(AV$4-$G20,12)=0,$E20,0)),0)</f>
        <v>0</v>
      </c>
      <c r="AW20" s="17" t="n">
        <f aca="false">IF(AND(AW$4&gt;=$G20,AW$4&lt;=$H20),IF($F20="Monthly",$E20,IF(MOD(AW$4-$G20,12)=0,$E20,0)),0)</f>
        <v>0</v>
      </c>
      <c r="AX20" s="17" t="n">
        <f aca="false">IF(AND(AX$4&gt;=$G20,AX$4&lt;=$H20),IF($F20="Monthly",$E20,IF(MOD(AX$4-$G20,12)=0,$E20,0)),0)</f>
        <v>0</v>
      </c>
    </row>
    <row r="21" customFormat="false" ht="15" hidden="false" customHeight="false" outlineLevel="0" collapsed="false">
      <c r="A21" s="7" t="s">
        <v>714</v>
      </c>
      <c r="B21" s="7" t="s">
        <v>712</v>
      </c>
      <c r="C21" s="26" t="n">
        <v>50</v>
      </c>
      <c r="D21" s="26" t="n">
        <v>300</v>
      </c>
      <c r="E21" s="15" t="n">
        <f aca="false">C21+Assumptions!$C$9*(D21-C21)</f>
        <v>175</v>
      </c>
      <c r="F21" s="44" t="s">
        <v>681</v>
      </c>
      <c r="G21" s="22" t="n">
        <v>1</v>
      </c>
      <c r="H21" s="22" t="n">
        <v>36</v>
      </c>
      <c r="I21" s="17" t="n">
        <f aca="false">SUMIF($O$3:$AX$3,1,O21:AX21)</f>
        <v>175</v>
      </c>
      <c r="J21" s="17" t="n">
        <f aca="false">SUMIF($O$3:$AX$3,2,O21:AX21)</f>
        <v>175</v>
      </c>
      <c r="K21" s="17" t="n">
        <f aca="false">SUMIF($O$3:$AX$3,3,O21:AX21)</f>
        <v>175</v>
      </c>
      <c r="L21" s="7" t="s">
        <v>715</v>
      </c>
      <c r="M21" s="7" t="s">
        <v>87</v>
      </c>
      <c r="O21" s="17" t="n">
        <f aca="false">IF(AND(O$4&gt;=$G21,O$4&lt;=$H21),IF($F21="Monthly",$E21,IF(MOD(O$4-$G21,12)=0,$E21,0)),0)</f>
        <v>175</v>
      </c>
      <c r="P21" s="17" t="n">
        <f aca="false">IF(AND(P$4&gt;=$G21,P$4&lt;=$H21),IF($F21="Monthly",$E21,IF(MOD(P$4-$G21,12)=0,$E21,0)),0)</f>
        <v>0</v>
      </c>
      <c r="Q21" s="17" t="n">
        <f aca="false">IF(AND(Q$4&gt;=$G21,Q$4&lt;=$H21),IF($F21="Monthly",$E21,IF(MOD(Q$4-$G21,12)=0,$E21,0)),0)</f>
        <v>0</v>
      </c>
      <c r="R21" s="17" t="n">
        <f aca="false">IF(AND(R$4&gt;=$G21,R$4&lt;=$H21),IF($F21="Monthly",$E21,IF(MOD(R$4-$G21,12)=0,$E21,0)),0)</f>
        <v>0</v>
      </c>
      <c r="S21" s="17" t="n">
        <f aca="false">IF(AND(S$4&gt;=$G21,S$4&lt;=$H21),IF($F21="Monthly",$E21,IF(MOD(S$4-$G21,12)=0,$E21,0)),0)</f>
        <v>0</v>
      </c>
      <c r="T21" s="17" t="n">
        <f aca="false">IF(AND(T$4&gt;=$G21,T$4&lt;=$H21),IF($F21="Monthly",$E21,IF(MOD(T$4-$G21,12)=0,$E21,0)),0)</f>
        <v>0</v>
      </c>
      <c r="U21" s="17" t="n">
        <f aca="false">IF(AND(U$4&gt;=$G21,U$4&lt;=$H21),IF($F21="Monthly",$E21,IF(MOD(U$4-$G21,12)=0,$E21,0)),0)</f>
        <v>0</v>
      </c>
      <c r="V21" s="17" t="n">
        <f aca="false">IF(AND(V$4&gt;=$G21,V$4&lt;=$H21),IF($F21="Monthly",$E21,IF(MOD(V$4-$G21,12)=0,$E21,0)),0)</f>
        <v>0</v>
      </c>
      <c r="W21" s="17" t="n">
        <f aca="false">IF(AND(W$4&gt;=$G21,W$4&lt;=$H21),IF($F21="Monthly",$E21,IF(MOD(W$4-$G21,12)=0,$E21,0)),0)</f>
        <v>0</v>
      </c>
      <c r="X21" s="17" t="n">
        <f aca="false">IF(AND(X$4&gt;=$G21,X$4&lt;=$H21),IF($F21="Monthly",$E21,IF(MOD(X$4-$G21,12)=0,$E21,0)),0)</f>
        <v>0</v>
      </c>
      <c r="Y21" s="17" t="n">
        <f aca="false">IF(AND(Y$4&gt;=$G21,Y$4&lt;=$H21),IF($F21="Monthly",$E21,IF(MOD(Y$4-$G21,12)=0,$E21,0)),0)</f>
        <v>0</v>
      </c>
      <c r="Z21" s="17" t="n">
        <f aca="false">IF(AND(Z$4&gt;=$G21,Z$4&lt;=$H21),IF($F21="Monthly",$E21,IF(MOD(Z$4-$G21,12)=0,$E21,0)),0)</f>
        <v>0</v>
      </c>
      <c r="AA21" s="17" t="n">
        <f aca="false">IF(AND(AA$4&gt;=$G21,AA$4&lt;=$H21),IF($F21="Monthly",$E21,IF(MOD(AA$4-$G21,12)=0,$E21,0)),0)</f>
        <v>175</v>
      </c>
      <c r="AB21" s="17" t="n">
        <f aca="false">IF(AND(AB$4&gt;=$G21,AB$4&lt;=$H21),IF($F21="Monthly",$E21,IF(MOD(AB$4-$G21,12)=0,$E21,0)),0)</f>
        <v>0</v>
      </c>
      <c r="AC21" s="17" t="n">
        <f aca="false">IF(AND(AC$4&gt;=$G21,AC$4&lt;=$H21),IF($F21="Monthly",$E21,IF(MOD(AC$4-$G21,12)=0,$E21,0)),0)</f>
        <v>0</v>
      </c>
      <c r="AD21" s="17" t="n">
        <f aca="false">IF(AND(AD$4&gt;=$G21,AD$4&lt;=$H21),IF($F21="Monthly",$E21,IF(MOD(AD$4-$G21,12)=0,$E21,0)),0)</f>
        <v>0</v>
      </c>
      <c r="AE21" s="17" t="n">
        <f aca="false">IF(AND(AE$4&gt;=$G21,AE$4&lt;=$H21),IF($F21="Monthly",$E21,IF(MOD(AE$4-$G21,12)=0,$E21,0)),0)</f>
        <v>0</v>
      </c>
      <c r="AF21" s="17" t="n">
        <f aca="false">IF(AND(AF$4&gt;=$G21,AF$4&lt;=$H21),IF($F21="Monthly",$E21,IF(MOD(AF$4-$G21,12)=0,$E21,0)),0)</f>
        <v>0</v>
      </c>
      <c r="AG21" s="17" t="n">
        <f aca="false">IF(AND(AG$4&gt;=$G21,AG$4&lt;=$H21),IF($F21="Monthly",$E21,IF(MOD(AG$4-$G21,12)=0,$E21,0)),0)</f>
        <v>0</v>
      </c>
      <c r="AH21" s="17" t="n">
        <f aca="false">IF(AND(AH$4&gt;=$G21,AH$4&lt;=$H21),IF($F21="Monthly",$E21,IF(MOD(AH$4-$G21,12)=0,$E21,0)),0)</f>
        <v>0</v>
      </c>
      <c r="AI21" s="17" t="n">
        <f aca="false">IF(AND(AI$4&gt;=$G21,AI$4&lt;=$H21),IF($F21="Monthly",$E21,IF(MOD(AI$4-$G21,12)=0,$E21,0)),0)</f>
        <v>0</v>
      </c>
      <c r="AJ21" s="17" t="n">
        <f aca="false">IF(AND(AJ$4&gt;=$G21,AJ$4&lt;=$H21),IF($F21="Monthly",$E21,IF(MOD(AJ$4-$G21,12)=0,$E21,0)),0)</f>
        <v>0</v>
      </c>
      <c r="AK21" s="17" t="n">
        <f aca="false">IF(AND(AK$4&gt;=$G21,AK$4&lt;=$H21),IF($F21="Monthly",$E21,IF(MOD(AK$4-$G21,12)=0,$E21,0)),0)</f>
        <v>0</v>
      </c>
      <c r="AL21" s="17" t="n">
        <f aca="false">IF(AND(AL$4&gt;=$G21,AL$4&lt;=$H21),IF($F21="Monthly",$E21,IF(MOD(AL$4-$G21,12)=0,$E21,0)),0)</f>
        <v>0</v>
      </c>
      <c r="AM21" s="17" t="n">
        <f aca="false">IF(AND(AM$4&gt;=$G21,AM$4&lt;=$H21),IF($F21="Monthly",$E21,IF(MOD(AM$4-$G21,12)=0,$E21,0)),0)</f>
        <v>175</v>
      </c>
      <c r="AN21" s="17" t="n">
        <f aca="false">IF(AND(AN$4&gt;=$G21,AN$4&lt;=$H21),IF($F21="Monthly",$E21,IF(MOD(AN$4-$G21,12)=0,$E21,0)),0)</f>
        <v>0</v>
      </c>
      <c r="AO21" s="17" t="n">
        <f aca="false">IF(AND(AO$4&gt;=$G21,AO$4&lt;=$H21),IF($F21="Monthly",$E21,IF(MOD(AO$4-$G21,12)=0,$E21,0)),0)</f>
        <v>0</v>
      </c>
      <c r="AP21" s="17" t="n">
        <f aca="false">IF(AND(AP$4&gt;=$G21,AP$4&lt;=$H21),IF($F21="Monthly",$E21,IF(MOD(AP$4-$G21,12)=0,$E21,0)),0)</f>
        <v>0</v>
      </c>
      <c r="AQ21" s="17" t="n">
        <f aca="false">IF(AND(AQ$4&gt;=$G21,AQ$4&lt;=$H21),IF($F21="Monthly",$E21,IF(MOD(AQ$4-$G21,12)=0,$E21,0)),0)</f>
        <v>0</v>
      </c>
      <c r="AR21" s="17" t="n">
        <f aca="false">IF(AND(AR$4&gt;=$G21,AR$4&lt;=$H21),IF($F21="Monthly",$E21,IF(MOD(AR$4-$G21,12)=0,$E21,0)),0)</f>
        <v>0</v>
      </c>
      <c r="AS21" s="17" t="n">
        <f aca="false">IF(AND(AS$4&gt;=$G21,AS$4&lt;=$H21),IF($F21="Monthly",$E21,IF(MOD(AS$4-$G21,12)=0,$E21,0)),0)</f>
        <v>0</v>
      </c>
      <c r="AT21" s="17" t="n">
        <f aca="false">IF(AND(AT$4&gt;=$G21,AT$4&lt;=$H21),IF($F21="Monthly",$E21,IF(MOD(AT$4-$G21,12)=0,$E21,0)),0)</f>
        <v>0</v>
      </c>
      <c r="AU21" s="17" t="n">
        <f aca="false">IF(AND(AU$4&gt;=$G21,AU$4&lt;=$H21),IF($F21="Monthly",$E21,IF(MOD(AU$4-$G21,12)=0,$E21,0)),0)</f>
        <v>0</v>
      </c>
      <c r="AV21" s="17" t="n">
        <f aca="false">IF(AND(AV$4&gt;=$G21,AV$4&lt;=$H21),IF($F21="Monthly",$E21,IF(MOD(AV$4-$G21,12)=0,$E21,0)),0)</f>
        <v>0</v>
      </c>
      <c r="AW21" s="17" t="n">
        <f aca="false">IF(AND(AW$4&gt;=$G21,AW$4&lt;=$H21),IF($F21="Monthly",$E21,IF(MOD(AW$4-$G21,12)=0,$E21,0)),0)</f>
        <v>0</v>
      </c>
      <c r="AX21" s="17" t="n">
        <f aca="false">IF(AND(AX$4&gt;=$G21,AX$4&lt;=$H21),IF($F21="Monthly",$E21,IF(MOD(AX$4-$G21,12)=0,$E21,0)),0)</f>
        <v>0</v>
      </c>
    </row>
    <row r="22" customFormat="false" ht="15" hidden="false" customHeight="false" outlineLevel="0" collapsed="false">
      <c r="A22" s="7" t="s">
        <v>716</v>
      </c>
      <c r="B22" s="7" t="s">
        <v>712</v>
      </c>
      <c r="C22" s="26" t="n">
        <v>300</v>
      </c>
      <c r="D22" s="26" t="n">
        <v>300</v>
      </c>
      <c r="E22" s="15" t="n">
        <f aca="false">C22+Assumptions!$C$9*(D22-C22)</f>
        <v>300</v>
      </c>
      <c r="F22" s="44" t="s">
        <v>681</v>
      </c>
      <c r="G22" s="22" t="n">
        <v>7</v>
      </c>
      <c r="H22" s="22" t="n">
        <v>36</v>
      </c>
      <c r="I22" s="17" t="n">
        <f aca="false">SUMIF($O$3:$AX$3,1,O22:AX22)</f>
        <v>300</v>
      </c>
      <c r="J22" s="17" t="n">
        <f aca="false">SUMIF($O$3:$AX$3,2,O22:AX22)</f>
        <v>300</v>
      </c>
      <c r="K22" s="17" t="n">
        <f aca="false">SUMIF($O$3:$AX$3,3,O22:AX22)</f>
        <v>300</v>
      </c>
      <c r="L22" s="7" t="s">
        <v>717</v>
      </c>
      <c r="M22" s="7" t="s">
        <v>73</v>
      </c>
      <c r="O22" s="17" t="n">
        <f aca="false">IF(AND(O$4&gt;=$G22,O$4&lt;=$H22),IF($F22="Monthly",$E22,IF(MOD(O$4-$G22,12)=0,$E22,0)),0)</f>
        <v>0</v>
      </c>
      <c r="P22" s="17" t="n">
        <f aca="false">IF(AND(P$4&gt;=$G22,P$4&lt;=$H22),IF($F22="Monthly",$E22,IF(MOD(P$4-$G22,12)=0,$E22,0)),0)</f>
        <v>0</v>
      </c>
      <c r="Q22" s="17" t="n">
        <f aca="false">IF(AND(Q$4&gt;=$G22,Q$4&lt;=$H22),IF($F22="Monthly",$E22,IF(MOD(Q$4-$G22,12)=0,$E22,0)),0)</f>
        <v>0</v>
      </c>
      <c r="R22" s="17" t="n">
        <f aca="false">IF(AND(R$4&gt;=$G22,R$4&lt;=$H22),IF($F22="Monthly",$E22,IF(MOD(R$4-$G22,12)=0,$E22,0)),0)</f>
        <v>0</v>
      </c>
      <c r="S22" s="17" t="n">
        <f aca="false">IF(AND(S$4&gt;=$G22,S$4&lt;=$H22),IF($F22="Monthly",$E22,IF(MOD(S$4-$G22,12)=0,$E22,0)),0)</f>
        <v>0</v>
      </c>
      <c r="T22" s="17" t="n">
        <f aca="false">IF(AND(T$4&gt;=$G22,T$4&lt;=$H22),IF($F22="Monthly",$E22,IF(MOD(T$4-$G22,12)=0,$E22,0)),0)</f>
        <v>0</v>
      </c>
      <c r="U22" s="17" t="n">
        <f aca="false">IF(AND(U$4&gt;=$G22,U$4&lt;=$H22),IF($F22="Monthly",$E22,IF(MOD(U$4-$G22,12)=0,$E22,0)),0)</f>
        <v>300</v>
      </c>
      <c r="V22" s="17" t="n">
        <f aca="false">IF(AND(V$4&gt;=$G22,V$4&lt;=$H22),IF($F22="Monthly",$E22,IF(MOD(V$4-$G22,12)=0,$E22,0)),0)</f>
        <v>0</v>
      </c>
      <c r="W22" s="17" t="n">
        <f aca="false">IF(AND(W$4&gt;=$G22,W$4&lt;=$H22),IF($F22="Monthly",$E22,IF(MOD(W$4-$G22,12)=0,$E22,0)),0)</f>
        <v>0</v>
      </c>
      <c r="X22" s="17" t="n">
        <f aca="false">IF(AND(X$4&gt;=$G22,X$4&lt;=$H22),IF($F22="Monthly",$E22,IF(MOD(X$4-$G22,12)=0,$E22,0)),0)</f>
        <v>0</v>
      </c>
      <c r="Y22" s="17" t="n">
        <f aca="false">IF(AND(Y$4&gt;=$G22,Y$4&lt;=$H22),IF($F22="Monthly",$E22,IF(MOD(Y$4-$G22,12)=0,$E22,0)),0)</f>
        <v>0</v>
      </c>
      <c r="Z22" s="17" t="n">
        <f aca="false">IF(AND(Z$4&gt;=$G22,Z$4&lt;=$H22),IF($F22="Monthly",$E22,IF(MOD(Z$4-$G22,12)=0,$E22,0)),0)</f>
        <v>0</v>
      </c>
      <c r="AA22" s="17" t="n">
        <f aca="false">IF(AND(AA$4&gt;=$G22,AA$4&lt;=$H22),IF($F22="Monthly",$E22,IF(MOD(AA$4-$G22,12)=0,$E22,0)),0)</f>
        <v>0</v>
      </c>
      <c r="AB22" s="17" t="n">
        <f aca="false">IF(AND(AB$4&gt;=$G22,AB$4&lt;=$H22),IF($F22="Monthly",$E22,IF(MOD(AB$4-$G22,12)=0,$E22,0)),0)</f>
        <v>0</v>
      </c>
      <c r="AC22" s="17" t="n">
        <f aca="false">IF(AND(AC$4&gt;=$G22,AC$4&lt;=$H22),IF($F22="Monthly",$E22,IF(MOD(AC$4-$G22,12)=0,$E22,0)),0)</f>
        <v>0</v>
      </c>
      <c r="AD22" s="17" t="n">
        <f aca="false">IF(AND(AD$4&gt;=$G22,AD$4&lt;=$H22),IF($F22="Monthly",$E22,IF(MOD(AD$4-$G22,12)=0,$E22,0)),0)</f>
        <v>0</v>
      </c>
      <c r="AE22" s="17" t="n">
        <f aca="false">IF(AND(AE$4&gt;=$G22,AE$4&lt;=$H22),IF($F22="Monthly",$E22,IF(MOD(AE$4-$G22,12)=0,$E22,0)),0)</f>
        <v>0</v>
      </c>
      <c r="AF22" s="17" t="n">
        <f aca="false">IF(AND(AF$4&gt;=$G22,AF$4&lt;=$H22),IF($F22="Monthly",$E22,IF(MOD(AF$4-$G22,12)=0,$E22,0)),0)</f>
        <v>0</v>
      </c>
      <c r="AG22" s="17" t="n">
        <f aca="false">IF(AND(AG$4&gt;=$G22,AG$4&lt;=$H22),IF($F22="Monthly",$E22,IF(MOD(AG$4-$G22,12)=0,$E22,0)),0)</f>
        <v>300</v>
      </c>
      <c r="AH22" s="17" t="n">
        <f aca="false">IF(AND(AH$4&gt;=$G22,AH$4&lt;=$H22),IF($F22="Monthly",$E22,IF(MOD(AH$4-$G22,12)=0,$E22,0)),0)</f>
        <v>0</v>
      </c>
      <c r="AI22" s="17" t="n">
        <f aca="false">IF(AND(AI$4&gt;=$G22,AI$4&lt;=$H22),IF($F22="Monthly",$E22,IF(MOD(AI$4-$G22,12)=0,$E22,0)),0)</f>
        <v>0</v>
      </c>
      <c r="AJ22" s="17" t="n">
        <f aca="false">IF(AND(AJ$4&gt;=$G22,AJ$4&lt;=$H22),IF($F22="Monthly",$E22,IF(MOD(AJ$4-$G22,12)=0,$E22,0)),0)</f>
        <v>0</v>
      </c>
      <c r="AK22" s="17" t="n">
        <f aca="false">IF(AND(AK$4&gt;=$G22,AK$4&lt;=$H22),IF($F22="Monthly",$E22,IF(MOD(AK$4-$G22,12)=0,$E22,0)),0)</f>
        <v>0</v>
      </c>
      <c r="AL22" s="17" t="n">
        <f aca="false">IF(AND(AL$4&gt;=$G22,AL$4&lt;=$H22),IF($F22="Monthly",$E22,IF(MOD(AL$4-$G22,12)=0,$E22,0)),0)</f>
        <v>0</v>
      </c>
      <c r="AM22" s="17" t="n">
        <f aca="false">IF(AND(AM$4&gt;=$G22,AM$4&lt;=$H22),IF($F22="Monthly",$E22,IF(MOD(AM$4-$G22,12)=0,$E22,0)),0)</f>
        <v>0</v>
      </c>
      <c r="AN22" s="17" t="n">
        <f aca="false">IF(AND(AN$4&gt;=$G22,AN$4&lt;=$H22),IF($F22="Monthly",$E22,IF(MOD(AN$4-$G22,12)=0,$E22,0)),0)</f>
        <v>0</v>
      </c>
      <c r="AO22" s="17" t="n">
        <f aca="false">IF(AND(AO$4&gt;=$G22,AO$4&lt;=$H22),IF($F22="Monthly",$E22,IF(MOD(AO$4-$G22,12)=0,$E22,0)),0)</f>
        <v>0</v>
      </c>
      <c r="AP22" s="17" t="n">
        <f aca="false">IF(AND(AP$4&gt;=$G22,AP$4&lt;=$H22),IF($F22="Monthly",$E22,IF(MOD(AP$4-$G22,12)=0,$E22,0)),0)</f>
        <v>0</v>
      </c>
      <c r="AQ22" s="17" t="n">
        <f aca="false">IF(AND(AQ$4&gt;=$G22,AQ$4&lt;=$H22),IF($F22="Monthly",$E22,IF(MOD(AQ$4-$G22,12)=0,$E22,0)),0)</f>
        <v>0</v>
      </c>
      <c r="AR22" s="17" t="n">
        <f aca="false">IF(AND(AR$4&gt;=$G22,AR$4&lt;=$H22),IF($F22="Monthly",$E22,IF(MOD(AR$4-$G22,12)=0,$E22,0)),0)</f>
        <v>0</v>
      </c>
      <c r="AS22" s="17" t="n">
        <f aca="false">IF(AND(AS$4&gt;=$G22,AS$4&lt;=$H22),IF($F22="Monthly",$E22,IF(MOD(AS$4-$G22,12)=0,$E22,0)),0)</f>
        <v>300</v>
      </c>
      <c r="AT22" s="17" t="n">
        <f aca="false">IF(AND(AT$4&gt;=$G22,AT$4&lt;=$H22),IF($F22="Monthly",$E22,IF(MOD(AT$4-$G22,12)=0,$E22,0)),0)</f>
        <v>0</v>
      </c>
      <c r="AU22" s="17" t="n">
        <f aca="false">IF(AND(AU$4&gt;=$G22,AU$4&lt;=$H22),IF($F22="Monthly",$E22,IF(MOD(AU$4-$G22,12)=0,$E22,0)),0)</f>
        <v>0</v>
      </c>
      <c r="AV22" s="17" t="n">
        <f aca="false">IF(AND(AV$4&gt;=$G22,AV$4&lt;=$H22),IF($F22="Monthly",$E22,IF(MOD(AV$4-$G22,12)=0,$E22,0)),0)</f>
        <v>0</v>
      </c>
      <c r="AW22" s="17" t="n">
        <f aca="false">IF(AND(AW$4&gt;=$G22,AW$4&lt;=$H22),IF($F22="Monthly",$E22,IF(MOD(AW$4-$G22,12)=0,$E22,0)),0)</f>
        <v>0</v>
      </c>
      <c r="AX22" s="17" t="n">
        <f aca="false">IF(AND(AX$4&gt;=$G22,AX$4&lt;=$H22),IF($F22="Monthly",$E22,IF(MOD(AX$4-$G22,12)=0,$E22,0)),0)</f>
        <v>0</v>
      </c>
    </row>
    <row r="23" customFormat="false" ht="15" hidden="false" customHeight="false" outlineLevel="0" collapsed="false">
      <c r="A23" s="7" t="s">
        <v>718</v>
      </c>
      <c r="B23" s="7" t="s">
        <v>719</v>
      </c>
      <c r="C23" s="26" t="n">
        <v>45.17</v>
      </c>
      <c r="D23" s="26" t="n">
        <v>125</v>
      </c>
      <c r="E23" s="15" t="n">
        <f aca="false">C23+Assumptions!$C$9*(D23-C23)</f>
        <v>85.085</v>
      </c>
      <c r="F23" s="44" t="s">
        <v>675</v>
      </c>
      <c r="G23" s="22" t="n">
        <v>1</v>
      </c>
      <c r="H23" s="22" t="n">
        <v>36</v>
      </c>
      <c r="I23" s="17" t="n">
        <f aca="false">SUMIF($O$3:$AX$3,1,O23:AX23)</f>
        <v>1021.02</v>
      </c>
      <c r="J23" s="17" t="n">
        <f aca="false">SUMIF($O$3:$AX$3,2,O23:AX23)</f>
        <v>1021.02</v>
      </c>
      <c r="K23" s="17" t="n">
        <f aca="false">SUMIF($O$3:$AX$3,3,O23:AX23)</f>
        <v>1021.02</v>
      </c>
      <c r="L23" s="7" t="s">
        <v>720</v>
      </c>
      <c r="M23" s="7" t="s">
        <v>87</v>
      </c>
      <c r="O23" s="17" t="n">
        <f aca="false">IF(AND(O$4&gt;=$G23,O$4&lt;=$H23),IF($F23="Monthly",$E23,IF(MOD(O$4-$G23,12)=0,$E23,0)),0)</f>
        <v>85.085</v>
      </c>
      <c r="P23" s="17" t="n">
        <f aca="false">IF(AND(P$4&gt;=$G23,P$4&lt;=$H23),IF($F23="Monthly",$E23,IF(MOD(P$4-$G23,12)=0,$E23,0)),0)</f>
        <v>85.085</v>
      </c>
      <c r="Q23" s="17" t="n">
        <f aca="false">IF(AND(Q$4&gt;=$G23,Q$4&lt;=$H23),IF($F23="Monthly",$E23,IF(MOD(Q$4-$G23,12)=0,$E23,0)),0)</f>
        <v>85.085</v>
      </c>
      <c r="R23" s="17" t="n">
        <f aca="false">IF(AND(R$4&gt;=$G23,R$4&lt;=$H23),IF($F23="Monthly",$E23,IF(MOD(R$4-$G23,12)=0,$E23,0)),0)</f>
        <v>85.085</v>
      </c>
      <c r="S23" s="17" t="n">
        <f aca="false">IF(AND(S$4&gt;=$G23,S$4&lt;=$H23),IF($F23="Monthly",$E23,IF(MOD(S$4-$G23,12)=0,$E23,0)),0)</f>
        <v>85.085</v>
      </c>
      <c r="T23" s="17" t="n">
        <f aca="false">IF(AND(T$4&gt;=$G23,T$4&lt;=$H23),IF($F23="Monthly",$E23,IF(MOD(T$4-$G23,12)=0,$E23,0)),0)</f>
        <v>85.085</v>
      </c>
      <c r="U23" s="17" t="n">
        <f aca="false">IF(AND(U$4&gt;=$G23,U$4&lt;=$H23),IF($F23="Monthly",$E23,IF(MOD(U$4-$G23,12)=0,$E23,0)),0)</f>
        <v>85.085</v>
      </c>
      <c r="V23" s="17" t="n">
        <f aca="false">IF(AND(V$4&gt;=$G23,V$4&lt;=$H23),IF($F23="Monthly",$E23,IF(MOD(V$4-$G23,12)=0,$E23,0)),0)</f>
        <v>85.085</v>
      </c>
      <c r="W23" s="17" t="n">
        <f aca="false">IF(AND(W$4&gt;=$G23,W$4&lt;=$H23),IF($F23="Monthly",$E23,IF(MOD(W$4-$G23,12)=0,$E23,0)),0)</f>
        <v>85.085</v>
      </c>
      <c r="X23" s="17" t="n">
        <f aca="false">IF(AND(X$4&gt;=$G23,X$4&lt;=$H23),IF($F23="Monthly",$E23,IF(MOD(X$4-$G23,12)=0,$E23,0)),0)</f>
        <v>85.085</v>
      </c>
      <c r="Y23" s="17" t="n">
        <f aca="false">IF(AND(Y$4&gt;=$G23,Y$4&lt;=$H23),IF($F23="Monthly",$E23,IF(MOD(Y$4-$G23,12)=0,$E23,0)),0)</f>
        <v>85.085</v>
      </c>
      <c r="Z23" s="17" t="n">
        <f aca="false">IF(AND(Z$4&gt;=$G23,Z$4&lt;=$H23),IF($F23="Monthly",$E23,IF(MOD(Z$4-$G23,12)=0,$E23,0)),0)</f>
        <v>85.085</v>
      </c>
      <c r="AA23" s="17" t="n">
        <f aca="false">IF(AND(AA$4&gt;=$G23,AA$4&lt;=$H23),IF($F23="Monthly",$E23,IF(MOD(AA$4-$G23,12)=0,$E23,0)),0)</f>
        <v>85.085</v>
      </c>
      <c r="AB23" s="17" t="n">
        <f aca="false">IF(AND(AB$4&gt;=$G23,AB$4&lt;=$H23),IF($F23="Monthly",$E23,IF(MOD(AB$4-$G23,12)=0,$E23,0)),0)</f>
        <v>85.085</v>
      </c>
      <c r="AC23" s="17" t="n">
        <f aca="false">IF(AND(AC$4&gt;=$G23,AC$4&lt;=$H23),IF($F23="Monthly",$E23,IF(MOD(AC$4-$G23,12)=0,$E23,0)),0)</f>
        <v>85.085</v>
      </c>
      <c r="AD23" s="17" t="n">
        <f aca="false">IF(AND(AD$4&gt;=$G23,AD$4&lt;=$H23),IF($F23="Monthly",$E23,IF(MOD(AD$4-$G23,12)=0,$E23,0)),0)</f>
        <v>85.085</v>
      </c>
      <c r="AE23" s="17" t="n">
        <f aca="false">IF(AND(AE$4&gt;=$G23,AE$4&lt;=$H23),IF($F23="Monthly",$E23,IF(MOD(AE$4-$G23,12)=0,$E23,0)),0)</f>
        <v>85.085</v>
      </c>
      <c r="AF23" s="17" t="n">
        <f aca="false">IF(AND(AF$4&gt;=$G23,AF$4&lt;=$H23),IF($F23="Monthly",$E23,IF(MOD(AF$4-$G23,12)=0,$E23,0)),0)</f>
        <v>85.085</v>
      </c>
      <c r="AG23" s="17" t="n">
        <f aca="false">IF(AND(AG$4&gt;=$G23,AG$4&lt;=$H23),IF($F23="Monthly",$E23,IF(MOD(AG$4-$G23,12)=0,$E23,0)),0)</f>
        <v>85.085</v>
      </c>
      <c r="AH23" s="17" t="n">
        <f aca="false">IF(AND(AH$4&gt;=$G23,AH$4&lt;=$H23),IF($F23="Monthly",$E23,IF(MOD(AH$4-$G23,12)=0,$E23,0)),0)</f>
        <v>85.085</v>
      </c>
      <c r="AI23" s="17" t="n">
        <f aca="false">IF(AND(AI$4&gt;=$G23,AI$4&lt;=$H23),IF($F23="Monthly",$E23,IF(MOD(AI$4-$G23,12)=0,$E23,0)),0)</f>
        <v>85.085</v>
      </c>
      <c r="AJ23" s="17" t="n">
        <f aca="false">IF(AND(AJ$4&gt;=$G23,AJ$4&lt;=$H23),IF($F23="Monthly",$E23,IF(MOD(AJ$4-$G23,12)=0,$E23,0)),0)</f>
        <v>85.085</v>
      </c>
      <c r="AK23" s="17" t="n">
        <f aca="false">IF(AND(AK$4&gt;=$G23,AK$4&lt;=$H23),IF($F23="Monthly",$E23,IF(MOD(AK$4-$G23,12)=0,$E23,0)),0)</f>
        <v>85.085</v>
      </c>
      <c r="AL23" s="17" t="n">
        <f aca="false">IF(AND(AL$4&gt;=$G23,AL$4&lt;=$H23),IF($F23="Monthly",$E23,IF(MOD(AL$4-$G23,12)=0,$E23,0)),0)</f>
        <v>85.085</v>
      </c>
      <c r="AM23" s="17" t="n">
        <f aca="false">IF(AND(AM$4&gt;=$G23,AM$4&lt;=$H23),IF($F23="Monthly",$E23,IF(MOD(AM$4-$G23,12)=0,$E23,0)),0)</f>
        <v>85.085</v>
      </c>
      <c r="AN23" s="17" t="n">
        <f aca="false">IF(AND(AN$4&gt;=$G23,AN$4&lt;=$H23),IF($F23="Monthly",$E23,IF(MOD(AN$4-$G23,12)=0,$E23,0)),0)</f>
        <v>85.085</v>
      </c>
      <c r="AO23" s="17" t="n">
        <f aca="false">IF(AND(AO$4&gt;=$G23,AO$4&lt;=$H23),IF($F23="Monthly",$E23,IF(MOD(AO$4-$G23,12)=0,$E23,0)),0)</f>
        <v>85.085</v>
      </c>
      <c r="AP23" s="17" t="n">
        <f aca="false">IF(AND(AP$4&gt;=$G23,AP$4&lt;=$H23),IF($F23="Monthly",$E23,IF(MOD(AP$4-$G23,12)=0,$E23,0)),0)</f>
        <v>85.085</v>
      </c>
      <c r="AQ23" s="17" t="n">
        <f aca="false">IF(AND(AQ$4&gt;=$G23,AQ$4&lt;=$H23),IF($F23="Monthly",$E23,IF(MOD(AQ$4-$G23,12)=0,$E23,0)),0)</f>
        <v>85.085</v>
      </c>
      <c r="AR23" s="17" t="n">
        <f aca="false">IF(AND(AR$4&gt;=$G23,AR$4&lt;=$H23),IF($F23="Monthly",$E23,IF(MOD(AR$4-$G23,12)=0,$E23,0)),0)</f>
        <v>85.085</v>
      </c>
      <c r="AS23" s="17" t="n">
        <f aca="false">IF(AND(AS$4&gt;=$G23,AS$4&lt;=$H23),IF($F23="Monthly",$E23,IF(MOD(AS$4-$G23,12)=0,$E23,0)),0)</f>
        <v>85.085</v>
      </c>
      <c r="AT23" s="17" t="n">
        <f aca="false">IF(AND(AT$4&gt;=$G23,AT$4&lt;=$H23),IF($F23="Monthly",$E23,IF(MOD(AT$4-$G23,12)=0,$E23,0)),0)</f>
        <v>85.085</v>
      </c>
      <c r="AU23" s="17" t="n">
        <f aca="false">IF(AND(AU$4&gt;=$G23,AU$4&lt;=$H23),IF($F23="Monthly",$E23,IF(MOD(AU$4-$G23,12)=0,$E23,0)),0)</f>
        <v>85.085</v>
      </c>
      <c r="AV23" s="17" t="n">
        <f aca="false">IF(AND(AV$4&gt;=$G23,AV$4&lt;=$H23),IF($F23="Monthly",$E23,IF(MOD(AV$4-$G23,12)=0,$E23,0)),0)</f>
        <v>85.085</v>
      </c>
      <c r="AW23" s="17" t="n">
        <f aca="false">IF(AND(AW$4&gt;=$G23,AW$4&lt;=$H23),IF($F23="Monthly",$E23,IF(MOD(AW$4-$G23,12)=0,$E23,0)),0)</f>
        <v>85.085</v>
      </c>
      <c r="AX23" s="17" t="n">
        <f aca="false">IF(AND(AX$4&gt;=$G23,AX$4&lt;=$H23),IF($F23="Monthly",$E23,IF(MOD(AX$4-$G23,12)=0,$E23,0)),0)</f>
        <v>85.085</v>
      </c>
    </row>
    <row r="24" customFormat="false" ht="15" hidden="false" customHeight="false" outlineLevel="0" collapsed="false">
      <c r="A24" s="7" t="s">
        <v>721</v>
      </c>
      <c r="B24" s="7" t="s">
        <v>719</v>
      </c>
      <c r="C24" s="26" t="n">
        <v>62</v>
      </c>
      <c r="D24" s="26" t="n">
        <v>125</v>
      </c>
      <c r="E24" s="15" t="n">
        <f aca="false">C24+Assumptions!$C$9*(D24-C24)</f>
        <v>93.5</v>
      </c>
      <c r="F24" s="44" t="s">
        <v>675</v>
      </c>
      <c r="G24" s="22" t="n">
        <v>1</v>
      </c>
      <c r="H24" s="22" t="n">
        <v>36</v>
      </c>
      <c r="I24" s="17" t="n">
        <f aca="false">SUMIF($O$3:$AX$3,1,O24:AX24)</f>
        <v>1122</v>
      </c>
      <c r="J24" s="17" t="n">
        <f aca="false">SUMIF($O$3:$AX$3,2,O24:AX24)</f>
        <v>1122</v>
      </c>
      <c r="K24" s="17" t="n">
        <f aca="false">SUMIF($O$3:$AX$3,3,O24:AX24)</f>
        <v>1122</v>
      </c>
      <c r="L24" s="7" t="s">
        <v>722</v>
      </c>
      <c r="M24" s="7" t="s">
        <v>87</v>
      </c>
      <c r="O24" s="17" t="n">
        <f aca="false">IF(AND(O$4&gt;=$G24,O$4&lt;=$H24),IF($F24="Monthly",$E24,IF(MOD(O$4-$G24,12)=0,$E24,0)),0)</f>
        <v>93.5</v>
      </c>
      <c r="P24" s="17" t="n">
        <f aca="false">IF(AND(P$4&gt;=$G24,P$4&lt;=$H24),IF($F24="Monthly",$E24,IF(MOD(P$4-$G24,12)=0,$E24,0)),0)</f>
        <v>93.5</v>
      </c>
      <c r="Q24" s="17" t="n">
        <f aca="false">IF(AND(Q$4&gt;=$G24,Q$4&lt;=$H24),IF($F24="Monthly",$E24,IF(MOD(Q$4-$G24,12)=0,$E24,0)),0)</f>
        <v>93.5</v>
      </c>
      <c r="R24" s="17" t="n">
        <f aca="false">IF(AND(R$4&gt;=$G24,R$4&lt;=$H24),IF($F24="Monthly",$E24,IF(MOD(R$4-$G24,12)=0,$E24,0)),0)</f>
        <v>93.5</v>
      </c>
      <c r="S24" s="17" t="n">
        <f aca="false">IF(AND(S$4&gt;=$G24,S$4&lt;=$H24),IF($F24="Monthly",$E24,IF(MOD(S$4-$G24,12)=0,$E24,0)),0)</f>
        <v>93.5</v>
      </c>
      <c r="T24" s="17" t="n">
        <f aca="false">IF(AND(T$4&gt;=$G24,T$4&lt;=$H24),IF($F24="Monthly",$E24,IF(MOD(T$4-$G24,12)=0,$E24,0)),0)</f>
        <v>93.5</v>
      </c>
      <c r="U24" s="17" t="n">
        <f aca="false">IF(AND(U$4&gt;=$G24,U$4&lt;=$H24),IF($F24="Monthly",$E24,IF(MOD(U$4-$G24,12)=0,$E24,0)),0)</f>
        <v>93.5</v>
      </c>
      <c r="V24" s="17" t="n">
        <f aca="false">IF(AND(V$4&gt;=$G24,V$4&lt;=$H24),IF($F24="Monthly",$E24,IF(MOD(V$4-$G24,12)=0,$E24,0)),0)</f>
        <v>93.5</v>
      </c>
      <c r="W24" s="17" t="n">
        <f aca="false">IF(AND(W$4&gt;=$G24,W$4&lt;=$H24),IF($F24="Monthly",$E24,IF(MOD(W$4-$G24,12)=0,$E24,0)),0)</f>
        <v>93.5</v>
      </c>
      <c r="X24" s="17" t="n">
        <f aca="false">IF(AND(X$4&gt;=$G24,X$4&lt;=$H24),IF($F24="Monthly",$E24,IF(MOD(X$4-$G24,12)=0,$E24,0)),0)</f>
        <v>93.5</v>
      </c>
      <c r="Y24" s="17" t="n">
        <f aca="false">IF(AND(Y$4&gt;=$G24,Y$4&lt;=$H24),IF($F24="Monthly",$E24,IF(MOD(Y$4-$G24,12)=0,$E24,0)),0)</f>
        <v>93.5</v>
      </c>
      <c r="Z24" s="17" t="n">
        <f aca="false">IF(AND(Z$4&gt;=$G24,Z$4&lt;=$H24),IF($F24="Monthly",$E24,IF(MOD(Z$4-$G24,12)=0,$E24,0)),0)</f>
        <v>93.5</v>
      </c>
      <c r="AA24" s="17" t="n">
        <f aca="false">IF(AND(AA$4&gt;=$G24,AA$4&lt;=$H24),IF($F24="Monthly",$E24,IF(MOD(AA$4-$G24,12)=0,$E24,0)),0)</f>
        <v>93.5</v>
      </c>
      <c r="AB24" s="17" t="n">
        <f aca="false">IF(AND(AB$4&gt;=$G24,AB$4&lt;=$H24),IF($F24="Monthly",$E24,IF(MOD(AB$4-$G24,12)=0,$E24,0)),0)</f>
        <v>93.5</v>
      </c>
      <c r="AC24" s="17" t="n">
        <f aca="false">IF(AND(AC$4&gt;=$G24,AC$4&lt;=$H24),IF($F24="Monthly",$E24,IF(MOD(AC$4-$G24,12)=0,$E24,0)),0)</f>
        <v>93.5</v>
      </c>
      <c r="AD24" s="17" t="n">
        <f aca="false">IF(AND(AD$4&gt;=$G24,AD$4&lt;=$H24),IF($F24="Monthly",$E24,IF(MOD(AD$4-$G24,12)=0,$E24,0)),0)</f>
        <v>93.5</v>
      </c>
      <c r="AE24" s="17" t="n">
        <f aca="false">IF(AND(AE$4&gt;=$G24,AE$4&lt;=$H24),IF($F24="Monthly",$E24,IF(MOD(AE$4-$G24,12)=0,$E24,0)),0)</f>
        <v>93.5</v>
      </c>
      <c r="AF24" s="17" t="n">
        <f aca="false">IF(AND(AF$4&gt;=$G24,AF$4&lt;=$H24),IF($F24="Monthly",$E24,IF(MOD(AF$4-$G24,12)=0,$E24,0)),0)</f>
        <v>93.5</v>
      </c>
      <c r="AG24" s="17" t="n">
        <f aca="false">IF(AND(AG$4&gt;=$G24,AG$4&lt;=$H24),IF($F24="Monthly",$E24,IF(MOD(AG$4-$G24,12)=0,$E24,0)),0)</f>
        <v>93.5</v>
      </c>
      <c r="AH24" s="17" t="n">
        <f aca="false">IF(AND(AH$4&gt;=$G24,AH$4&lt;=$H24),IF($F24="Monthly",$E24,IF(MOD(AH$4-$G24,12)=0,$E24,0)),0)</f>
        <v>93.5</v>
      </c>
      <c r="AI24" s="17" t="n">
        <f aca="false">IF(AND(AI$4&gt;=$G24,AI$4&lt;=$H24),IF($F24="Monthly",$E24,IF(MOD(AI$4-$G24,12)=0,$E24,0)),0)</f>
        <v>93.5</v>
      </c>
      <c r="AJ24" s="17" t="n">
        <f aca="false">IF(AND(AJ$4&gt;=$G24,AJ$4&lt;=$H24),IF($F24="Monthly",$E24,IF(MOD(AJ$4-$G24,12)=0,$E24,0)),0)</f>
        <v>93.5</v>
      </c>
      <c r="AK24" s="17" t="n">
        <f aca="false">IF(AND(AK$4&gt;=$G24,AK$4&lt;=$H24),IF($F24="Monthly",$E24,IF(MOD(AK$4-$G24,12)=0,$E24,0)),0)</f>
        <v>93.5</v>
      </c>
      <c r="AL24" s="17" t="n">
        <f aca="false">IF(AND(AL$4&gt;=$G24,AL$4&lt;=$H24),IF($F24="Monthly",$E24,IF(MOD(AL$4-$G24,12)=0,$E24,0)),0)</f>
        <v>93.5</v>
      </c>
      <c r="AM24" s="17" t="n">
        <f aca="false">IF(AND(AM$4&gt;=$G24,AM$4&lt;=$H24),IF($F24="Monthly",$E24,IF(MOD(AM$4-$G24,12)=0,$E24,0)),0)</f>
        <v>93.5</v>
      </c>
      <c r="AN24" s="17" t="n">
        <f aca="false">IF(AND(AN$4&gt;=$G24,AN$4&lt;=$H24),IF($F24="Monthly",$E24,IF(MOD(AN$4-$G24,12)=0,$E24,0)),0)</f>
        <v>93.5</v>
      </c>
      <c r="AO24" s="17" t="n">
        <f aca="false">IF(AND(AO$4&gt;=$G24,AO$4&lt;=$H24),IF($F24="Monthly",$E24,IF(MOD(AO$4-$G24,12)=0,$E24,0)),0)</f>
        <v>93.5</v>
      </c>
      <c r="AP24" s="17" t="n">
        <f aca="false">IF(AND(AP$4&gt;=$G24,AP$4&lt;=$H24),IF($F24="Monthly",$E24,IF(MOD(AP$4-$G24,12)=0,$E24,0)),0)</f>
        <v>93.5</v>
      </c>
      <c r="AQ24" s="17" t="n">
        <f aca="false">IF(AND(AQ$4&gt;=$G24,AQ$4&lt;=$H24),IF($F24="Monthly",$E24,IF(MOD(AQ$4-$G24,12)=0,$E24,0)),0)</f>
        <v>93.5</v>
      </c>
      <c r="AR24" s="17" t="n">
        <f aca="false">IF(AND(AR$4&gt;=$G24,AR$4&lt;=$H24),IF($F24="Monthly",$E24,IF(MOD(AR$4-$G24,12)=0,$E24,0)),0)</f>
        <v>93.5</v>
      </c>
      <c r="AS24" s="17" t="n">
        <f aca="false">IF(AND(AS$4&gt;=$G24,AS$4&lt;=$H24),IF($F24="Monthly",$E24,IF(MOD(AS$4-$G24,12)=0,$E24,0)),0)</f>
        <v>93.5</v>
      </c>
      <c r="AT24" s="17" t="n">
        <f aca="false">IF(AND(AT$4&gt;=$G24,AT$4&lt;=$H24),IF($F24="Monthly",$E24,IF(MOD(AT$4-$G24,12)=0,$E24,0)),0)</f>
        <v>93.5</v>
      </c>
      <c r="AU24" s="17" t="n">
        <f aca="false">IF(AND(AU$4&gt;=$G24,AU$4&lt;=$H24),IF($F24="Monthly",$E24,IF(MOD(AU$4-$G24,12)=0,$E24,0)),0)</f>
        <v>93.5</v>
      </c>
      <c r="AV24" s="17" t="n">
        <f aca="false">IF(AND(AV$4&gt;=$G24,AV$4&lt;=$H24),IF($F24="Monthly",$E24,IF(MOD(AV$4-$G24,12)=0,$E24,0)),0)</f>
        <v>93.5</v>
      </c>
      <c r="AW24" s="17" t="n">
        <f aca="false">IF(AND(AW$4&gt;=$G24,AW$4&lt;=$H24),IF($F24="Monthly",$E24,IF(MOD(AW$4-$G24,12)=0,$E24,0)),0)</f>
        <v>93.5</v>
      </c>
      <c r="AX24" s="17" t="n">
        <f aca="false">IF(AND(AX$4&gt;=$G24,AX$4&lt;=$H24),IF($F24="Monthly",$E24,IF(MOD(AX$4-$G24,12)=0,$E24,0)),0)</f>
        <v>93.5</v>
      </c>
    </row>
    <row r="25" customFormat="false" ht="15" hidden="false" customHeight="false" outlineLevel="0" collapsed="false">
      <c r="A25" s="7" t="s">
        <v>723</v>
      </c>
      <c r="B25" s="7" t="s">
        <v>719</v>
      </c>
      <c r="C25" s="26" t="n">
        <v>50</v>
      </c>
      <c r="D25" s="26" t="n">
        <v>150</v>
      </c>
      <c r="E25" s="15" t="n">
        <f aca="false">C25+Assumptions!$C$9*(D25-C25)</f>
        <v>100</v>
      </c>
      <c r="F25" s="44" t="s">
        <v>675</v>
      </c>
      <c r="G25" s="22" t="n">
        <v>1</v>
      </c>
      <c r="H25" s="22" t="n">
        <v>36</v>
      </c>
      <c r="I25" s="17" t="n">
        <f aca="false">SUMIF($O$3:$AX$3,1,O25:AX25)</f>
        <v>1200</v>
      </c>
      <c r="J25" s="17" t="n">
        <f aca="false">SUMIF($O$3:$AX$3,2,O25:AX25)</f>
        <v>1200</v>
      </c>
      <c r="K25" s="17" t="n">
        <f aca="false">SUMIF($O$3:$AX$3,3,O25:AX25)</f>
        <v>1200</v>
      </c>
      <c r="L25" s="7" t="s">
        <v>724</v>
      </c>
      <c r="M25" s="7" t="s">
        <v>87</v>
      </c>
      <c r="O25" s="17" t="n">
        <f aca="false">IF(AND(O$4&gt;=$G25,O$4&lt;=$H25),IF($F25="Monthly",$E25,IF(MOD(O$4-$G25,12)=0,$E25,0)),0)</f>
        <v>100</v>
      </c>
      <c r="P25" s="17" t="n">
        <f aca="false">IF(AND(P$4&gt;=$G25,P$4&lt;=$H25),IF($F25="Monthly",$E25,IF(MOD(P$4-$G25,12)=0,$E25,0)),0)</f>
        <v>100</v>
      </c>
      <c r="Q25" s="17" t="n">
        <f aca="false">IF(AND(Q$4&gt;=$G25,Q$4&lt;=$H25),IF($F25="Monthly",$E25,IF(MOD(Q$4-$G25,12)=0,$E25,0)),0)</f>
        <v>100</v>
      </c>
      <c r="R25" s="17" t="n">
        <f aca="false">IF(AND(R$4&gt;=$G25,R$4&lt;=$H25),IF($F25="Monthly",$E25,IF(MOD(R$4-$G25,12)=0,$E25,0)),0)</f>
        <v>100</v>
      </c>
      <c r="S25" s="17" t="n">
        <f aca="false">IF(AND(S$4&gt;=$G25,S$4&lt;=$H25),IF($F25="Monthly",$E25,IF(MOD(S$4-$G25,12)=0,$E25,0)),0)</f>
        <v>100</v>
      </c>
      <c r="T25" s="17" t="n">
        <f aca="false">IF(AND(T$4&gt;=$G25,T$4&lt;=$H25),IF($F25="Monthly",$E25,IF(MOD(T$4-$G25,12)=0,$E25,0)),0)</f>
        <v>100</v>
      </c>
      <c r="U25" s="17" t="n">
        <f aca="false">IF(AND(U$4&gt;=$G25,U$4&lt;=$H25),IF($F25="Monthly",$E25,IF(MOD(U$4-$G25,12)=0,$E25,0)),0)</f>
        <v>100</v>
      </c>
      <c r="V25" s="17" t="n">
        <f aca="false">IF(AND(V$4&gt;=$G25,V$4&lt;=$H25),IF($F25="Monthly",$E25,IF(MOD(V$4-$G25,12)=0,$E25,0)),0)</f>
        <v>100</v>
      </c>
      <c r="W25" s="17" t="n">
        <f aca="false">IF(AND(W$4&gt;=$G25,W$4&lt;=$H25),IF($F25="Monthly",$E25,IF(MOD(W$4-$G25,12)=0,$E25,0)),0)</f>
        <v>100</v>
      </c>
      <c r="X25" s="17" t="n">
        <f aca="false">IF(AND(X$4&gt;=$G25,X$4&lt;=$H25),IF($F25="Monthly",$E25,IF(MOD(X$4-$G25,12)=0,$E25,0)),0)</f>
        <v>100</v>
      </c>
      <c r="Y25" s="17" t="n">
        <f aca="false">IF(AND(Y$4&gt;=$G25,Y$4&lt;=$H25),IF($F25="Monthly",$E25,IF(MOD(Y$4-$G25,12)=0,$E25,0)),0)</f>
        <v>100</v>
      </c>
      <c r="Z25" s="17" t="n">
        <f aca="false">IF(AND(Z$4&gt;=$G25,Z$4&lt;=$H25),IF($F25="Monthly",$E25,IF(MOD(Z$4-$G25,12)=0,$E25,0)),0)</f>
        <v>100</v>
      </c>
      <c r="AA25" s="17" t="n">
        <f aca="false">IF(AND(AA$4&gt;=$G25,AA$4&lt;=$H25),IF($F25="Monthly",$E25,IF(MOD(AA$4-$G25,12)=0,$E25,0)),0)</f>
        <v>100</v>
      </c>
      <c r="AB25" s="17" t="n">
        <f aca="false">IF(AND(AB$4&gt;=$G25,AB$4&lt;=$H25),IF($F25="Monthly",$E25,IF(MOD(AB$4-$G25,12)=0,$E25,0)),0)</f>
        <v>100</v>
      </c>
      <c r="AC25" s="17" t="n">
        <f aca="false">IF(AND(AC$4&gt;=$G25,AC$4&lt;=$H25),IF($F25="Monthly",$E25,IF(MOD(AC$4-$G25,12)=0,$E25,0)),0)</f>
        <v>100</v>
      </c>
      <c r="AD25" s="17" t="n">
        <f aca="false">IF(AND(AD$4&gt;=$G25,AD$4&lt;=$H25),IF($F25="Monthly",$E25,IF(MOD(AD$4-$G25,12)=0,$E25,0)),0)</f>
        <v>100</v>
      </c>
      <c r="AE25" s="17" t="n">
        <f aca="false">IF(AND(AE$4&gt;=$G25,AE$4&lt;=$H25),IF($F25="Monthly",$E25,IF(MOD(AE$4-$G25,12)=0,$E25,0)),0)</f>
        <v>100</v>
      </c>
      <c r="AF25" s="17" t="n">
        <f aca="false">IF(AND(AF$4&gt;=$G25,AF$4&lt;=$H25),IF($F25="Monthly",$E25,IF(MOD(AF$4-$G25,12)=0,$E25,0)),0)</f>
        <v>100</v>
      </c>
      <c r="AG25" s="17" t="n">
        <f aca="false">IF(AND(AG$4&gt;=$G25,AG$4&lt;=$H25),IF($F25="Monthly",$E25,IF(MOD(AG$4-$G25,12)=0,$E25,0)),0)</f>
        <v>100</v>
      </c>
      <c r="AH25" s="17" t="n">
        <f aca="false">IF(AND(AH$4&gt;=$G25,AH$4&lt;=$H25),IF($F25="Monthly",$E25,IF(MOD(AH$4-$G25,12)=0,$E25,0)),0)</f>
        <v>100</v>
      </c>
      <c r="AI25" s="17" t="n">
        <f aca="false">IF(AND(AI$4&gt;=$G25,AI$4&lt;=$H25),IF($F25="Monthly",$E25,IF(MOD(AI$4-$G25,12)=0,$E25,0)),0)</f>
        <v>100</v>
      </c>
      <c r="AJ25" s="17" t="n">
        <f aca="false">IF(AND(AJ$4&gt;=$G25,AJ$4&lt;=$H25),IF($F25="Monthly",$E25,IF(MOD(AJ$4-$G25,12)=0,$E25,0)),0)</f>
        <v>100</v>
      </c>
      <c r="AK25" s="17" t="n">
        <f aca="false">IF(AND(AK$4&gt;=$G25,AK$4&lt;=$H25),IF($F25="Monthly",$E25,IF(MOD(AK$4-$G25,12)=0,$E25,0)),0)</f>
        <v>100</v>
      </c>
      <c r="AL25" s="17" t="n">
        <f aca="false">IF(AND(AL$4&gt;=$G25,AL$4&lt;=$H25),IF($F25="Monthly",$E25,IF(MOD(AL$4-$G25,12)=0,$E25,0)),0)</f>
        <v>100</v>
      </c>
      <c r="AM25" s="17" t="n">
        <f aca="false">IF(AND(AM$4&gt;=$G25,AM$4&lt;=$H25),IF($F25="Monthly",$E25,IF(MOD(AM$4-$G25,12)=0,$E25,0)),0)</f>
        <v>100</v>
      </c>
      <c r="AN25" s="17" t="n">
        <f aca="false">IF(AND(AN$4&gt;=$G25,AN$4&lt;=$H25),IF($F25="Monthly",$E25,IF(MOD(AN$4-$G25,12)=0,$E25,0)),0)</f>
        <v>100</v>
      </c>
      <c r="AO25" s="17" t="n">
        <f aca="false">IF(AND(AO$4&gt;=$G25,AO$4&lt;=$H25),IF($F25="Monthly",$E25,IF(MOD(AO$4-$G25,12)=0,$E25,0)),0)</f>
        <v>100</v>
      </c>
      <c r="AP25" s="17" t="n">
        <f aca="false">IF(AND(AP$4&gt;=$G25,AP$4&lt;=$H25),IF($F25="Monthly",$E25,IF(MOD(AP$4-$G25,12)=0,$E25,0)),0)</f>
        <v>100</v>
      </c>
      <c r="AQ25" s="17" t="n">
        <f aca="false">IF(AND(AQ$4&gt;=$G25,AQ$4&lt;=$H25),IF($F25="Monthly",$E25,IF(MOD(AQ$4-$G25,12)=0,$E25,0)),0)</f>
        <v>100</v>
      </c>
      <c r="AR25" s="17" t="n">
        <f aca="false">IF(AND(AR$4&gt;=$G25,AR$4&lt;=$H25),IF($F25="Monthly",$E25,IF(MOD(AR$4-$G25,12)=0,$E25,0)),0)</f>
        <v>100</v>
      </c>
      <c r="AS25" s="17" t="n">
        <f aca="false">IF(AND(AS$4&gt;=$G25,AS$4&lt;=$H25),IF($F25="Monthly",$E25,IF(MOD(AS$4-$G25,12)=0,$E25,0)),0)</f>
        <v>100</v>
      </c>
      <c r="AT25" s="17" t="n">
        <f aca="false">IF(AND(AT$4&gt;=$G25,AT$4&lt;=$H25),IF($F25="Monthly",$E25,IF(MOD(AT$4-$G25,12)=0,$E25,0)),0)</f>
        <v>100</v>
      </c>
      <c r="AU25" s="17" t="n">
        <f aca="false">IF(AND(AU$4&gt;=$G25,AU$4&lt;=$H25),IF($F25="Monthly",$E25,IF(MOD(AU$4-$G25,12)=0,$E25,0)),0)</f>
        <v>100</v>
      </c>
      <c r="AV25" s="17" t="n">
        <f aca="false">IF(AND(AV$4&gt;=$G25,AV$4&lt;=$H25),IF($F25="Monthly",$E25,IF(MOD(AV$4-$G25,12)=0,$E25,0)),0)</f>
        <v>100</v>
      </c>
      <c r="AW25" s="17" t="n">
        <f aca="false">IF(AND(AW$4&gt;=$G25,AW$4&lt;=$H25),IF($F25="Monthly",$E25,IF(MOD(AW$4-$G25,12)=0,$E25,0)),0)</f>
        <v>100</v>
      </c>
      <c r="AX25" s="17" t="n">
        <f aca="false">IF(AND(AX$4&gt;=$G25,AX$4&lt;=$H25),IF($F25="Monthly",$E25,IF(MOD(AX$4-$G25,12)=0,$E25,0)),0)</f>
        <v>100</v>
      </c>
    </row>
    <row r="26" customFormat="false" ht="15" hidden="false" customHeight="false" outlineLevel="0" collapsed="false">
      <c r="A26" s="7" t="s">
        <v>725</v>
      </c>
      <c r="B26" s="7" t="s">
        <v>719</v>
      </c>
      <c r="C26" s="26" t="n">
        <v>35</v>
      </c>
      <c r="D26" s="26" t="n">
        <v>129</v>
      </c>
      <c r="E26" s="15" t="n">
        <f aca="false">C26+Assumptions!$C$9*(D26-C26)</f>
        <v>82</v>
      </c>
      <c r="F26" s="44" t="s">
        <v>675</v>
      </c>
      <c r="G26" s="22" t="n">
        <v>1</v>
      </c>
      <c r="H26" s="22" t="n">
        <v>36</v>
      </c>
      <c r="I26" s="17" t="n">
        <f aca="false">SUMIF($O$3:$AX$3,1,O26:AX26)</f>
        <v>984</v>
      </c>
      <c r="J26" s="17" t="n">
        <f aca="false">SUMIF($O$3:$AX$3,2,O26:AX26)</f>
        <v>984</v>
      </c>
      <c r="K26" s="17" t="n">
        <f aca="false">SUMIF($O$3:$AX$3,3,O26:AX26)</f>
        <v>984</v>
      </c>
      <c r="L26" s="7" t="s">
        <v>726</v>
      </c>
      <c r="M26" s="7" t="s">
        <v>87</v>
      </c>
      <c r="O26" s="17" t="n">
        <f aca="false">IF(AND(O$4&gt;=$G26,O$4&lt;=$H26),IF($F26="Monthly",$E26,IF(MOD(O$4-$G26,12)=0,$E26,0)),0)</f>
        <v>82</v>
      </c>
      <c r="P26" s="17" t="n">
        <f aca="false">IF(AND(P$4&gt;=$G26,P$4&lt;=$H26),IF($F26="Monthly",$E26,IF(MOD(P$4-$G26,12)=0,$E26,0)),0)</f>
        <v>82</v>
      </c>
      <c r="Q26" s="17" t="n">
        <f aca="false">IF(AND(Q$4&gt;=$G26,Q$4&lt;=$H26),IF($F26="Monthly",$E26,IF(MOD(Q$4-$G26,12)=0,$E26,0)),0)</f>
        <v>82</v>
      </c>
      <c r="R26" s="17" t="n">
        <f aca="false">IF(AND(R$4&gt;=$G26,R$4&lt;=$H26),IF($F26="Monthly",$E26,IF(MOD(R$4-$G26,12)=0,$E26,0)),0)</f>
        <v>82</v>
      </c>
      <c r="S26" s="17" t="n">
        <f aca="false">IF(AND(S$4&gt;=$G26,S$4&lt;=$H26),IF($F26="Monthly",$E26,IF(MOD(S$4-$G26,12)=0,$E26,0)),0)</f>
        <v>82</v>
      </c>
      <c r="T26" s="17" t="n">
        <f aca="false">IF(AND(T$4&gt;=$G26,T$4&lt;=$H26),IF($F26="Monthly",$E26,IF(MOD(T$4-$G26,12)=0,$E26,0)),0)</f>
        <v>82</v>
      </c>
      <c r="U26" s="17" t="n">
        <f aca="false">IF(AND(U$4&gt;=$G26,U$4&lt;=$H26),IF($F26="Monthly",$E26,IF(MOD(U$4-$G26,12)=0,$E26,0)),0)</f>
        <v>82</v>
      </c>
      <c r="V26" s="17" t="n">
        <f aca="false">IF(AND(V$4&gt;=$G26,V$4&lt;=$H26),IF($F26="Monthly",$E26,IF(MOD(V$4-$G26,12)=0,$E26,0)),0)</f>
        <v>82</v>
      </c>
      <c r="W26" s="17" t="n">
        <f aca="false">IF(AND(W$4&gt;=$G26,W$4&lt;=$H26),IF($F26="Monthly",$E26,IF(MOD(W$4-$G26,12)=0,$E26,0)),0)</f>
        <v>82</v>
      </c>
      <c r="X26" s="17" t="n">
        <f aca="false">IF(AND(X$4&gt;=$G26,X$4&lt;=$H26),IF($F26="Monthly",$E26,IF(MOD(X$4-$G26,12)=0,$E26,0)),0)</f>
        <v>82</v>
      </c>
      <c r="Y26" s="17" t="n">
        <f aca="false">IF(AND(Y$4&gt;=$G26,Y$4&lt;=$H26),IF($F26="Monthly",$E26,IF(MOD(Y$4-$G26,12)=0,$E26,0)),0)</f>
        <v>82</v>
      </c>
      <c r="Z26" s="17" t="n">
        <f aca="false">IF(AND(Z$4&gt;=$G26,Z$4&lt;=$H26),IF($F26="Monthly",$E26,IF(MOD(Z$4-$G26,12)=0,$E26,0)),0)</f>
        <v>82</v>
      </c>
      <c r="AA26" s="17" t="n">
        <f aca="false">IF(AND(AA$4&gt;=$G26,AA$4&lt;=$H26),IF($F26="Monthly",$E26,IF(MOD(AA$4-$G26,12)=0,$E26,0)),0)</f>
        <v>82</v>
      </c>
      <c r="AB26" s="17" t="n">
        <f aca="false">IF(AND(AB$4&gt;=$G26,AB$4&lt;=$H26),IF($F26="Monthly",$E26,IF(MOD(AB$4-$G26,12)=0,$E26,0)),0)</f>
        <v>82</v>
      </c>
      <c r="AC26" s="17" t="n">
        <f aca="false">IF(AND(AC$4&gt;=$G26,AC$4&lt;=$H26),IF($F26="Monthly",$E26,IF(MOD(AC$4-$G26,12)=0,$E26,0)),0)</f>
        <v>82</v>
      </c>
      <c r="AD26" s="17" t="n">
        <f aca="false">IF(AND(AD$4&gt;=$G26,AD$4&lt;=$H26),IF($F26="Monthly",$E26,IF(MOD(AD$4-$G26,12)=0,$E26,0)),0)</f>
        <v>82</v>
      </c>
      <c r="AE26" s="17" t="n">
        <f aca="false">IF(AND(AE$4&gt;=$G26,AE$4&lt;=$H26),IF($F26="Monthly",$E26,IF(MOD(AE$4-$G26,12)=0,$E26,0)),0)</f>
        <v>82</v>
      </c>
      <c r="AF26" s="17" t="n">
        <f aca="false">IF(AND(AF$4&gt;=$G26,AF$4&lt;=$H26),IF($F26="Monthly",$E26,IF(MOD(AF$4-$G26,12)=0,$E26,0)),0)</f>
        <v>82</v>
      </c>
      <c r="AG26" s="17" t="n">
        <f aca="false">IF(AND(AG$4&gt;=$G26,AG$4&lt;=$H26),IF($F26="Monthly",$E26,IF(MOD(AG$4-$G26,12)=0,$E26,0)),0)</f>
        <v>82</v>
      </c>
      <c r="AH26" s="17" t="n">
        <f aca="false">IF(AND(AH$4&gt;=$G26,AH$4&lt;=$H26),IF($F26="Monthly",$E26,IF(MOD(AH$4-$G26,12)=0,$E26,0)),0)</f>
        <v>82</v>
      </c>
      <c r="AI26" s="17" t="n">
        <f aca="false">IF(AND(AI$4&gt;=$G26,AI$4&lt;=$H26),IF($F26="Monthly",$E26,IF(MOD(AI$4-$G26,12)=0,$E26,0)),0)</f>
        <v>82</v>
      </c>
      <c r="AJ26" s="17" t="n">
        <f aca="false">IF(AND(AJ$4&gt;=$G26,AJ$4&lt;=$H26),IF($F26="Monthly",$E26,IF(MOD(AJ$4-$G26,12)=0,$E26,0)),0)</f>
        <v>82</v>
      </c>
      <c r="AK26" s="17" t="n">
        <f aca="false">IF(AND(AK$4&gt;=$G26,AK$4&lt;=$H26),IF($F26="Monthly",$E26,IF(MOD(AK$4-$G26,12)=0,$E26,0)),0)</f>
        <v>82</v>
      </c>
      <c r="AL26" s="17" t="n">
        <f aca="false">IF(AND(AL$4&gt;=$G26,AL$4&lt;=$H26),IF($F26="Monthly",$E26,IF(MOD(AL$4-$G26,12)=0,$E26,0)),0)</f>
        <v>82</v>
      </c>
      <c r="AM26" s="17" t="n">
        <f aca="false">IF(AND(AM$4&gt;=$G26,AM$4&lt;=$H26),IF($F26="Monthly",$E26,IF(MOD(AM$4-$G26,12)=0,$E26,0)),0)</f>
        <v>82</v>
      </c>
      <c r="AN26" s="17" t="n">
        <f aca="false">IF(AND(AN$4&gt;=$G26,AN$4&lt;=$H26),IF($F26="Monthly",$E26,IF(MOD(AN$4-$G26,12)=0,$E26,0)),0)</f>
        <v>82</v>
      </c>
      <c r="AO26" s="17" t="n">
        <f aca="false">IF(AND(AO$4&gt;=$G26,AO$4&lt;=$H26),IF($F26="Monthly",$E26,IF(MOD(AO$4-$G26,12)=0,$E26,0)),0)</f>
        <v>82</v>
      </c>
      <c r="AP26" s="17" t="n">
        <f aca="false">IF(AND(AP$4&gt;=$G26,AP$4&lt;=$H26),IF($F26="Monthly",$E26,IF(MOD(AP$4-$G26,12)=0,$E26,0)),0)</f>
        <v>82</v>
      </c>
      <c r="AQ26" s="17" t="n">
        <f aca="false">IF(AND(AQ$4&gt;=$G26,AQ$4&lt;=$H26),IF($F26="Monthly",$E26,IF(MOD(AQ$4-$G26,12)=0,$E26,0)),0)</f>
        <v>82</v>
      </c>
      <c r="AR26" s="17" t="n">
        <f aca="false">IF(AND(AR$4&gt;=$G26,AR$4&lt;=$H26),IF($F26="Monthly",$E26,IF(MOD(AR$4-$G26,12)=0,$E26,0)),0)</f>
        <v>82</v>
      </c>
      <c r="AS26" s="17" t="n">
        <f aca="false">IF(AND(AS$4&gt;=$G26,AS$4&lt;=$H26),IF($F26="Monthly",$E26,IF(MOD(AS$4-$G26,12)=0,$E26,0)),0)</f>
        <v>82</v>
      </c>
      <c r="AT26" s="17" t="n">
        <f aca="false">IF(AND(AT$4&gt;=$G26,AT$4&lt;=$H26),IF($F26="Monthly",$E26,IF(MOD(AT$4-$G26,12)=0,$E26,0)),0)</f>
        <v>82</v>
      </c>
      <c r="AU26" s="17" t="n">
        <f aca="false">IF(AND(AU$4&gt;=$G26,AU$4&lt;=$H26),IF($F26="Monthly",$E26,IF(MOD(AU$4-$G26,12)=0,$E26,0)),0)</f>
        <v>82</v>
      </c>
      <c r="AV26" s="17" t="n">
        <f aca="false">IF(AND(AV$4&gt;=$G26,AV$4&lt;=$H26),IF($F26="Monthly",$E26,IF(MOD(AV$4-$G26,12)=0,$E26,0)),0)</f>
        <v>82</v>
      </c>
      <c r="AW26" s="17" t="n">
        <f aca="false">IF(AND(AW$4&gt;=$G26,AW$4&lt;=$H26),IF($F26="Monthly",$E26,IF(MOD(AW$4-$G26,12)=0,$E26,0)),0)</f>
        <v>82</v>
      </c>
      <c r="AX26" s="17" t="n">
        <f aca="false">IF(AND(AX$4&gt;=$G26,AX$4&lt;=$H26),IF($F26="Monthly",$E26,IF(MOD(AX$4-$G26,12)=0,$E26,0)),0)</f>
        <v>82</v>
      </c>
    </row>
    <row r="27" customFormat="false" ht="15" hidden="false" customHeight="false" outlineLevel="0" collapsed="false">
      <c r="A27" s="7" t="s">
        <v>727</v>
      </c>
      <c r="B27" s="7" t="s">
        <v>719</v>
      </c>
      <c r="C27" s="26" t="n">
        <v>25</v>
      </c>
      <c r="D27" s="26" t="n">
        <v>50</v>
      </c>
      <c r="E27" s="15" t="n">
        <f aca="false">C27+Assumptions!$C$9*(D27-C27)</f>
        <v>37.5</v>
      </c>
      <c r="F27" s="44" t="s">
        <v>675</v>
      </c>
      <c r="G27" s="22" t="n">
        <v>3</v>
      </c>
      <c r="H27" s="22" t="n">
        <v>36</v>
      </c>
      <c r="I27" s="17" t="n">
        <f aca="false">SUMIF($O$3:$AX$3,1,O27:AX27)</f>
        <v>375</v>
      </c>
      <c r="J27" s="17" t="n">
        <f aca="false">SUMIF($O$3:$AX$3,2,O27:AX27)</f>
        <v>450</v>
      </c>
      <c r="K27" s="17" t="n">
        <f aca="false">SUMIF($O$3:$AX$3,3,O27:AX27)</f>
        <v>450</v>
      </c>
      <c r="L27" s="7" t="s">
        <v>728</v>
      </c>
      <c r="M27" s="7" t="s">
        <v>87</v>
      </c>
      <c r="O27" s="17" t="n">
        <f aca="false">IF(AND(O$4&gt;=$G27,O$4&lt;=$H27),IF($F27="Monthly",$E27,IF(MOD(O$4-$G27,12)=0,$E27,0)),0)</f>
        <v>0</v>
      </c>
      <c r="P27" s="17" t="n">
        <f aca="false">IF(AND(P$4&gt;=$G27,P$4&lt;=$H27),IF($F27="Monthly",$E27,IF(MOD(P$4-$G27,12)=0,$E27,0)),0)</f>
        <v>0</v>
      </c>
      <c r="Q27" s="17" t="n">
        <f aca="false">IF(AND(Q$4&gt;=$G27,Q$4&lt;=$H27),IF($F27="Monthly",$E27,IF(MOD(Q$4-$G27,12)=0,$E27,0)),0)</f>
        <v>37.5</v>
      </c>
      <c r="R27" s="17" t="n">
        <f aca="false">IF(AND(R$4&gt;=$G27,R$4&lt;=$H27),IF($F27="Monthly",$E27,IF(MOD(R$4-$G27,12)=0,$E27,0)),0)</f>
        <v>37.5</v>
      </c>
      <c r="S27" s="17" t="n">
        <f aca="false">IF(AND(S$4&gt;=$G27,S$4&lt;=$H27),IF($F27="Monthly",$E27,IF(MOD(S$4-$G27,12)=0,$E27,0)),0)</f>
        <v>37.5</v>
      </c>
      <c r="T27" s="17" t="n">
        <f aca="false">IF(AND(T$4&gt;=$G27,T$4&lt;=$H27),IF($F27="Monthly",$E27,IF(MOD(T$4-$G27,12)=0,$E27,0)),0)</f>
        <v>37.5</v>
      </c>
      <c r="U27" s="17" t="n">
        <f aca="false">IF(AND(U$4&gt;=$G27,U$4&lt;=$H27),IF($F27="Monthly",$E27,IF(MOD(U$4-$G27,12)=0,$E27,0)),0)</f>
        <v>37.5</v>
      </c>
      <c r="V27" s="17" t="n">
        <f aca="false">IF(AND(V$4&gt;=$G27,V$4&lt;=$H27),IF($F27="Monthly",$E27,IF(MOD(V$4-$G27,12)=0,$E27,0)),0)</f>
        <v>37.5</v>
      </c>
      <c r="W27" s="17" t="n">
        <f aca="false">IF(AND(W$4&gt;=$G27,W$4&lt;=$H27),IF($F27="Monthly",$E27,IF(MOD(W$4-$G27,12)=0,$E27,0)),0)</f>
        <v>37.5</v>
      </c>
      <c r="X27" s="17" t="n">
        <f aca="false">IF(AND(X$4&gt;=$G27,X$4&lt;=$H27),IF($F27="Monthly",$E27,IF(MOD(X$4-$G27,12)=0,$E27,0)),0)</f>
        <v>37.5</v>
      </c>
      <c r="Y27" s="17" t="n">
        <f aca="false">IF(AND(Y$4&gt;=$G27,Y$4&lt;=$H27),IF($F27="Monthly",$E27,IF(MOD(Y$4-$G27,12)=0,$E27,0)),0)</f>
        <v>37.5</v>
      </c>
      <c r="Z27" s="17" t="n">
        <f aca="false">IF(AND(Z$4&gt;=$G27,Z$4&lt;=$H27),IF($F27="Monthly",$E27,IF(MOD(Z$4-$G27,12)=0,$E27,0)),0)</f>
        <v>37.5</v>
      </c>
      <c r="AA27" s="17" t="n">
        <f aca="false">IF(AND(AA$4&gt;=$G27,AA$4&lt;=$H27),IF($F27="Monthly",$E27,IF(MOD(AA$4-$G27,12)=0,$E27,0)),0)</f>
        <v>37.5</v>
      </c>
      <c r="AB27" s="17" t="n">
        <f aca="false">IF(AND(AB$4&gt;=$G27,AB$4&lt;=$H27),IF($F27="Monthly",$E27,IF(MOD(AB$4-$G27,12)=0,$E27,0)),0)</f>
        <v>37.5</v>
      </c>
      <c r="AC27" s="17" t="n">
        <f aca="false">IF(AND(AC$4&gt;=$G27,AC$4&lt;=$H27),IF($F27="Monthly",$E27,IF(MOD(AC$4-$G27,12)=0,$E27,0)),0)</f>
        <v>37.5</v>
      </c>
      <c r="AD27" s="17" t="n">
        <f aca="false">IF(AND(AD$4&gt;=$G27,AD$4&lt;=$H27),IF($F27="Monthly",$E27,IF(MOD(AD$4-$G27,12)=0,$E27,0)),0)</f>
        <v>37.5</v>
      </c>
      <c r="AE27" s="17" t="n">
        <f aca="false">IF(AND(AE$4&gt;=$G27,AE$4&lt;=$H27),IF($F27="Monthly",$E27,IF(MOD(AE$4-$G27,12)=0,$E27,0)),0)</f>
        <v>37.5</v>
      </c>
      <c r="AF27" s="17" t="n">
        <f aca="false">IF(AND(AF$4&gt;=$G27,AF$4&lt;=$H27),IF($F27="Monthly",$E27,IF(MOD(AF$4-$G27,12)=0,$E27,0)),0)</f>
        <v>37.5</v>
      </c>
      <c r="AG27" s="17" t="n">
        <f aca="false">IF(AND(AG$4&gt;=$G27,AG$4&lt;=$H27),IF($F27="Monthly",$E27,IF(MOD(AG$4-$G27,12)=0,$E27,0)),0)</f>
        <v>37.5</v>
      </c>
      <c r="AH27" s="17" t="n">
        <f aca="false">IF(AND(AH$4&gt;=$G27,AH$4&lt;=$H27),IF($F27="Monthly",$E27,IF(MOD(AH$4-$G27,12)=0,$E27,0)),0)</f>
        <v>37.5</v>
      </c>
      <c r="AI27" s="17" t="n">
        <f aca="false">IF(AND(AI$4&gt;=$G27,AI$4&lt;=$H27),IF($F27="Monthly",$E27,IF(MOD(AI$4-$G27,12)=0,$E27,0)),0)</f>
        <v>37.5</v>
      </c>
      <c r="AJ27" s="17" t="n">
        <f aca="false">IF(AND(AJ$4&gt;=$G27,AJ$4&lt;=$H27),IF($F27="Monthly",$E27,IF(MOD(AJ$4-$G27,12)=0,$E27,0)),0)</f>
        <v>37.5</v>
      </c>
      <c r="AK27" s="17" t="n">
        <f aca="false">IF(AND(AK$4&gt;=$G27,AK$4&lt;=$H27),IF($F27="Monthly",$E27,IF(MOD(AK$4-$G27,12)=0,$E27,0)),0)</f>
        <v>37.5</v>
      </c>
      <c r="AL27" s="17" t="n">
        <f aca="false">IF(AND(AL$4&gt;=$G27,AL$4&lt;=$H27),IF($F27="Monthly",$E27,IF(MOD(AL$4-$G27,12)=0,$E27,0)),0)</f>
        <v>37.5</v>
      </c>
      <c r="AM27" s="17" t="n">
        <f aca="false">IF(AND(AM$4&gt;=$G27,AM$4&lt;=$H27),IF($F27="Monthly",$E27,IF(MOD(AM$4-$G27,12)=0,$E27,0)),0)</f>
        <v>37.5</v>
      </c>
      <c r="AN27" s="17" t="n">
        <f aca="false">IF(AND(AN$4&gt;=$G27,AN$4&lt;=$H27),IF($F27="Monthly",$E27,IF(MOD(AN$4-$G27,12)=0,$E27,0)),0)</f>
        <v>37.5</v>
      </c>
      <c r="AO27" s="17" t="n">
        <f aca="false">IF(AND(AO$4&gt;=$G27,AO$4&lt;=$H27),IF($F27="Monthly",$E27,IF(MOD(AO$4-$G27,12)=0,$E27,0)),0)</f>
        <v>37.5</v>
      </c>
      <c r="AP27" s="17" t="n">
        <f aca="false">IF(AND(AP$4&gt;=$G27,AP$4&lt;=$H27),IF($F27="Monthly",$E27,IF(MOD(AP$4-$G27,12)=0,$E27,0)),0)</f>
        <v>37.5</v>
      </c>
      <c r="AQ27" s="17" t="n">
        <f aca="false">IF(AND(AQ$4&gt;=$G27,AQ$4&lt;=$H27),IF($F27="Monthly",$E27,IF(MOD(AQ$4-$G27,12)=0,$E27,0)),0)</f>
        <v>37.5</v>
      </c>
      <c r="AR27" s="17" t="n">
        <f aca="false">IF(AND(AR$4&gt;=$G27,AR$4&lt;=$H27),IF($F27="Monthly",$E27,IF(MOD(AR$4-$G27,12)=0,$E27,0)),0)</f>
        <v>37.5</v>
      </c>
      <c r="AS27" s="17" t="n">
        <f aca="false">IF(AND(AS$4&gt;=$G27,AS$4&lt;=$H27),IF($F27="Monthly",$E27,IF(MOD(AS$4-$G27,12)=0,$E27,0)),0)</f>
        <v>37.5</v>
      </c>
      <c r="AT27" s="17" t="n">
        <f aca="false">IF(AND(AT$4&gt;=$G27,AT$4&lt;=$H27),IF($F27="Monthly",$E27,IF(MOD(AT$4-$G27,12)=0,$E27,0)),0)</f>
        <v>37.5</v>
      </c>
      <c r="AU27" s="17" t="n">
        <f aca="false">IF(AND(AU$4&gt;=$G27,AU$4&lt;=$H27),IF($F27="Monthly",$E27,IF(MOD(AU$4-$G27,12)=0,$E27,0)),0)</f>
        <v>37.5</v>
      </c>
      <c r="AV27" s="17" t="n">
        <f aca="false">IF(AND(AV$4&gt;=$G27,AV$4&lt;=$H27),IF($F27="Monthly",$E27,IF(MOD(AV$4-$G27,12)=0,$E27,0)),0)</f>
        <v>37.5</v>
      </c>
      <c r="AW27" s="17" t="n">
        <f aca="false">IF(AND(AW$4&gt;=$G27,AW$4&lt;=$H27),IF($F27="Monthly",$E27,IF(MOD(AW$4-$G27,12)=0,$E27,0)),0)</f>
        <v>37.5</v>
      </c>
      <c r="AX27" s="17" t="n">
        <f aca="false">IF(AND(AX$4&gt;=$G27,AX$4&lt;=$H27),IF($F27="Monthly",$E27,IF(MOD(AX$4-$G27,12)=0,$E27,0)),0)</f>
        <v>37.5</v>
      </c>
    </row>
    <row r="28" customFormat="false" ht="15" hidden="false" customHeight="false" outlineLevel="0" collapsed="false">
      <c r="A28" s="7" t="s">
        <v>729</v>
      </c>
      <c r="B28" s="7" t="s">
        <v>602</v>
      </c>
      <c r="C28" s="26" t="n">
        <v>0</v>
      </c>
      <c r="D28" s="26" t="n">
        <v>750</v>
      </c>
      <c r="E28" s="15" t="n">
        <f aca="false">C28+Assumptions!$C$9*(D28-C28)</f>
        <v>375</v>
      </c>
      <c r="F28" s="44" t="s">
        <v>681</v>
      </c>
      <c r="G28" s="22" t="n">
        <v>4</v>
      </c>
      <c r="H28" s="22" t="n">
        <v>36</v>
      </c>
      <c r="I28" s="17" t="n">
        <f aca="false">SUMIF($O$3:$AX$3,1,O28:AX28)</f>
        <v>375</v>
      </c>
      <c r="J28" s="17" t="n">
        <f aca="false">SUMIF($O$3:$AX$3,2,O28:AX28)</f>
        <v>375</v>
      </c>
      <c r="K28" s="17" t="n">
        <f aca="false">SUMIF($O$3:$AX$3,3,O28:AX28)</f>
        <v>375</v>
      </c>
      <c r="L28" s="7" t="s">
        <v>730</v>
      </c>
      <c r="M28" s="7" t="s">
        <v>87</v>
      </c>
      <c r="O28" s="17" t="n">
        <f aca="false">IF(AND(O$4&gt;=$G28,O$4&lt;=$H28),IF($F28="Monthly",$E28,IF(MOD(O$4-$G28,12)=0,$E28,0)),0)</f>
        <v>0</v>
      </c>
      <c r="P28" s="17" t="n">
        <f aca="false">IF(AND(P$4&gt;=$G28,P$4&lt;=$H28),IF($F28="Monthly",$E28,IF(MOD(P$4-$G28,12)=0,$E28,0)),0)</f>
        <v>0</v>
      </c>
      <c r="Q28" s="17" t="n">
        <f aca="false">IF(AND(Q$4&gt;=$G28,Q$4&lt;=$H28),IF($F28="Monthly",$E28,IF(MOD(Q$4-$G28,12)=0,$E28,0)),0)</f>
        <v>0</v>
      </c>
      <c r="R28" s="17" t="n">
        <f aca="false">IF(AND(R$4&gt;=$G28,R$4&lt;=$H28),IF($F28="Monthly",$E28,IF(MOD(R$4-$G28,12)=0,$E28,0)),0)</f>
        <v>375</v>
      </c>
      <c r="S28" s="17" t="n">
        <f aca="false">IF(AND(S$4&gt;=$G28,S$4&lt;=$H28),IF($F28="Monthly",$E28,IF(MOD(S$4-$G28,12)=0,$E28,0)),0)</f>
        <v>0</v>
      </c>
      <c r="T28" s="17" t="n">
        <f aca="false">IF(AND(T$4&gt;=$G28,T$4&lt;=$H28),IF($F28="Monthly",$E28,IF(MOD(T$4-$G28,12)=0,$E28,0)),0)</f>
        <v>0</v>
      </c>
      <c r="U28" s="17" t="n">
        <f aca="false">IF(AND(U$4&gt;=$G28,U$4&lt;=$H28),IF($F28="Monthly",$E28,IF(MOD(U$4-$G28,12)=0,$E28,0)),0)</f>
        <v>0</v>
      </c>
      <c r="V28" s="17" t="n">
        <f aca="false">IF(AND(V$4&gt;=$G28,V$4&lt;=$H28),IF($F28="Monthly",$E28,IF(MOD(V$4-$G28,12)=0,$E28,0)),0)</f>
        <v>0</v>
      </c>
      <c r="W28" s="17" t="n">
        <f aca="false">IF(AND(W$4&gt;=$G28,W$4&lt;=$H28),IF($F28="Monthly",$E28,IF(MOD(W$4-$G28,12)=0,$E28,0)),0)</f>
        <v>0</v>
      </c>
      <c r="X28" s="17" t="n">
        <f aca="false">IF(AND(X$4&gt;=$G28,X$4&lt;=$H28),IF($F28="Monthly",$E28,IF(MOD(X$4-$G28,12)=0,$E28,0)),0)</f>
        <v>0</v>
      </c>
      <c r="Y28" s="17" t="n">
        <f aca="false">IF(AND(Y$4&gt;=$G28,Y$4&lt;=$H28),IF($F28="Monthly",$E28,IF(MOD(Y$4-$G28,12)=0,$E28,0)),0)</f>
        <v>0</v>
      </c>
      <c r="Z28" s="17" t="n">
        <f aca="false">IF(AND(Z$4&gt;=$G28,Z$4&lt;=$H28),IF($F28="Monthly",$E28,IF(MOD(Z$4-$G28,12)=0,$E28,0)),0)</f>
        <v>0</v>
      </c>
      <c r="AA28" s="17" t="n">
        <f aca="false">IF(AND(AA$4&gt;=$G28,AA$4&lt;=$H28),IF($F28="Monthly",$E28,IF(MOD(AA$4-$G28,12)=0,$E28,0)),0)</f>
        <v>0</v>
      </c>
      <c r="AB28" s="17" t="n">
        <f aca="false">IF(AND(AB$4&gt;=$G28,AB$4&lt;=$H28),IF($F28="Monthly",$E28,IF(MOD(AB$4-$G28,12)=0,$E28,0)),0)</f>
        <v>0</v>
      </c>
      <c r="AC28" s="17" t="n">
        <f aca="false">IF(AND(AC$4&gt;=$G28,AC$4&lt;=$H28),IF($F28="Monthly",$E28,IF(MOD(AC$4-$G28,12)=0,$E28,0)),0)</f>
        <v>0</v>
      </c>
      <c r="AD28" s="17" t="n">
        <f aca="false">IF(AND(AD$4&gt;=$G28,AD$4&lt;=$H28),IF($F28="Monthly",$E28,IF(MOD(AD$4-$G28,12)=0,$E28,0)),0)</f>
        <v>375</v>
      </c>
      <c r="AE28" s="17" t="n">
        <f aca="false">IF(AND(AE$4&gt;=$G28,AE$4&lt;=$H28),IF($F28="Monthly",$E28,IF(MOD(AE$4-$G28,12)=0,$E28,0)),0)</f>
        <v>0</v>
      </c>
      <c r="AF28" s="17" t="n">
        <f aca="false">IF(AND(AF$4&gt;=$G28,AF$4&lt;=$H28),IF($F28="Monthly",$E28,IF(MOD(AF$4-$G28,12)=0,$E28,0)),0)</f>
        <v>0</v>
      </c>
      <c r="AG28" s="17" t="n">
        <f aca="false">IF(AND(AG$4&gt;=$G28,AG$4&lt;=$H28),IF($F28="Monthly",$E28,IF(MOD(AG$4-$G28,12)=0,$E28,0)),0)</f>
        <v>0</v>
      </c>
      <c r="AH28" s="17" t="n">
        <f aca="false">IF(AND(AH$4&gt;=$G28,AH$4&lt;=$H28),IF($F28="Monthly",$E28,IF(MOD(AH$4-$G28,12)=0,$E28,0)),0)</f>
        <v>0</v>
      </c>
      <c r="AI28" s="17" t="n">
        <f aca="false">IF(AND(AI$4&gt;=$G28,AI$4&lt;=$H28),IF($F28="Monthly",$E28,IF(MOD(AI$4-$G28,12)=0,$E28,0)),0)</f>
        <v>0</v>
      </c>
      <c r="AJ28" s="17" t="n">
        <f aca="false">IF(AND(AJ$4&gt;=$G28,AJ$4&lt;=$H28),IF($F28="Monthly",$E28,IF(MOD(AJ$4-$G28,12)=0,$E28,0)),0)</f>
        <v>0</v>
      </c>
      <c r="AK28" s="17" t="n">
        <f aca="false">IF(AND(AK$4&gt;=$G28,AK$4&lt;=$H28),IF($F28="Monthly",$E28,IF(MOD(AK$4-$G28,12)=0,$E28,0)),0)</f>
        <v>0</v>
      </c>
      <c r="AL28" s="17" t="n">
        <f aca="false">IF(AND(AL$4&gt;=$G28,AL$4&lt;=$H28),IF($F28="Monthly",$E28,IF(MOD(AL$4-$G28,12)=0,$E28,0)),0)</f>
        <v>0</v>
      </c>
      <c r="AM28" s="17" t="n">
        <f aca="false">IF(AND(AM$4&gt;=$G28,AM$4&lt;=$H28),IF($F28="Monthly",$E28,IF(MOD(AM$4-$G28,12)=0,$E28,0)),0)</f>
        <v>0</v>
      </c>
      <c r="AN28" s="17" t="n">
        <f aca="false">IF(AND(AN$4&gt;=$G28,AN$4&lt;=$H28),IF($F28="Monthly",$E28,IF(MOD(AN$4-$G28,12)=0,$E28,0)),0)</f>
        <v>0</v>
      </c>
      <c r="AO28" s="17" t="n">
        <f aca="false">IF(AND(AO$4&gt;=$G28,AO$4&lt;=$H28),IF($F28="Monthly",$E28,IF(MOD(AO$4-$G28,12)=0,$E28,0)),0)</f>
        <v>0</v>
      </c>
      <c r="AP28" s="17" t="n">
        <f aca="false">IF(AND(AP$4&gt;=$G28,AP$4&lt;=$H28),IF($F28="Monthly",$E28,IF(MOD(AP$4-$G28,12)=0,$E28,0)),0)</f>
        <v>375</v>
      </c>
      <c r="AQ28" s="17" t="n">
        <f aca="false">IF(AND(AQ$4&gt;=$G28,AQ$4&lt;=$H28),IF($F28="Monthly",$E28,IF(MOD(AQ$4-$G28,12)=0,$E28,0)),0)</f>
        <v>0</v>
      </c>
      <c r="AR28" s="17" t="n">
        <f aca="false">IF(AND(AR$4&gt;=$G28,AR$4&lt;=$H28),IF($F28="Monthly",$E28,IF(MOD(AR$4-$G28,12)=0,$E28,0)),0)</f>
        <v>0</v>
      </c>
      <c r="AS28" s="17" t="n">
        <f aca="false">IF(AND(AS$4&gt;=$G28,AS$4&lt;=$H28),IF($F28="Monthly",$E28,IF(MOD(AS$4-$G28,12)=0,$E28,0)),0)</f>
        <v>0</v>
      </c>
      <c r="AT28" s="17" t="n">
        <f aca="false">IF(AND(AT$4&gt;=$G28,AT$4&lt;=$H28),IF($F28="Monthly",$E28,IF(MOD(AT$4-$G28,12)=0,$E28,0)),0)</f>
        <v>0</v>
      </c>
      <c r="AU28" s="17" t="n">
        <f aca="false">IF(AND(AU$4&gt;=$G28,AU$4&lt;=$H28),IF($F28="Monthly",$E28,IF(MOD(AU$4-$G28,12)=0,$E28,0)),0)</f>
        <v>0</v>
      </c>
      <c r="AV28" s="17" t="n">
        <f aca="false">IF(AND(AV$4&gt;=$G28,AV$4&lt;=$H28),IF($F28="Monthly",$E28,IF(MOD(AV$4-$G28,12)=0,$E28,0)),0)</f>
        <v>0</v>
      </c>
      <c r="AW28" s="17" t="n">
        <f aca="false">IF(AND(AW$4&gt;=$G28,AW$4&lt;=$H28),IF($F28="Monthly",$E28,IF(MOD(AW$4-$G28,12)=0,$E28,0)),0)</f>
        <v>0</v>
      </c>
      <c r="AX28" s="17" t="n">
        <f aca="false">IF(AND(AX$4&gt;=$G28,AX$4&lt;=$H28),IF($F28="Monthly",$E28,IF(MOD(AX$4-$G28,12)=0,$E28,0)),0)</f>
        <v>0</v>
      </c>
    </row>
    <row r="29" customFormat="false" ht="15" hidden="false" customHeight="false" outlineLevel="0" collapsed="false">
      <c r="A29" s="7" t="s">
        <v>731</v>
      </c>
      <c r="B29" s="7" t="s">
        <v>631</v>
      </c>
      <c r="C29" s="26" t="n">
        <v>500</v>
      </c>
      <c r="D29" s="26" t="n">
        <v>1500</v>
      </c>
      <c r="E29" s="15" t="n">
        <f aca="false">C29+Assumptions!$C$9*(D29-C29)</f>
        <v>1000</v>
      </c>
      <c r="F29" s="44" t="s">
        <v>681</v>
      </c>
      <c r="G29" s="22" t="n">
        <v>7</v>
      </c>
      <c r="H29" s="22" t="n">
        <v>36</v>
      </c>
      <c r="I29" s="17" t="n">
        <f aca="false">SUMIF($O$3:$AX$3,1,O29:AX29)</f>
        <v>1000</v>
      </c>
      <c r="J29" s="17" t="n">
        <f aca="false">SUMIF($O$3:$AX$3,2,O29:AX29)</f>
        <v>1000</v>
      </c>
      <c r="K29" s="17" t="n">
        <f aca="false">SUMIF($O$3:$AX$3,3,O29:AX29)</f>
        <v>1000</v>
      </c>
      <c r="L29" s="7" t="s">
        <v>732</v>
      </c>
      <c r="M29" s="7" t="s">
        <v>168</v>
      </c>
      <c r="O29" s="17" t="n">
        <f aca="false">IF(AND(O$4&gt;=$G29,O$4&lt;=$H29),IF($F29="Monthly",$E29,IF(MOD(O$4-$G29,12)=0,$E29,0)),0)</f>
        <v>0</v>
      </c>
      <c r="P29" s="17" t="n">
        <f aca="false">IF(AND(P$4&gt;=$G29,P$4&lt;=$H29),IF($F29="Monthly",$E29,IF(MOD(P$4-$G29,12)=0,$E29,0)),0)</f>
        <v>0</v>
      </c>
      <c r="Q29" s="17" t="n">
        <f aca="false">IF(AND(Q$4&gt;=$G29,Q$4&lt;=$H29),IF($F29="Monthly",$E29,IF(MOD(Q$4-$G29,12)=0,$E29,0)),0)</f>
        <v>0</v>
      </c>
      <c r="R29" s="17" t="n">
        <f aca="false">IF(AND(R$4&gt;=$G29,R$4&lt;=$H29),IF($F29="Monthly",$E29,IF(MOD(R$4-$G29,12)=0,$E29,0)),0)</f>
        <v>0</v>
      </c>
      <c r="S29" s="17" t="n">
        <f aca="false">IF(AND(S$4&gt;=$G29,S$4&lt;=$H29),IF($F29="Monthly",$E29,IF(MOD(S$4-$G29,12)=0,$E29,0)),0)</f>
        <v>0</v>
      </c>
      <c r="T29" s="17" t="n">
        <f aca="false">IF(AND(T$4&gt;=$G29,T$4&lt;=$H29),IF($F29="Monthly",$E29,IF(MOD(T$4-$G29,12)=0,$E29,0)),0)</f>
        <v>0</v>
      </c>
      <c r="U29" s="17" t="n">
        <f aca="false">IF(AND(U$4&gt;=$G29,U$4&lt;=$H29),IF($F29="Monthly",$E29,IF(MOD(U$4-$G29,12)=0,$E29,0)),0)</f>
        <v>1000</v>
      </c>
      <c r="V29" s="17" t="n">
        <f aca="false">IF(AND(V$4&gt;=$G29,V$4&lt;=$H29),IF($F29="Monthly",$E29,IF(MOD(V$4-$G29,12)=0,$E29,0)),0)</f>
        <v>0</v>
      </c>
      <c r="W29" s="17" t="n">
        <f aca="false">IF(AND(W$4&gt;=$G29,W$4&lt;=$H29),IF($F29="Monthly",$E29,IF(MOD(W$4-$G29,12)=0,$E29,0)),0)</f>
        <v>0</v>
      </c>
      <c r="X29" s="17" t="n">
        <f aca="false">IF(AND(X$4&gt;=$G29,X$4&lt;=$H29),IF($F29="Monthly",$E29,IF(MOD(X$4-$G29,12)=0,$E29,0)),0)</f>
        <v>0</v>
      </c>
      <c r="Y29" s="17" t="n">
        <f aca="false">IF(AND(Y$4&gt;=$G29,Y$4&lt;=$H29),IF($F29="Monthly",$E29,IF(MOD(Y$4-$G29,12)=0,$E29,0)),0)</f>
        <v>0</v>
      </c>
      <c r="Z29" s="17" t="n">
        <f aca="false">IF(AND(Z$4&gt;=$G29,Z$4&lt;=$H29),IF($F29="Monthly",$E29,IF(MOD(Z$4-$G29,12)=0,$E29,0)),0)</f>
        <v>0</v>
      </c>
      <c r="AA29" s="17" t="n">
        <f aca="false">IF(AND(AA$4&gt;=$G29,AA$4&lt;=$H29),IF($F29="Monthly",$E29,IF(MOD(AA$4-$G29,12)=0,$E29,0)),0)</f>
        <v>0</v>
      </c>
      <c r="AB29" s="17" t="n">
        <f aca="false">IF(AND(AB$4&gt;=$G29,AB$4&lt;=$H29),IF($F29="Monthly",$E29,IF(MOD(AB$4-$G29,12)=0,$E29,0)),0)</f>
        <v>0</v>
      </c>
      <c r="AC29" s="17" t="n">
        <f aca="false">IF(AND(AC$4&gt;=$G29,AC$4&lt;=$H29),IF($F29="Monthly",$E29,IF(MOD(AC$4-$G29,12)=0,$E29,0)),0)</f>
        <v>0</v>
      </c>
      <c r="AD29" s="17" t="n">
        <f aca="false">IF(AND(AD$4&gt;=$G29,AD$4&lt;=$H29),IF($F29="Monthly",$E29,IF(MOD(AD$4-$G29,12)=0,$E29,0)),0)</f>
        <v>0</v>
      </c>
      <c r="AE29" s="17" t="n">
        <f aca="false">IF(AND(AE$4&gt;=$G29,AE$4&lt;=$H29),IF($F29="Monthly",$E29,IF(MOD(AE$4-$G29,12)=0,$E29,0)),0)</f>
        <v>0</v>
      </c>
      <c r="AF29" s="17" t="n">
        <f aca="false">IF(AND(AF$4&gt;=$G29,AF$4&lt;=$H29),IF($F29="Monthly",$E29,IF(MOD(AF$4-$G29,12)=0,$E29,0)),0)</f>
        <v>0</v>
      </c>
      <c r="AG29" s="17" t="n">
        <f aca="false">IF(AND(AG$4&gt;=$G29,AG$4&lt;=$H29),IF($F29="Monthly",$E29,IF(MOD(AG$4-$G29,12)=0,$E29,0)),0)</f>
        <v>1000</v>
      </c>
      <c r="AH29" s="17" t="n">
        <f aca="false">IF(AND(AH$4&gt;=$G29,AH$4&lt;=$H29),IF($F29="Monthly",$E29,IF(MOD(AH$4-$G29,12)=0,$E29,0)),0)</f>
        <v>0</v>
      </c>
      <c r="AI29" s="17" t="n">
        <f aca="false">IF(AND(AI$4&gt;=$G29,AI$4&lt;=$H29),IF($F29="Monthly",$E29,IF(MOD(AI$4-$G29,12)=0,$E29,0)),0)</f>
        <v>0</v>
      </c>
      <c r="AJ29" s="17" t="n">
        <f aca="false">IF(AND(AJ$4&gt;=$G29,AJ$4&lt;=$H29),IF($F29="Monthly",$E29,IF(MOD(AJ$4-$G29,12)=0,$E29,0)),0)</f>
        <v>0</v>
      </c>
      <c r="AK29" s="17" t="n">
        <f aca="false">IF(AND(AK$4&gt;=$G29,AK$4&lt;=$H29),IF($F29="Monthly",$E29,IF(MOD(AK$4-$G29,12)=0,$E29,0)),0)</f>
        <v>0</v>
      </c>
      <c r="AL29" s="17" t="n">
        <f aca="false">IF(AND(AL$4&gt;=$G29,AL$4&lt;=$H29),IF($F29="Monthly",$E29,IF(MOD(AL$4-$G29,12)=0,$E29,0)),0)</f>
        <v>0</v>
      </c>
      <c r="AM29" s="17" t="n">
        <f aca="false">IF(AND(AM$4&gt;=$G29,AM$4&lt;=$H29),IF($F29="Monthly",$E29,IF(MOD(AM$4-$G29,12)=0,$E29,0)),0)</f>
        <v>0</v>
      </c>
      <c r="AN29" s="17" t="n">
        <f aca="false">IF(AND(AN$4&gt;=$G29,AN$4&lt;=$H29),IF($F29="Monthly",$E29,IF(MOD(AN$4-$G29,12)=0,$E29,0)),0)</f>
        <v>0</v>
      </c>
      <c r="AO29" s="17" t="n">
        <f aca="false">IF(AND(AO$4&gt;=$G29,AO$4&lt;=$H29),IF($F29="Monthly",$E29,IF(MOD(AO$4-$G29,12)=0,$E29,0)),0)</f>
        <v>0</v>
      </c>
      <c r="AP29" s="17" t="n">
        <f aca="false">IF(AND(AP$4&gt;=$G29,AP$4&lt;=$H29),IF($F29="Monthly",$E29,IF(MOD(AP$4-$G29,12)=0,$E29,0)),0)</f>
        <v>0</v>
      </c>
      <c r="AQ29" s="17" t="n">
        <f aca="false">IF(AND(AQ$4&gt;=$G29,AQ$4&lt;=$H29),IF($F29="Monthly",$E29,IF(MOD(AQ$4-$G29,12)=0,$E29,0)),0)</f>
        <v>0</v>
      </c>
      <c r="AR29" s="17" t="n">
        <f aca="false">IF(AND(AR$4&gt;=$G29,AR$4&lt;=$H29),IF($F29="Monthly",$E29,IF(MOD(AR$4-$G29,12)=0,$E29,0)),0)</f>
        <v>0</v>
      </c>
      <c r="AS29" s="17" t="n">
        <f aca="false">IF(AND(AS$4&gt;=$G29,AS$4&lt;=$H29),IF($F29="Monthly",$E29,IF(MOD(AS$4-$G29,12)=0,$E29,0)),0)</f>
        <v>1000</v>
      </c>
      <c r="AT29" s="17" t="n">
        <f aca="false">IF(AND(AT$4&gt;=$G29,AT$4&lt;=$H29),IF($F29="Monthly",$E29,IF(MOD(AT$4-$G29,12)=0,$E29,0)),0)</f>
        <v>0</v>
      </c>
      <c r="AU29" s="17" t="n">
        <f aca="false">IF(AND(AU$4&gt;=$G29,AU$4&lt;=$H29),IF($F29="Monthly",$E29,IF(MOD(AU$4-$G29,12)=0,$E29,0)),0)</f>
        <v>0</v>
      </c>
      <c r="AV29" s="17" t="n">
        <f aca="false">IF(AND(AV$4&gt;=$G29,AV$4&lt;=$H29),IF($F29="Monthly",$E29,IF(MOD(AV$4-$G29,12)=0,$E29,0)),0)</f>
        <v>0</v>
      </c>
      <c r="AW29" s="17" t="n">
        <f aca="false">IF(AND(AW$4&gt;=$G29,AW$4&lt;=$H29),IF($F29="Monthly",$E29,IF(MOD(AW$4-$G29,12)=0,$E29,0)),0)</f>
        <v>0</v>
      </c>
      <c r="AX29" s="17" t="n">
        <f aca="false">IF(AND(AX$4&gt;=$G29,AX$4&lt;=$H29),IF($F29="Monthly",$E29,IF(MOD(AX$4-$G29,12)=0,$E29,0)),0)</f>
        <v>0</v>
      </c>
    </row>
    <row r="30" customFormat="false" ht="15" hidden="false" customHeight="false" outlineLevel="0" collapsed="false">
      <c r="A30" s="7" t="s">
        <v>733</v>
      </c>
      <c r="B30" s="7" t="s">
        <v>602</v>
      </c>
      <c r="C30" s="26" t="n">
        <v>260</v>
      </c>
      <c r="D30" s="26" t="n">
        <v>340</v>
      </c>
      <c r="E30" s="15" t="n">
        <f aca="false">C30+Assumptions!$C$9*(D30-C30)</f>
        <v>300</v>
      </c>
      <c r="F30" s="44" t="s">
        <v>681</v>
      </c>
      <c r="G30" s="22" t="n">
        <v>13</v>
      </c>
      <c r="H30" s="22" t="n">
        <v>36</v>
      </c>
      <c r="I30" s="17" t="n">
        <f aca="false">SUMIF($O$3:$AX$3,1,O30:AX30)</f>
        <v>0</v>
      </c>
      <c r="J30" s="17" t="n">
        <f aca="false">SUMIF($O$3:$AX$3,2,O30:AX30)</f>
        <v>300</v>
      </c>
      <c r="K30" s="17" t="n">
        <f aca="false">SUMIF($O$3:$AX$3,3,O30:AX30)</f>
        <v>300</v>
      </c>
      <c r="L30" s="7" t="s">
        <v>734</v>
      </c>
      <c r="M30" s="7" t="s">
        <v>73</v>
      </c>
      <c r="O30" s="17" t="n">
        <f aca="false">IF(AND(O$4&gt;=$G30,O$4&lt;=$H30),IF($F30="Monthly",$E30,IF(MOD(O$4-$G30,12)=0,$E30,0)),0)</f>
        <v>0</v>
      </c>
      <c r="P30" s="17" t="n">
        <f aca="false">IF(AND(P$4&gt;=$G30,P$4&lt;=$H30),IF($F30="Monthly",$E30,IF(MOD(P$4-$G30,12)=0,$E30,0)),0)</f>
        <v>0</v>
      </c>
      <c r="Q30" s="17" t="n">
        <f aca="false">IF(AND(Q$4&gt;=$G30,Q$4&lt;=$H30),IF($F30="Monthly",$E30,IF(MOD(Q$4-$G30,12)=0,$E30,0)),0)</f>
        <v>0</v>
      </c>
      <c r="R30" s="17" t="n">
        <f aca="false">IF(AND(R$4&gt;=$G30,R$4&lt;=$H30),IF($F30="Monthly",$E30,IF(MOD(R$4-$G30,12)=0,$E30,0)),0)</f>
        <v>0</v>
      </c>
      <c r="S30" s="17" t="n">
        <f aca="false">IF(AND(S$4&gt;=$G30,S$4&lt;=$H30),IF($F30="Monthly",$E30,IF(MOD(S$4-$G30,12)=0,$E30,0)),0)</f>
        <v>0</v>
      </c>
      <c r="T30" s="17" t="n">
        <f aca="false">IF(AND(T$4&gt;=$G30,T$4&lt;=$H30),IF($F30="Monthly",$E30,IF(MOD(T$4-$G30,12)=0,$E30,0)),0)</f>
        <v>0</v>
      </c>
      <c r="U30" s="17" t="n">
        <f aca="false">IF(AND(U$4&gt;=$G30,U$4&lt;=$H30),IF($F30="Monthly",$E30,IF(MOD(U$4-$G30,12)=0,$E30,0)),0)</f>
        <v>0</v>
      </c>
      <c r="V30" s="17" t="n">
        <f aca="false">IF(AND(V$4&gt;=$G30,V$4&lt;=$H30),IF($F30="Monthly",$E30,IF(MOD(V$4-$G30,12)=0,$E30,0)),0)</f>
        <v>0</v>
      </c>
      <c r="W30" s="17" t="n">
        <f aca="false">IF(AND(W$4&gt;=$G30,W$4&lt;=$H30),IF($F30="Monthly",$E30,IF(MOD(W$4-$G30,12)=0,$E30,0)),0)</f>
        <v>0</v>
      </c>
      <c r="X30" s="17" t="n">
        <f aca="false">IF(AND(X$4&gt;=$G30,X$4&lt;=$H30),IF($F30="Monthly",$E30,IF(MOD(X$4-$G30,12)=0,$E30,0)),0)</f>
        <v>0</v>
      </c>
      <c r="Y30" s="17" t="n">
        <f aca="false">IF(AND(Y$4&gt;=$G30,Y$4&lt;=$H30),IF($F30="Monthly",$E30,IF(MOD(Y$4-$G30,12)=0,$E30,0)),0)</f>
        <v>0</v>
      </c>
      <c r="Z30" s="17" t="n">
        <f aca="false">IF(AND(Z$4&gt;=$G30,Z$4&lt;=$H30),IF($F30="Monthly",$E30,IF(MOD(Z$4-$G30,12)=0,$E30,0)),0)</f>
        <v>0</v>
      </c>
      <c r="AA30" s="17" t="n">
        <f aca="false">IF(AND(AA$4&gt;=$G30,AA$4&lt;=$H30),IF($F30="Monthly",$E30,IF(MOD(AA$4-$G30,12)=0,$E30,0)),0)</f>
        <v>300</v>
      </c>
      <c r="AB30" s="17" t="n">
        <f aca="false">IF(AND(AB$4&gt;=$G30,AB$4&lt;=$H30),IF($F30="Monthly",$E30,IF(MOD(AB$4-$G30,12)=0,$E30,0)),0)</f>
        <v>0</v>
      </c>
      <c r="AC30" s="17" t="n">
        <f aca="false">IF(AND(AC$4&gt;=$G30,AC$4&lt;=$H30),IF($F30="Monthly",$E30,IF(MOD(AC$4-$G30,12)=0,$E30,0)),0)</f>
        <v>0</v>
      </c>
      <c r="AD30" s="17" t="n">
        <f aca="false">IF(AND(AD$4&gt;=$G30,AD$4&lt;=$H30),IF($F30="Monthly",$E30,IF(MOD(AD$4-$G30,12)=0,$E30,0)),0)</f>
        <v>0</v>
      </c>
      <c r="AE30" s="17" t="n">
        <f aca="false">IF(AND(AE$4&gt;=$G30,AE$4&lt;=$H30),IF($F30="Monthly",$E30,IF(MOD(AE$4-$G30,12)=0,$E30,0)),0)</f>
        <v>0</v>
      </c>
      <c r="AF30" s="17" t="n">
        <f aca="false">IF(AND(AF$4&gt;=$G30,AF$4&lt;=$H30),IF($F30="Monthly",$E30,IF(MOD(AF$4-$G30,12)=0,$E30,0)),0)</f>
        <v>0</v>
      </c>
      <c r="AG30" s="17" t="n">
        <f aca="false">IF(AND(AG$4&gt;=$G30,AG$4&lt;=$H30),IF($F30="Monthly",$E30,IF(MOD(AG$4-$G30,12)=0,$E30,0)),0)</f>
        <v>0</v>
      </c>
      <c r="AH30" s="17" t="n">
        <f aca="false">IF(AND(AH$4&gt;=$G30,AH$4&lt;=$H30),IF($F30="Monthly",$E30,IF(MOD(AH$4-$G30,12)=0,$E30,0)),0)</f>
        <v>0</v>
      </c>
      <c r="AI30" s="17" t="n">
        <f aca="false">IF(AND(AI$4&gt;=$G30,AI$4&lt;=$H30),IF($F30="Monthly",$E30,IF(MOD(AI$4-$G30,12)=0,$E30,0)),0)</f>
        <v>0</v>
      </c>
      <c r="AJ30" s="17" t="n">
        <f aca="false">IF(AND(AJ$4&gt;=$G30,AJ$4&lt;=$H30),IF($F30="Monthly",$E30,IF(MOD(AJ$4-$G30,12)=0,$E30,0)),0)</f>
        <v>0</v>
      </c>
      <c r="AK30" s="17" t="n">
        <f aca="false">IF(AND(AK$4&gt;=$G30,AK$4&lt;=$H30),IF($F30="Monthly",$E30,IF(MOD(AK$4-$G30,12)=0,$E30,0)),0)</f>
        <v>0</v>
      </c>
      <c r="AL30" s="17" t="n">
        <f aca="false">IF(AND(AL$4&gt;=$G30,AL$4&lt;=$H30),IF($F30="Monthly",$E30,IF(MOD(AL$4-$G30,12)=0,$E30,0)),0)</f>
        <v>0</v>
      </c>
      <c r="AM30" s="17" t="n">
        <f aca="false">IF(AND(AM$4&gt;=$G30,AM$4&lt;=$H30),IF($F30="Monthly",$E30,IF(MOD(AM$4-$G30,12)=0,$E30,0)),0)</f>
        <v>300</v>
      </c>
      <c r="AN30" s="17" t="n">
        <f aca="false">IF(AND(AN$4&gt;=$G30,AN$4&lt;=$H30),IF($F30="Monthly",$E30,IF(MOD(AN$4-$G30,12)=0,$E30,0)),0)</f>
        <v>0</v>
      </c>
      <c r="AO30" s="17" t="n">
        <f aca="false">IF(AND(AO$4&gt;=$G30,AO$4&lt;=$H30),IF($F30="Monthly",$E30,IF(MOD(AO$4-$G30,12)=0,$E30,0)),0)</f>
        <v>0</v>
      </c>
      <c r="AP30" s="17" t="n">
        <f aca="false">IF(AND(AP$4&gt;=$G30,AP$4&lt;=$H30),IF($F30="Monthly",$E30,IF(MOD(AP$4-$G30,12)=0,$E30,0)),0)</f>
        <v>0</v>
      </c>
      <c r="AQ30" s="17" t="n">
        <f aca="false">IF(AND(AQ$4&gt;=$G30,AQ$4&lt;=$H30),IF($F30="Monthly",$E30,IF(MOD(AQ$4-$G30,12)=0,$E30,0)),0)</f>
        <v>0</v>
      </c>
      <c r="AR30" s="17" t="n">
        <f aca="false">IF(AND(AR$4&gt;=$G30,AR$4&lt;=$H30),IF($F30="Monthly",$E30,IF(MOD(AR$4-$G30,12)=0,$E30,0)),0)</f>
        <v>0</v>
      </c>
      <c r="AS30" s="17" t="n">
        <f aca="false">IF(AND(AS$4&gt;=$G30,AS$4&lt;=$H30),IF($F30="Monthly",$E30,IF(MOD(AS$4-$G30,12)=0,$E30,0)),0)</f>
        <v>0</v>
      </c>
      <c r="AT30" s="17" t="n">
        <f aca="false">IF(AND(AT$4&gt;=$G30,AT$4&lt;=$H30),IF($F30="Monthly",$E30,IF(MOD(AT$4-$G30,12)=0,$E30,0)),0)</f>
        <v>0</v>
      </c>
      <c r="AU30" s="17" t="n">
        <f aca="false">IF(AND(AU$4&gt;=$G30,AU$4&lt;=$H30),IF($F30="Monthly",$E30,IF(MOD(AU$4-$G30,12)=0,$E30,0)),0)</f>
        <v>0</v>
      </c>
      <c r="AV30" s="17" t="n">
        <f aca="false">IF(AND(AV$4&gt;=$G30,AV$4&lt;=$H30),IF($F30="Monthly",$E30,IF(MOD(AV$4-$G30,12)=0,$E30,0)),0)</f>
        <v>0</v>
      </c>
      <c r="AW30" s="17" t="n">
        <f aca="false">IF(AND(AW$4&gt;=$G30,AW$4&lt;=$H30),IF($F30="Monthly",$E30,IF(MOD(AW$4-$G30,12)=0,$E30,0)),0)</f>
        <v>0</v>
      </c>
      <c r="AX30" s="17" t="n">
        <f aca="false">IF(AND(AX$4&gt;=$G30,AX$4&lt;=$H30),IF($F30="Monthly",$E30,IF(MOD(AX$4-$G30,12)=0,$E30,0)),0)</f>
        <v>0</v>
      </c>
    </row>
    <row r="31" customFormat="false" ht="15" hidden="false" customHeight="false" outlineLevel="0" collapsed="false">
      <c r="A31" s="39" t="s">
        <v>735</v>
      </c>
      <c r="B31" s="32"/>
      <c r="C31" s="32"/>
      <c r="D31" s="32"/>
      <c r="E31" s="32"/>
      <c r="F31" s="32"/>
      <c r="G31" s="32"/>
      <c r="H31" s="32"/>
      <c r="I31" s="45" t="n">
        <f aca="false">SUM(I6:I30)</f>
        <v>10990.02</v>
      </c>
      <c r="J31" s="45" t="n">
        <f aca="false">SUM(J6:J30)</f>
        <v>11667.02</v>
      </c>
      <c r="K31" s="45" t="n">
        <f aca="false">SUM(K6:K30)</f>
        <v>11667.02</v>
      </c>
      <c r="L31" s="32"/>
      <c r="M31" s="32"/>
      <c r="N31" s="32"/>
      <c r="O31" s="45" t="n">
        <f aca="false">SUM(O6:O30)</f>
        <v>1124.835</v>
      </c>
      <c r="P31" s="45" t="n">
        <f aca="false">SUM(P6:P30)</f>
        <v>668.835</v>
      </c>
      <c r="Q31" s="45" t="n">
        <f aca="false">SUM(Q6:Q30)</f>
        <v>740.335</v>
      </c>
      <c r="R31" s="45" t="n">
        <f aca="false">SUM(R6:R30)</f>
        <v>1115.335</v>
      </c>
      <c r="S31" s="45" t="n">
        <f aca="false">SUM(S6:S30)</f>
        <v>858.335</v>
      </c>
      <c r="T31" s="45" t="n">
        <f aca="false">SUM(T6:T30)</f>
        <v>740.335</v>
      </c>
      <c r="U31" s="45" t="n">
        <f aca="false">SUM(U6:U30)</f>
        <v>2040.335</v>
      </c>
      <c r="V31" s="45" t="n">
        <f aca="false">SUM(V6:V30)</f>
        <v>740.335</v>
      </c>
      <c r="W31" s="45" t="n">
        <f aca="false">SUM(W6:W30)</f>
        <v>740.335</v>
      </c>
      <c r="X31" s="45" t="n">
        <f aca="false">SUM(X6:X30)</f>
        <v>740.335</v>
      </c>
      <c r="Y31" s="45" t="n">
        <f aca="false">SUM(Y6:Y30)</f>
        <v>740.335</v>
      </c>
      <c r="Z31" s="45" t="n">
        <f aca="false">SUM(Z6:Z30)</f>
        <v>740.335</v>
      </c>
      <c r="AA31" s="45" t="n">
        <f aca="false">SUM(AA6:AA30)</f>
        <v>1515.835</v>
      </c>
      <c r="AB31" s="45" t="n">
        <f aca="false">SUM(AB6:AB30)</f>
        <v>759.835</v>
      </c>
      <c r="AC31" s="45" t="n">
        <f aca="false">SUM(AC6:AC30)</f>
        <v>759.835</v>
      </c>
      <c r="AD31" s="45" t="n">
        <f aca="false">SUM(AD6:AD30)</f>
        <v>1134.835</v>
      </c>
      <c r="AE31" s="45" t="n">
        <f aca="false">SUM(AE6:AE30)</f>
        <v>877.835</v>
      </c>
      <c r="AF31" s="45" t="n">
        <f aca="false">SUM(AF6:AF30)</f>
        <v>759.835</v>
      </c>
      <c r="AG31" s="45" t="n">
        <f aca="false">SUM(AG6:AG30)</f>
        <v>2059.835</v>
      </c>
      <c r="AH31" s="45" t="n">
        <f aca="false">SUM(AH6:AH30)</f>
        <v>759.835</v>
      </c>
      <c r="AI31" s="45" t="n">
        <f aca="false">SUM(AI6:AI30)</f>
        <v>759.835</v>
      </c>
      <c r="AJ31" s="45" t="n">
        <f aca="false">SUM(AJ6:AJ30)</f>
        <v>759.835</v>
      </c>
      <c r="AK31" s="45" t="n">
        <f aca="false">SUM(AK6:AK30)</f>
        <v>759.835</v>
      </c>
      <c r="AL31" s="45" t="n">
        <f aca="false">SUM(AL6:AL30)</f>
        <v>759.835</v>
      </c>
      <c r="AM31" s="45" t="n">
        <f aca="false">SUM(AM6:AM30)</f>
        <v>1515.835</v>
      </c>
      <c r="AN31" s="45" t="n">
        <f aca="false">SUM(AN6:AN30)</f>
        <v>759.835</v>
      </c>
      <c r="AO31" s="45" t="n">
        <f aca="false">SUM(AO6:AO30)</f>
        <v>759.835</v>
      </c>
      <c r="AP31" s="45" t="n">
        <f aca="false">SUM(AP6:AP30)</f>
        <v>1134.835</v>
      </c>
      <c r="AQ31" s="45" t="n">
        <f aca="false">SUM(AQ6:AQ30)</f>
        <v>877.835</v>
      </c>
      <c r="AR31" s="45" t="n">
        <f aca="false">SUM(AR6:AR30)</f>
        <v>759.835</v>
      </c>
      <c r="AS31" s="45" t="n">
        <f aca="false">SUM(AS6:AS30)</f>
        <v>2059.835</v>
      </c>
      <c r="AT31" s="45" t="n">
        <f aca="false">SUM(AT6:AT30)</f>
        <v>759.835</v>
      </c>
      <c r="AU31" s="45" t="n">
        <f aca="false">SUM(AU6:AU30)</f>
        <v>759.835</v>
      </c>
      <c r="AV31" s="45" t="n">
        <f aca="false">SUM(AV6:AV30)</f>
        <v>759.835</v>
      </c>
      <c r="AW31" s="45" t="n">
        <f aca="false">SUM(AW6:AW30)</f>
        <v>759.835</v>
      </c>
      <c r="AX31" s="45" t="n">
        <f aca="false">SUM(AX6:AX30)</f>
        <v>759.835</v>
      </c>
    </row>
    <row r="32" customFormat="false" ht="15" hidden="false" customHeight="false" outlineLevel="0" collapsed="false">
      <c r="A32" s="33" t="s">
        <v>736</v>
      </c>
      <c r="B32" s="32"/>
      <c r="C32" s="32"/>
      <c r="D32" s="32"/>
      <c r="E32" s="32"/>
      <c r="F32" s="32"/>
      <c r="G32" s="32"/>
      <c r="H32" s="32"/>
      <c r="I32" s="46" t="n">
        <f aca="false">I31*Assumptions!$C$17</f>
        <v>1099.002</v>
      </c>
      <c r="J32" s="46" t="n">
        <f aca="false">J31*Assumptions!$C$17</f>
        <v>1166.702</v>
      </c>
      <c r="K32" s="46" t="n">
        <f aca="false">K31*Assumptions!$C$17</f>
        <v>1166.702</v>
      </c>
      <c r="L32" s="32"/>
      <c r="M32" s="32"/>
      <c r="N32" s="32"/>
      <c r="O32" s="46" t="n">
        <f aca="false">O31*Assumptions!$C$17</f>
        <v>112.4835</v>
      </c>
      <c r="P32" s="46" t="n">
        <f aca="false">P31*Assumptions!$C$17</f>
        <v>66.8835</v>
      </c>
      <c r="Q32" s="46" t="n">
        <f aca="false">Q31*Assumptions!$C$17</f>
        <v>74.0335</v>
      </c>
      <c r="R32" s="46" t="n">
        <f aca="false">R31*Assumptions!$C$17</f>
        <v>111.5335</v>
      </c>
      <c r="S32" s="46" t="n">
        <f aca="false">S31*Assumptions!$C$17</f>
        <v>85.8335</v>
      </c>
      <c r="T32" s="46" t="n">
        <f aca="false">T31*Assumptions!$C$17</f>
        <v>74.0335</v>
      </c>
      <c r="U32" s="46" t="n">
        <f aca="false">U31*Assumptions!$C$17</f>
        <v>204.0335</v>
      </c>
      <c r="V32" s="46" t="n">
        <f aca="false">V31*Assumptions!$C$17</f>
        <v>74.0335</v>
      </c>
      <c r="W32" s="46" t="n">
        <f aca="false">W31*Assumptions!$C$17</f>
        <v>74.0335</v>
      </c>
      <c r="X32" s="46" t="n">
        <f aca="false">X31*Assumptions!$C$17</f>
        <v>74.0335</v>
      </c>
      <c r="Y32" s="46" t="n">
        <f aca="false">Y31*Assumptions!$C$17</f>
        <v>74.0335</v>
      </c>
      <c r="Z32" s="46" t="n">
        <f aca="false">Z31*Assumptions!$C$17</f>
        <v>74.0335</v>
      </c>
      <c r="AA32" s="46" t="n">
        <f aca="false">AA31*Assumptions!$C$17</f>
        <v>151.5835</v>
      </c>
      <c r="AB32" s="46" t="n">
        <f aca="false">AB31*Assumptions!$C$17</f>
        <v>75.9835</v>
      </c>
      <c r="AC32" s="46" t="n">
        <f aca="false">AC31*Assumptions!$C$17</f>
        <v>75.9835</v>
      </c>
      <c r="AD32" s="46" t="n">
        <f aca="false">AD31*Assumptions!$C$17</f>
        <v>113.4835</v>
      </c>
      <c r="AE32" s="46" t="n">
        <f aca="false">AE31*Assumptions!$C$17</f>
        <v>87.7835</v>
      </c>
      <c r="AF32" s="46" t="n">
        <f aca="false">AF31*Assumptions!$C$17</f>
        <v>75.9835</v>
      </c>
      <c r="AG32" s="46" t="n">
        <f aca="false">AG31*Assumptions!$C$17</f>
        <v>205.9835</v>
      </c>
      <c r="AH32" s="46" t="n">
        <f aca="false">AH31*Assumptions!$C$17</f>
        <v>75.9835</v>
      </c>
      <c r="AI32" s="46" t="n">
        <f aca="false">AI31*Assumptions!$C$17</f>
        <v>75.9835</v>
      </c>
      <c r="AJ32" s="46" t="n">
        <f aca="false">AJ31*Assumptions!$C$17</f>
        <v>75.9835</v>
      </c>
      <c r="AK32" s="46" t="n">
        <f aca="false">AK31*Assumptions!$C$17</f>
        <v>75.9835</v>
      </c>
      <c r="AL32" s="46" t="n">
        <f aca="false">AL31*Assumptions!$C$17</f>
        <v>75.9835</v>
      </c>
      <c r="AM32" s="46" t="n">
        <f aca="false">AM31*Assumptions!$C$17</f>
        <v>151.5835</v>
      </c>
      <c r="AN32" s="46" t="n">
        <f aca="false">AN31*Assumptions!$C$17</f>
        <v>75.9835</v>
      </c>
      <c r="AO32" s="46" t="n">
        <f aca="false">AO31*Assumptions!$C$17</f>
        <v>75.9835</v>
      </c>
      <c r="AP32" s="46" t="n">
        <f aca="false">AP31*Assumptions!$C$17</f>
        <v>113.4835</v>
      </c>
      <c r="AQ32" s="46" t="n">
        <f aca="false">AQ31*Assumptions!$C$17</f>
        <v>87.7835</v>
      </c>
      <c r="AR32" s="46" t="n">
        <f aca="false">AR31*Assumptions!$C$17</f>
        <v>75.9835</v>
      </c>
      <c r="AS32" s="46" t="n">
        <f aca="false">AS31*Assumptions!$C$17</f>
        <v>205.9835</v>
      </c>
      <c r="AT32" s="46" t="n">
        <f aca="false">AT31*Assumptions!$C$17</f>
        <v>75.9835</v>
      </c>
      <c r="AU32" s="46" t="n">
        <f aca="false">AU31*Assumptions!$C$17</f>
        <v>75.9835</v>
      </c>
      <c r="AV32" s="46" t="n">
        <f aca="false">AV31*Assumptions!$C$17</f>
        <v>75.9835</v>
      </c>
      <c r="AW32" s="46" t="n">
        <f aca="false">AW31*Assumptions!$C$17</f>
        <v>75.9835</v>
      </c>
      <c r="AX32" s="46" t="n">
        <f aca="false">AX31*Assumptions!$C$17</f>
        <v>75.9835</v>
      </c>
    </row>
    <row r="33" customFormat="false" ht="15" hidden="false" customHeight="false" outlineLevel="0" collapsed="false">
      <c r="A33" s="33" t="s">
        <v>737</v>
      </c>
      <c r="B33" s="32"/>
      <c r="C33" s="32"/>
      <c r="D33" s="32"/>
      <c r="E33" s="32"/>
      <c r="F33" s="32"/>
      <c r="G33" s="32"/>
      <c r="H33" s="32"/>
      <c r="I33" s="47" t="n">
        <f aca="false">I31+I32</f>
        <v>12089.022</v>
      </c>
      <c r="J33" s="47" t="n">
        <f aca="false">J31+J32</f>
        <v>12833.722</v>
      </c>
      <c r="K33" s="47" t="n">
        <f aca="false">K31+K32</f>
        <v>12833.722</v>
      </c>
      <c r="L33" s="32"/>
      <c r="M33" s="32"/>
      <c r="N33" s="32"/>
      <c r="O33" s="47" t="n">
        <f aca="false">O31+O32</f>
        <v>1237.3185</v>
      </c>
      <c r="P33" s="47" t="n">
        <f aca="false">P31+P32</f>
        <v>735.7185</v>
      </c>
      <c r="Q33" s="47" t="n">
        <f aca="false">Q31+Q32</f>
        <v>814.3685</v>
      </c>
      <c r="R33" s="47" t="n">
        <f aca="false">R31+R32</f>
        <v>1226.8685</v>
      </c>
      <c r="S33" s="47" t="n">
        <f aca="false">S31+S32</f>
        <v>944.1685</v>
      </c>
      <c r="T33" s="47" t="n">
        <f aca="false">T31+T32</f>
        <v>814.3685</v>
      </c>
      <c r="U33" s="47" t="n">
        <f aca="false">U31+U32</f>
        <v>2244.3685</v>
      </c>
      <c r="V33" s="47" t="n">
        <f aca="false">V31+V32</f>
        <v>814.3685</v>
      </c>
      <c r="W33" s="47" t="n">
        <f aca="false">W31+W32</f>
        <v>814.3685</v>
      </c>
      <c r="X33" s="47" t="n">
        <f aca="false">X31+X32</f>
        <v>814.3685</v>
      </c>
      <c r="Y33" s="47" t="n">
        <f aca="false">Y31+Y32</f>
        <v>814.3685</v>
      </c>
      <c r="Z33" s="47" t="n">
        <f aca="false">Z31+Z32</f>
        <v>814.3685</v>
      </c>
      <c r="AA33" s="47" t="n">
        <f aca="false">AA31+AA32</f>
        <v>1667.4185</v>
      </c>
      <c r="AB33" s="47" t="n">
        <f aca="false">AB31+AB32</f>
        <v>835.8185</v>
      </c>
      <c r="AC33" s="47" t="n">
        <f aca="false">AC31+AC32</f>
        <v>835.8185</v>
      </c>
      <c r="AD33" s="47" t="n">
        <f aca="false">AD31+AD32</f>
        <v>1248.3185</v>
      </c>
      <c r="AE33" s="47" t="n">
        <f aca="false">AE31+AE32</f>
        <v>965.6185</v>
      </c>
      <c r="AF33" s="47" t="n">
        <f aca="false">AF31+AF32</f>
        <v>835.8185</v>
      </c>
      <c r="AG33" s="47" t="n">
        <f aca="false">AG31+AG32</f>
        <v>2265.8185</v>
      </c>
      <c r="AH33" s="47" t="n">
        <f aca="false">AH31+AH32</f>
        <v>835.8185</v>
      </c>
      <c r="AI33" s="47" t="n">
        <f aca="false">AI31+AI32</f>
        <v>835.8185</v>
      </c>
      <c r="AJ33" s="47" t="n">
        <f aca="false">AJ31+AJ32</f>
        <v>835.8185</v>
      </c>
      <c r="AK33" s="47" t="n">
        <f aca="false">AK31+AK32</f>
        <v>835.8185</v>
      </c>
      <c r="AL33" s="47" t="n">
        <f aca="false">AL31+AL32</f>
        <v>835.8185</v>
      </c>
      <c r="AM33" s="47" t="n">
        <f aca="false">AM31+AM32</f>
        <v>1667.4185</v>
      </c>
      <c r="AN33" s="47" t="n">
        <f aca="false">AN31+AN32</f>
        <v>835.8185</v>
      </c>
      <c r="AO33" s="47" t="n">
        <f aca="false">AO31+AO32</f>
        <v>835.8185</v>
      </c>
      <c r="AP33" s="47" t="n">
        <f aca="false">AP31+AP32</f>
        <v>1248.3185</v>
      </c>
      <c r="AQ33" s="47" t="n">
        <f aca="false">AQ31+AQ32</f>
        <v>965.6185</v>
      </c>
      <c r="AR33" s="47" t="n">
        <f aca="false">AR31+AR32</f>
        <v>835.8185</v>
      </c>
      <c r="AS33" s="47" t="n">
        <f aca="false">AS31+AS32</f>
        <v>2265.8185</v>
      </c>
      <c r="AT33" s="47" t="n">
        <f aca="false">AT31+AT32</f>
        <v>835.8185</v>
      </c>
      <c r="AU33" s="47" t="n">
        <f aca="false">AU31+AU32</f>
        <v>835.8185</v>
      </c>
      <c r="AV33" s="47" t="n">
        <f aca="false">AV31+AV32</f>
        <v>835.8185</v>
      </c>
      <c r="AW33" s="47" t="n">
        <f aca="false">AW31+AW32</f>
        <v>835.8185</v>
      </c>
      <c r="AX33" s="47" t="n">
        <f aca="false">AX31+AX32</f>
        <v>835.8185</v>
      </c>
    </row>
    <row r="35" customFormat="false" ht="15" hidden="false" customHeight="false" outlineLevel="0" collapsed="false">
      <c r="A35" s="9" t="s">
        <v>738</v>
      </c>
    </row>
  </sheetData>
  <mergeCells count="1">
    <mergeCell ref="A2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AP3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1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18" t="s">
        <v>739</v>
      </c>
    </row>
    <row r="2" customFormat="false" ht="27.75" hidden="false" customHeight="true" outlineLevel="0" collapsed="false">
      <c r="A2" s="2" t="s">
        <v>740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741</v>
      </c>
      <c r="B4" s="9" t="s">
        <v>742</v>
      </c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42" t="n">
        <v>6</v>
      </c>
      <c r="I4" s="42" t="n">
        <v>7</v>
      </c>
      <c r="J4" s="42" t="n">
        <v>8</v>
      </c>
      <c r="K4" s="42" t="n">
        <v>9</v>
      </c>
      <c r="L4" s="42" t="n">
        <v>10</v>
      </c>
      <c r="M4" s="42" t="n">
        <v>11</v>
      </c>
      <c r="N4" s="42" t="n">
        <v>12</v>
      </c>
      <c r="O4" s="42" t="n">
        <v>13</v>
      </c>
      <c r="P4" s="42" t="n">
        <v>14</v>
      </c>
      <c r="Q4" s="42" t="n">
        <v>15</v>
      </c>
      <c r="R4" s="42" t="n">
        <v>16</v>
      </c>
      <c r="S4" s="42" t="n">
        <v>17</v>
      </c>
      <c r="T4" s="42" t="n">
        <v>18</v>
      </c>
      <c r="U4" s="42" t="n">
        <v>19</v>
      </c>
      <c r="V4" s="42" t="n">
        <v>20</v>
      </c>
      <c r="W4" s="42" t="n">
        <v>21</v>
      </c>
      <c r="X4" s="42" t="n">
        <v>22</v>
      </c>
      <c r="Y4" s="42" t="n">
        <v>23</v>
      </c>
      <c r="Z4" s="42" t="n">
        <v>24</v>
      </c>
      <c r="AA4" s="42" t="n">
        <v>25</v>
      </c>
      <c r="AB4" s="42" t="n">
        <v>26</v>
      </c>
      <c r="AC4" s="42" t="n">
        <v>27</v>
      </c>
      <c r="AD4" s="42" t="n">
        <v>28</v>
      </c>
      <c r="AE4" s="42" t="n">
        <v>29</v>
      </c>
      <c r="AF4" s="42" t="n">
        <v>30</v>
      </c>
      <c r="AG4" s="42" t="n">
        <v>31</v>
      </c>
      <c r="AH4" s="42" t="n">
        <v>32</v>
      </c>
      <c r="AI4" s="42" t="n">
        <v>33</v>
      </c>
      <c r="AJ4" s="42" t="n">
        <v>34</v>
      </c>
      <c r="AK4" s="42" t="n">
        <v>35</v>
      </c>
      <c r="AL4" s="42" t="n">
        <v>36</v>
      </c>
      <c r="AM4" s="9" t="s">
        <v>743</v>
      </c>
      <c r="AN4" s="9" t="s">
        <v>743</v>
      </c>
      <c r="AO4" s="9" t="s">
        <v>743</v>
      </c>
      <c r="AP4" s="9" t="s">
        <v>744</v>
      </c>
    </row>
    <row r="5" customFormat="false" ht="15" hidden="false" customHeight="false" outlineLevel="0" collapsed="false">
      <c r="A5" s="10" t="s">
        <v>745</v>
      </c>
      <c r="C5" s="48" t="n">
        <f aca="false">DATE(YEAR(Assumptions!$C$8),MONTH(Assumptions!$C$8)+C4-1,1)</f>
        <v>46296</v>
      </c>
      <c r="D5" s="48" t="n">
        <f aca="false">DATE(YEAR(Assumptions!$C$8),MONTH(Assumptions!$C$8)+D4-1,1)</f>
        <v>46327</v>
      </c>
      <c r="E5" s="48" t="n">
        <f aca="false">DATE(YEAR(Assumptions!$C$8),MONTH(Assumptions!$C$8)+E4-1,1)</f>
        <v>46357</v>
      </c>
      <c r="F5" s="48" t="n">
        <f aca="false">DATE(YEAR(Assumptions!$C$8),MONTH(Assumptions!$C$8)+F4-1,1)</f>
        <v>46388</v>
      </c>
      <c r="G5" s="48" t="n">
        <f aca="false">DATE(YEAR(Assumptions!$C$8),MONTH(Assumptions!$C$8)+G4-1,1)</f>
        <v>46419</v>
      </c>
      <c r="H5" s="48" t="n">
        <f aca="false">DATE(YEAR(Assumptions!$C$8),MONTH(Assumptions!$C$8)+H4-1,1)</f>
        <v>46447</v>
      </c>
      <c r="I5" s="48" t="n">
        <f aca="false">DATE(YEAR(Assumptions!$C$8),MONTH(Assumptions!$C$8)+I4-1,1)</f>
        <v>46478</v>
      </c>
      <c r="J5" s="48" t="n">
        <f aca="false">DATE(YEAR(Assumptions!$C$8),MONTH(Assumptions!$C$8)+J4-1,1)</f>
        <v>46508</v>
      </c>
      <c r="K5" s="48" t="n">
        <f aca="false">DATE(YEAR(Assumptions!$C$8),MONTH(Assumptions!$C$8)+K4-1,1)</f>
        <v>46539</v>
      </c>
      <c r="L5" s="48" t="n">
        <f aca="false">DATE(YEAR(Assumptions!$C$8),MONTH(Assumptions!$C$8)+L4-1,1)</f>
        <v>46569</v>
      </c>
      <c r="M5" s="48" t="n">
        <f aca="false">DATE(YEAR(Assumptions!$C$8),MONTH(Assumptions!$C$8)+M4-1,1)</f>
        <v>46600</v>
      </c>
      <c r="N5" s="48" t="n">
        <f aca="false">DATE(YEAR(Assumptions!$C$8),MONTH(Assumptions!$C$8)+N4-1,1)</f>
        <v>46631</v>
      </c>
      <c r="O5" s="48" t="n">
        <f aca="false">DATE(YEAR(Assumptions!$C$8),MONTH(Assumptions!$C$8)+O4-1,1)</f>
        <v>46661</v>
      </c>
      <c r="P5" s="48" t="n">
        <f aca="false">DATE(YEAR(Assumptions!$C$8),MONTH(Assumptions!$C$8)+P4-1,1)</f>
        <v>46692</v>
      </c>
      <c r="Q5" s="48" t="n">
        <f aca="false">DATE(YEAR(Assumptions!$C$8),MONTH(Assumptions!$C$8)+Q4-1,1)</f>
        <v>46722</v>
      </c>
      <c r="R5" s="48" t="n">
        <f aca="false">DATE(YEAR(Assumptions!$C$8),MONTH(Assumptions!$C$8)+R4-1,1)</f>
        <v>46753</v>
      </c>
      <c r="S5" s="48" t="n">
        <f aca="false">DATE(YEAR(Assumptions!$C$8),MONTH(Assumptions!$C$8)+S4-1,1)</f>
        <v>46784</v>
      </c>
      <c r="T5" s="48" t="n">
        <f aca="false">DATE(YEAR(Assumptions!$C$8),MONTH(Assumptions!$C$8)+T4-1,1)</f>
        <v>46813</v>
      </c>
      <c r="U5" s="48" t="n">
        <f aca="false">DATE(YEAR(Assumptions!$C$8),MONTH(Assumptions!$C$8)+U4-1,1)</f>
        <v>46844</v>
      </c>
      <c r="V5" s="48" t="n">
        <f aca="false">DATE(YEAR(Assumptions!$C$8),MONTH(Assumptions!$C$8)+V4-1,1)</f>
        <v>46874</v>
      </c>
      <c r="W5" s="48" t="n">
        <f aca="false">DATE(YEAR(Assumptions!$C$8),MONTH(Assumptions!$C$8)+W4-1,1)</f>
        <v>46905</v>
      </c>
      <c r="X5" s="48" t="n">
        <f aca="false">DATE(YEAR(Assumptions!$C$8),MONTH(Assumptions!$C$8)+X4-1,1)</f>
        <v>46935</v>
      </c>
      <c r="Y5" s="48" t="n">
        <f aca="false">DATE(YEAR(Assumptions!$C$8),MONTH(Assumptions!$C$8)+Y4-1,1)</f>
        <v>46966</v>
      </c>
      <c r="Z5" s="48" t="n">
        <f aca="false">DATE(YEAR(Assumptions!$C$8),MONTH(Assumptions!$C$8)+Z4-1,1)</f>
        <v>46997</v>
      </c>
      <c r="AA5" s="48" t="n">
        <f aca="false">DATE(YEAR(Assumptions!$C$8),MONTH(Assumptions!$C$8)+AA4-1,1)</f>
        <v>47027</v>
      </c>
      <c r="AB5" s="48" t="n">
        <f aca="false">DATE(YEAR(Assumptions!$C$8),MONTH(Assumptions!$C$8)+AB4-1,1)</f>
        <v>47058</v>
      </c>
      <c r="AC5" s="48" t="n">
        <f aca="false">DATE(YEAR(Assumptions!$C$8),MONTH(Assumptions!$C$8)+AC4-1,1)</f>
        <v>47088</v>
      </c>
      <c r="AD5" s="48" t="n">
        <f aca="false">DATE(YEAR(Assumptions!$C$8),MONTH(Assumptions!$C$8)+AD4-1,1)</f>
        <v>47119</v>
      </c>
      <c r="AE5" s="48" t="n">
        <f aca="false">DATE(YEAR(Assumptions!$C$8),MONTH(Assumptions!$C$8)+AE4-1,1)</f>
        <v>47150</v>
      </c>
      <c r="AF5" s="48" t="n">
        <f aca="false">DATE(YEAR(Assumptions!$C$8),MONTH(Assumptions!$C$8)+AF4-1,1)</f>
        <v>47178</v>
      </c>
      <c r="AG5" s="48" t="n">
        <f aca="false">DATE(YEAR(Assumptions!$C$8),MONTH(Assumptions!$C$8)+AG4-1,1)</f>
        <v>47209</v>
      </c>
      <c r="AH5" s="48" t="n">
        <f aca="false">DATE(YEAR(Assumptions!$C$8),MONTH(Assumptions!$C$8)+AH4-1,1)</f>
        <v>47239</v>
      </c>
      <c r="AI5" s="48" t="n">
        <f aca="false">DATE(YEAR(Assumptions!$C$8),MONTH(Assumptions!$C$8)+AI4-1,1)</f>
        <v>47270</v>
      </c>
      <c r="AJ5" s="48" t="n">
        <f aca="false">DATE(YEAR(Assumptions!$C$8),MONTH(Assumptions!$C$8)+AJ4-1,1)</f>
        <v>47300</v>
      </c>
      <c r="AK5" s="48" t="n">
        <f aca="false">DATE(YEAR(Assumptions!$C$8),MONTH(Assumptions!$C$8)+AK4-1,1)</f>
        <v>47331</v>
      </c>
      <c r="AL5" s="48" t="n">
        <f aca="false">DATE(YEAR(Assumptions!$C$8),MONTH(Assumptions!$C$8)+AL4-1,1)</f>
        <v>47362</v>
      </c>
      <c r="AM5" s="4" t="s">
        <v>57</v>
      </c>
      <c r="AN5" s="4" t="s">
        <v>58</v>
      </c>
      <c r="AO5" s="4" t="s">
        <v>59</v>
      </c>
      <c r="AP5" s="4" t="s">
        <v>746</v>
      </c>
    </row>
    <row r="6" customFormat="false" ht="15" hidden="false" customHeight="false" outlineLevel="0" collapsed="false">
      <c r="A6" s="10" t="s">
        <v>747</v>
      </c>
      <c r="C6" s="42" t="n">
        <f aca="false">INT((C4-1)/12)+1</f>
        <v>1</v>
      </c>
      <c r="D6" s="42" t="n">
        <f aca="false">INT((D4-1)/12)+1</f>
        <v>1</v>
      </c>
      <c r="E6" s="42" t="n">
        <f aca="false">INT((E4-1)/12)+1</f>
        <v>1</v>
      </c>
      <c r="F6" s="42" t="n">
        <f aca="false">INT((F4-1)/12)+1</f>
        <v>1</v>
      </c>
      <c r="G6" s="42" t="n">
        <f aca="false">INT((G4-1)/12)+1</f>
        <v>1</v>
      </c>
      <c r="H6" s="42" t="n">
        <f aca="false">INT((H4-1)/12)+1</f>
        <v>1</v>
      </c>
      <c r="I6" s="42" t="n">
        <f aca="false">INT((I4-1)/12)+1</f>
        <v>1</v>
      </c>
      <c r="J6" s="42" t="n">
        <f aca="false">INT((J4-1)/12)+1</f>
        <v>1</v>
      </c>
      <c r="K6" s="42" t="n">
        <f aca="false">INT((K4-1)/12)+1</f>
        <v>1</v>
      </c>
      <c r="L6" s="42" t="n">
        <f aca="false">INT((L4-1)/12)+1</f>
        <v>1</v>
      </c>
      <c r="M6" s="42" t="n">
        <f aca="false">INT((M4-1)/12)+1</f>
        <v>1</v>
      </c>
      <c r="N6" s="42" t="n">
        <f aca="false">INT((N4-1)/12)+1</f>
        <v>1</v>
      </c>
      <c r="O6" s="42" t="n">
        <f aca="false">INT((O4-1)/12)+1</f>
        <v>2</v>
      </c>
      <c r="P6" s="42" t="n">
        <f aca="false">INT((P4-1)/12)+1</f>
        <v>2</v>
      </c>
      <c r="Q6" s="42" t="n">
        <f aca="false">INT((Q4-1)/12)+1</f>
        <v>2</v>
      </c>
      <c r="R6" s="42" t="n">
        <f aca="false">INT((R4-1)/12)+1</f>
        <v>2</v>
      </c>
      <c r="S6" s="42" t="n">
        <f aca="false">INT((S4-1)/12)+1</f>
        <v>2</v>
      </c>
      <c r="T6" s="42" t="n">
        <f aca="false">INT((T4-1)/12)+1</f>
        <v>2</v>
      </c>
      <c r="U6" s="42" t="n">
        <f aca="false">INT((U4-1)/12)+1</f>
        <v>2</v>
      </c>
      <c r="V6" s="42" t="n">
        <f aca="false">INT((V4-1)/12)+1</f>
        <v>2</v>
      </c>
      <c r="W6" s="42" t="n">
        <f aca="false">INT((W4-1)/12)+1</f>
        <v>2</v>
      </c>
      <c r="X6" s="42" t="n">
        <f aca="false">INT((X4-1)/12)+1</f>
        <v>2</v>
      </c>
      <c r="Y6" s="42" t="n">
        <f aca="false">INT((Y4-1)/12)+1</f>
        <v>2</v>
      </c>
      <c r="Z6" s="42" t="n">
        <f aca="false">INT((Z4-1)/12)+1</f>
        <v>2</v>
      </c>
      <c r="AA6" s="42" t="n">
        <f aca="false">INT((AA4-1)/12)+1</f>
        <v>3</v>
      </c>
      <c r="AB6" s="42" t="n">
        <f aca="false">INT((AB4-1)/12)+1</f>
        <v>3</v>
      </c>
      <c r="AC6" s="42" t="n">
        <f aca="false">INT((AC4-1)/12)+1</f>
        <v>3</v>
      </c>
      <c r="AD6" s="42" t="n">
        <f aca="false">INT((AD4-1)/12)+1</f>
        <v>3</v>
      </c>
      <c r="AE6" s="42" t="n">
        <f aca="false">INT((AE4-1)/12)+1</f>
        <v>3</v>
      </c>
      <c r="AF6" s="42" t="n">
        <f aca="false">INT((AF4-1)/12)+1</f>
        <v>3</v>
      </c>
      <c r="AG6" s="42" t="n">
        <f aca="false">INT((AG4-1)/12)+1</f>
        <v>3</v>
      </c>
      <c r="AH6" s="42" t="n">
        <f aca="false">INT((AH4-1)/12)+1</f>
        <v>3</v>
      </c>
      <c r="AI6" s="42" t="n">
        <f aca="false">INT((AI4-1)/12)+1</f>
        <v>3</v>
      </c>
      <c r="AJ6" s="42" t="n">
        <f aca="false">INT((AJ4-1)/12)+1</f>
        <v>3</v>
      </c>
      <c r="AK6" s="42" t="n">
        <f aca="false">INT((AK4-1)/12)+1</f>
        <v>3</v>
      </c>
      <c r="AL6" s="42" t="n">
        <f aca="false">INT((AL4-1)/12)+1</f>
        <v>3</v>
      </c>
    </row>
    <row r="7" customFormat="false" ht="15" hidden="false" customHeight="false" outlineLevel="0" collapsed="false">
      <c r="A7" s="10" t="s">
        <v>748</v>
      </c>
      <c r="C7" s="49" t="n">
        <f aca="false">INDEX(Assumptions!$C$82:$C$93,MONTH(C5))</f>
        <v>0.95</v>
      </c>
      <c r="D7" s="49" t="n">
        <f aca="false">INDEX(Assumptions!$C$82:$C$93,MONTH(D5))</f>
        <v>1.3</v>
      </c>
      <c r="E7" s="49" t="n">
        <f aca="false">INDEX(Assumptions!$C$82:$C$93,MONTH(E5))</f>
        <v>1.35</v>
      </c>
      <c r="F7" s="49" t="n">
        <f aca="false">INDEX(Assumptions!$C$82:$C$93,MONTH(F5))</f>
        <v>1.25</v>
      </c>
      <c r="G7" s="49" t="n">
        <f aca="false">INDEX(Assumptions!$C$82:$C$93,MONTH(G5))</f>
        <v>0.9</v>
      </c>
      <c r="H7" s="49" t="n">
        <f aca="false">INDEX(Assumptions!$C$82:$C$93,MONTH(H5))</f>
        <v>1</v>
      </c>
      <c r="I7" s="49" t="n">
        <f aca="false">INDEX(Assumptions!$C$82:$C$93,MONTH(I5))</f>
        <v>1.05</v>
      </c>
      <c r="J7" s="49" t="n">
        <f aca="false">INDEX(Assumptions!$C$82:$C$93,MONTH(J5))</f>
        <v>0.95</v>
      </c>
      <c r="K7" s="49" t="n">
        <f aca="false">INDEX(Assumptions!$C$82:$C$93,MONTH(K5))</f>
        <v>1</v>
      </c>
      <c r="L7" s="49" t="n">
        <f aca="false">INDEX(Assumptions!$C$82:$C$93,MONTH(L5))</f>
        <v>0.95</v>
      </c>
      <c r="M7" s="49" t="n">
        <f aca="false">INDEX(Assumptions!$C$82:$C$93,MONTH(M5))</f>
        <v>0.85</v>
      </c>
      <c r="N7" s="49" t="n">
        <f aca="false">INDEX(Assumptions!$C$82:$C$93,MONTH(N5))</f>
        <v>0.85</v>
      </c>
      <c r="O7" s="49" t="n">
        <f aca="false">INDEX(Assumptions!$C$82:$C$93,MONTH(O5))</f>
        <v>0.95</v>
      </c>
      <c r="P7" s="49" t="n">
        <f aca="false">INDEX(Assumptions!$C$82:$C$93,MONTH(P5))</f>
        <v>1.3</v>
      </c>
      <c r="Q7" s="49" t="n">
        <f aca="false">INDEX(Assumptions!$C$82:$C$93,MONTH(Q5))</f>
        <v>1.35</v>
      </c>
      <c r="R7" s="49" t="n">
        <f aca="false">INDEX(Assumptions!$C$82:$C$93,MONTH(R5))</f>
        <v>1.25</v>
      </c>
      <c r="S7" s="49" t="n">
        <f aca="false">INDEX(Assumptions!$C$82:$C$93,MONTH(S5))</f>
        <v>0.9</v>
      </c>
      <c r="T7" s="49" t="n">
        <f aca="false">INDEX(Assumptions!$C$82:$C$93,MONTH(T5))</f>
        <v>1</v>
      </c>
      <c r="U7" s="49" t="n">
        <f aca="false">INDEX(Assumptions!$C$82:$C$93,MONTH(U5))</f>
        <v>1.05</v>
      </c>
      <c r="V7" s="49" t="n">
        <f aca="false">INDEX(Assumptions!$C$82:$C$93,MONTH(V5))</f>
        <v>0.95</v>
      </c>
      <c r="W7" s="49" t="n">
        <f aca="false">INDEX(Assumptions!$C$82:$C$93,MONTH(W5))</f>
        <v>1</v>
      </c>
      <c r="X7" s="49" t="n">
        <f aca="false">INDEX(Assumptions!$C$82:$C$93,MONTH(X5))</f>
        <v>0.95</v>
      </c>
      <c r="Y7" s="49" t="n">
        <f aca="false">INDEX(Assumptions!$C$82:$C$93,MONTH(Y5))</f>
        <v>0.85</v>
      </c>
      <c r="Z7" s="49" t="n">
        <f aca="false">INDEX(Assumptions!$C$82:$C$93,MONTH(Z5))</f>
        <v>0.85</v>
      </c>
      <c r="AA7" s="49" t="n">
        <f aca="false">INDEX(Assumptions!$C$82:$C$93,MONTH(AA5))</f>
        <v>0.95</v>
      </c>
      <c r="AB7" s="49" t="n">
        <f aca="false">INDEX(Assumptions!$C$82:$C$93,MONTH(AB5))</f>
        <v>1.3</v>
      </c>
      <c r="AC7" s="49" t="n">
        <f aca="false">INDEX(Assumptions!$C$82:$C$93,MONTH(AC5))</f>
        <v>1.35</v>
      </c>
      <c r="AD7" s="49" t="n">
        <f aca="false">INDEX(Assumptions!$C$82:$C$93,MONTH(AD5))</f>
        <v>1.25</v>
      </c>
      <c r="AE7" s="49" t="n">
        <f aca="false">INDEX(Assumptions!$C$82:$C$93,MONTH(AE5))</f>
        <v>0.9</v>
      </c>
      <c r="AF7" s="49" t="n">
        <f aca="false">INDEX(Assumptions!$C$82:$C$93,MONTH(AF5))</f>
        <v>1</v>
      </c>
      <c r="AG7" s="49" t="n">
        <f aca="false">INDEX(Assumptions!$C$82:$C$93,MONTH(AG5))</f>
        <v>1.05</v>
      </c>
      <c r="AH7" s="49" t="n">
        <f aca="false">INDEX(Assumptions!$C$82:$C$93,MONTH(AH5))</f>
        <v>0.95</v>
      </c>
      <c r="AI7" s="49" t="n">
        <f aca="false">INDEX(Assumptions!$C$82:$C$93,MONTH(AI5))</f>
        <v>1</v>
      </c>
      <c r="AJ7" s="49" t="n">
        <f aca="false">INDEX(Assumptions!$C$82:$C$93,MONTH(AJ5))</f>
        <v>0.95</v>
      </c>
      <c r="AK7" s="49" t="n">
        <f aca="false">INDEX(Assumptions!$C$82:$C$93,MONTH(AK5))</f>
        <v>0.85</v>
      </c>
      <c r="AL7" s="49" t="n">
        <f aca="false">INDEX(Assumptions!$C$82:$C$93,MONTH(AL5))</f>
        <v>0.85</v>
      </c>
    </row>
    <row r="8" customFormat="false" ht="15" hidden="false" customHeight="false" outlineLevel="0" collapsed="false">
      <c r="A8" s="10" t="s">
        <v>749</v>
      </c>
      <c r="C8" s="49" t="n">
        <f aca="false">INDEX(Assumptions!$D$82:$D$93,MONTH(C5))</f>
        <v>1.2</v>
      </c>
      <c r="D8" s="49" t="n">
        <f aca="false">INDEX(Assumptions!$D$82:$D$93,MONTH(D5))</f>
        <v>1</v>
      </c>
      <c r="E8" s="49" t="n">
        <f aca="false">INDEX(Assumptions!$D$82:$D$93,MONTH(E5))</f>
        <v>0.7</v>
      </c>
      <c r="F8" s="49" t="n">
        <f aca="false">INDEX(Assumptions!$D$82:$D$93,MONTH(F5))</f>
        <v>1.1</v>
      </c>
      <c r="G8" s="49" t="n">
        <f aca="false">INDEX(Assumptions!$D$82:$D$93,MONTH(G5))</f>
        <v>1</v>
      </c>
      <c r="H8" s="49" t="n">
        <f aca="false">INDEX(Assumptions!$D$82:$D$93,MONTH(H5))</f>
        <v>1</v>
      </c>
      <c r="I8" s="49" t="n">
        <f aca="false">INDEX(Assumptions!$D$82:$D$93,MONTH(I5))</f>
        <v>0.9</v>
      </c>
      <c r="J8" s="49" t="n">
        <f aca="false">INDEX(Assumptions!$D$82:$D$93,MONTH(J5))</f>
        <v>0.7</v>
      </c>
      <c r="K8" s="49" t="n">
        <f aca="false">INDEX(Assumptions!$D$82:$D$93,MONTH(K5))</f>
        <v>0.4</v>
      </c>
      <c r="L8" s="49" t="n">
        <f aca="false">INDEX(Assumptions!$D$82:$D$93,MONTH(L5))</f>
        <v>0.6</v>
      </c>
      <c r="M8" s="49" t="n">
        <f aca="false">INDEX(Assumptions!$D$82:$D$93,MONTH(M5))</f>
        <v>1.3</v>
      </c>
      <c r="N8" s="49" t="n">
        <f aca="false">INDEX(Assumptions!$D$82:$D$93,MONTH(N5))</f>
        <v>1.4</v>
      </c>
      <c r="O8" s="49" t="n">
        <f aca="false">INDEX(Assumptions!$D$82:$D$93,MONTH(O5))</f>
        <v>1.2</v>
      </c>
      <c r="P8" s="49" t="n">
        <f aca="false">INDEX(Assumptions!$D$82:$D$93,MONTH(P5))</f>
        <v>1</v>
      </c>
      <c r="Q8" s="49" t="n">
        <f aca="false">INDEX(Assumptions!$D$82:$D$93,MONTH(Q5))</f>
        <v>0.7</v>
      </c>
      <c r="R8" s="49" t="n">
        <f aca="false">INDEX(Assumptions!$D$82:$D$93,MONTH(R5))</f>
        <v>1.1</v>
      </c>
      <c r="S8" s="49" t="n">
        <f aca="false">INDEX(Assumptions!$D$82:$D$93,MONTH(S5))</f>
        <v>1</v>
      </c>
      <c r="T8" s="49" t="n">
        <f aca="false">INDEX(Assumptions!$D$82:$D$93,MONTH(T5))</f>
        <v>1</v>
      </c>
      <c r="U8" s="49" t="n">
        <f aca="false">INDEX(Assumptions!$D$82:$D$93,MONTH(U5))</f>
        <v>0.9</v>
      </c>
      <c r="V8" s="49" t="n">
        <f aca="false">INDEX(Assumptions!$D$82:$D$93,MONTH(V5))</f>
        <v>0.7</v>
      </c>
      <c r="W8" s="49" t="n">
        <f aca="false">INDEX(Assumptions!$D$82:$D$93,MONTH(W5))</f>
        <v>0.4</v>
      </c>
      <c r="X8" s="49" t="n">
        <f aca="false">INDEX(Assumptions!$D$82:$D$93,MONTH(X5))</f>
        <v>0.6</v>
      </c>
      <c r="Y8" s="49" t="n">
        <f aca="false">INDEX(Assumptions!$D$82:$D$93,MONTH(Y5))</f>
        <v>1.3</v>
      </c>
      <c r="Z8" s="49" t="n">
        <f aca="false">INDEX(Assumptions!$D$82:$D$93,MONTH(Z5))</f>
        <v>1.4</v>
      </c>
      <c r="AA8" s="49" t="n">
        <f aca="false">INDEX(Assumptions!$D$82:$D$93,MONTH(AA5))</f>
        <v>1.2</v>
      </c>
      <c r="AB8" s="49" t="n">
        <f aca="false">INDEX(Assumptions!$D$82:$D$93,MONTH(AB5))</f>
        <v>1</v>
      </c>
      <c r="AC8" s="49" t="n">
        <f aca="false">INDEX(Assumptions!$D$82:$D$93,MONTH(AC5))</f>
        <v>0.7</v>
      </c>
      <c r="AD8" s="49" t="n">
        <f aca="false">INDEX(Assumptions!$D$82:$D$93,MONTH(AD5))</f>
        <v>1.1</v>
      </c>
      <c r="AE8" s="49" t="n">
        <f aca="false">INDEX(Assumptions!$D$82:$D$93,MONTH(AE5))</f>
        <v>1</v>
      </c>
      <c r="AF8" s="49" t="n">
        <f aca="false">INDEX(Assumptions!$D$82:$D$93,MONTH(AF5))</f>
        <v>1</v>
      </c>
      <c r="AG8" s="49" t="n">
        <f aca="false">INDEX(Assumptions!$D$82:$D$93,MONTH(AG5))</f>
        <v>0.9</v>
      </c>
      <c r="AH8" s="49" t="n">
        <f aca="false">INDEX(Assumptions!$D$82:$D$93,MONTH(AH5))</f>
        <v>0.7</v>
      </c>
      <c r="AI8" s="49" t="n">
        <f aca="false">INDEX(Assumptions!$D$82:$D$93,MONTH(AI5))</f>
        <v>0.4</v>
      </c>
      <c r="AJ8" s="49" t="n">
        <f aca="false">INDEX(Assumptions!$D$82:$D$93,MONTH(AJ5))</f>
        <v>0.6</v>
      </c>
      <c r="AK8" s="49" t="n">
        <f aca="false">INDEX(Assumptions!$D$82:$D$93,MONTH(AK5))</f>
        <v>1.3</v>
      </c>
      <c r="AL8" s="49" t="n">
        <f aca="false">INDEX(Assumptions!$D$82:$D$93,MONTH(AL5))</f>
        <v>1.4</v>
      </c>
    </row>
    <row r="10" customFormat="false" ht="15" hidden="false" customHeight="false" outlineLevel="0" collapsed="false">
      <c r="A10" s="3" t="s">
        <v>750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customFormat="false" ht="15" hidden="false" customHeight="false" outlineLevel="0" collapsed="false">
      <c r="A11" s="7" t="s">
        <v>751</v>
      </c>
      <c r="B11" s="50" t="n">
        <f aca="false">IF(Assumptions!$C$146=1,Assumptions!$C$147+Assumptions!$C$64,0)</f>
        <v>8</v>
      </c>
    </row>
    <row r="12" customFormat="false" ht="15" hidden="false" customHeight="false" outlineLevel="0" collapsed="false">
      <c r="A12" s="7" t="s">
        <v>752</v>
      </c>
      <c r="B12" s="51" t="n">
        <f aca="false">IF($B$11=0,0,SUMPRODUCT(($C$4:$AL$4&gt;=Assumptions!$C$147)*($C$4:$AL$4&lt;$B$11)*($C$82:$AL$82)))</f>
        <v>2.634654</v>
      </c>
    </row>
    <row r="13" customFormat="false" ht="15" hidden="false" customHeight="false" outlineLevel="0" collapsed="false">
      <c r="A13" s="7" t="s">
        <v>753</v>
      </c>
      <c r="B13" s="51" t="n">
        <f aca="false">IF($B$11=0,0,MAX(Assumptions!$C$62,ROUNDUP($B$12*(1+Assumptions!$C$63)/100,0)*100))</f>
        <v>1000</v>
      </c>
    </row>
    <row r="14" customFormat="false" ht="15" hidden="false" customHeight="false" outlineLevel="0" collapsed="false">
      <c r="A14" s="7" t="s">
        <v>754</v>
      </c>
      <c r="B14" s="51" t="n">
        <f aca="false">IF($B$11=0,0,ROUNDUP((Assumptions!$C$62*Assumptions!$C$57+'Retail Readiness Costs'!$H$14)*(1+Assumptions!$C$65)/(Assumptions!$C$52*(1-Assumptions!$C$21)-Assumptions!$C$22-Assumptions!$C$58),0))</f>
        <v>718</v>
      </c>
    </row>
    <row r="16" customFormat="false" ht="15" hidden="false" customHeight="false" outlineLevel="0" collapsed="false">
      <c r="A16" s="5" t="s">
        <v>571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</row>
    <row r="17" customFormat="false" ht="15" hidden="false" customHeight="false" outlineLevel="0" collapsed="false">
      <c r="A17" s="7" t="s">
        <v>755</v>
      </c>
      <c r="B17" s="9" t="s">
        <v>319</v>
      </c>
      <c r="C17" s="38" t="n">
        <f aca="false">IF(AND(Assumptions!$C$98=1,C$4&gt;=Assumptions!$C$99),1,0)</f>
        <v>1</v>
      </c>
      <c r="D17" s="38" t="n">
        <f aca="false">IF(AND(Assumptions!$C$98=1,D$4&gt;=Assumptions!$C$99),1,0)</f>
        <v>1</v>
      </c>
      <c r="E17" s="38" t="n">
        <f aca="false">IF(AND(Assumptions!$C$98=1,E$4&gt;=Assumptions!$C$99),1,0)</f>
        <v>1</v>
      </c>
      <c r="F17" s="38" t="n">
        <f aca="false">IF(AND(Assumptions!$C$98=1,F$4&gt;=Assumptions!$C$99),1,0)</f>
        <v>1</v>
      </c>
      <c r="G17" s="38" t="n">
        <f aca="false">IF(AND(Assumptions!$C$98=1,G$4&gt;=Assumptions!$C$99),1,0)</f>
        <v>1</v>
      </c>
      <c r="H17" s="38" t="n">
        <f aca="false">IF(AND(Assumptions!$C$98=1,H$4&gt;=Assumptions!$C$99),1,0)</f>
        <v>1</v>
      </c>
      <c r="I17" s="38" t="n">
        <f aca="false">IF(AND(Assumptions!$C$98=1,I$4&gt;=Assumptions!$C$99),1,0)</f>
        <v>1</v>
      </c>
      <c r="J17" s="38" t="n">
        <f aca="false">IF(AND(Assumptions!$C$98=1,J$4&gt;=Assumptions!$C$99),1,0)</f>
        <v>1</v>
      </c>
      <c r="K17" s="38" t="n">
        <f aca="false">IF(AND(Assumptions!$C$98=1,K$4&gt;=Assumptions!$C$99),1,0)</f>
        <v>1</v>
      </c>
      <c r="L17" s="38" t="n">
        <f aca="false">IF(AND(Assumptions!$C$98=1,L$4&gt;=Assumptions!$C$99),1,0)</f>
        <v>1</v>
      </c>
      <c r="M17" s="38" t="n">
        <f aca="false">IF(AND(Assumptions!$C$98=1,M$4&gt;=Assumptions!$C$99),1,0)</f>
        <v>1</v>
      </c>
      <c r="N17" s="38" t="n">
        <f aca="false">IF(AND(Assumptions!$C$98=1,N$4&gt;=Assumptions!$C$99),1,0)</f>
        <v>1</v>
      </c>
      <c r="O17" s="38" t="n">
        <f aca="false">IF(AND(Assumptions!$C$98=1,O$4&gt;=Assumptions!$C$99),1,0)</f>
        <v>1</v>
      </c>
      <c r="P17" s="38" t="n">
        <f aca="false">IF(AND(Assumptions!$C$98=1,P$4&gt;=Assumptions!$C$99),1,0)</f>
        <v>1</v>
      </c>
      <c r="Q17" s="38" t="n">
        <f aca="false">IF(AND(Assumptions!$C$98=1,Q$4&gt;=Assumptions!$C$99),1,0)</f>
        <v>1</v>
      </c>
      <c r="R17" s="38" t="n">
        <f aca="false">IF(AND(Assumptions!$C$98=1,R$4&gt;=Assumptions!$C$99),1,0)</f>
        <v>1</v>
      </c>
      <c r="S17" s="38" t="n">
        <f aca="false">IF(AND(Assumptions!$C$98=1,S$4&gt;=Assumptions!$C$99),1,0)</f>
        <v>1</v>
      </c>
      <c r="T17" s="38" t="n">
        <f aca="false">IF(AND(Assumptions!$C$98=1,T$4&gt;=Assumptions!$C$99),1,0)</f>
        <v>1</v>
      </c>
      <c r="U17" s="38" t="n">
        <f aca="false">IF(AND(Assumptions!$C$98=1,U$4&gt;=Assumptions!$C$99),1,0)</f>
        <v>1</v>
      </c>
      <c r="V17" s="38" t="n">
        <f aca="false">IF(AND(Assumptions!$C$98=1,V$4&gt;=Assumptions!$C$99),1,0)</f>
        <v>1</v>
      </c>
      <c r="W17" s="38" t="n">
        <f aca="false">IF(AND(Assumptions!$C$98=1,W$4&gt;=Assumptions!$C$99),1,0)</f>
        <v>1</v>
      </c>
      <c r="X17" s="38" t="n">
        <f aca="false">IF(AND(Assumptions!$C$98=1,X$4&gt;=Assumptions!$C$99),1,0)</f>
        <v>1</v>
      </c>
      <c r="Y17" s="38" t="n">
        <f aca="false">IF(AND(Assumptions!$C$98=1,Y$4&gt;=Assumptions!$C$99),1,0)</f>
        <v>1</v>
      </c>
      <c r="Z17" s="38" t="n">
        <f aca="false">IF(AND(Assumptions!$C$98=1,Z$4&gt;=Assumptions!$C$99),1,0)</f>
        <v>1</v>
      </c>
      <c r="AA17" s="38" t="n">
        <f aca="false">IF(AND(Assumptions!$C$98=1,AA$4&gt;=Assumptions!$C$99),1,0)</f>
        <v>1</v>
      </c>
      <c r="AB17" s="38" t="n">
        <f aca="false">IF(AND(Assumptions!$C$98=1,AB$4&gt;=Assumptions!$C$99),1,0)</f>
        <v>1</v>
      </c>
      <c r="AC17" s="38" t="n">
        <f aca="false">IF(AND(Assumptions!$C$98=1,AC$4&gt;=Assumptions!$C$99),1,0)</f>
        <v>1</v>
      </c>
      <c r="AD17" s="38" t="n">
        <f aca="false">IF(AND(Assumptions!$C$98=1,AD$4&gt;=Assumptions!$C$99),1,0)</f>
        <v>1</v>
      </c>
      <c r="AE17" s="38" t="n">
        <f aca="false">IF(AND(Assumptions!$C$98=1,AE$4&gt;=Assumptions!$C$99),1,0)</f>
        <v>1</v>
      </c>
      <c r="AF17" s="38" t="n">
        <f aca="false">IF(AND(Assumptions!$C$98=1,AF$4&gt;=Assumptions!$C$99),1,0)</f>
        <v>1</v>
      </c>
      <c r="AG17" s="38" t="n">
        <f aca="false">IF(AND(Assumptions!$C$98=1,AG$4&gt;=Assumptions!$C$99),1,0)</f>
        <v>1</v>
      </c>
      <c r="AH17" s="38" t="n">
        <f aca="false">IF(AND(Assumptions!$C$98=1,AH$4&gt;=Assumptions!$C$99),1,0)</f>
        <v>1</v>
      </c>
      <c r="AI17" s="38" t="n">
        <f aca="false">IF(AND(Assumptions!$C$98=1,AI$4&gt;=Assumptions!$C$99),1,0)</f>
        <v>1</v>
      </c>
      <c r="AJ17" s="38" t="n">
        <f aca="false">IF(AND(Assumptions!$C$98=1,AJ$4&gt;=Assumptions!$C$99),1,0)</f>
        <v>1</v>
      </c>
      <c r="AK17" s="38" t="n">
        <f aca="false">IF(AND(Assumptions!$C$98=1,AK$4&gt;=Assumptions!$C$99),1,0)</f>
        <v>1</v>
      </c>
      <c r="AL17" s="38" t="n">
        <f aca="false">IF(AND(Assumptions!$C$98=1,AL$4&gt;=Assumptions!$C$99),1,0)</f>
        <v>1</v>
      </c>
    </row>
    <row r="18" customFormat="false" ht="15" hidden="false" customHeight="false" outlineLevel="0" collapsed="false">
      <c r="A18" s="7" t="s">
        <v>756</v>
      </c>
      <c r="B18" s="9" t="s">
        <v>327</v>
      </c>
      <c r="C18" s="14" t="n">
        <f aca="false">IF(C17=0,0,Assumptions!$C$100)</f>
        <v>300</v>
      </c>
      <c r="D18" s="14" t="n">
        <f aca="false">IF(D17=0,0,IF(D$4=Assumptions!$C$99,Assumptions!$C$100,C18*(1+CHOOSE(D$6,Assumptions!$C$101,Assumptions!$C$102,Assumptions!$C$103))))</f>
        <v>324</v>
      </c>
      <c r="E18" s="14" t="n">
        <f aca="false">IF(E17=0,0,IF(E$4=Assumptions!$C$99,Assumptions!$C$100,D18*(1+CHOOSE(E$6,Assumptions!$C$101,Assumptions!$C$102,Assumptions!$C$103))))</f>
        <v>349.92</v>
      </c>
      <c r="F18" s="14" t="n">
        <f aca="false">IF(F17=0,0,IF(F$4=Assumptions!$C$99,Assumptions!$C$100,E18*(1+CHOOSE(F$6,Assumptions!$C$101,Assumptions!$C$102,Assumptions!$C$103))))</f>
        <v>377.9136</v>
      </c>
      <c r="G18" s="14" t="n">
        <f aca="false">IF(G17=0,0,IF(G$4=Assumptions!$C$99,Assumptions!$C$100,F18*(1+CHOOSE(G$6,Assumptions!$C$101,Assumptions!$C$102,Assumptions!$C$103))))</f>
        <v>408.146688</v>
      </c>
      <c r="H18" s="14" t="n">
        <f aca="false">IF(H17=0,0,IF(H$4=Assumptions!$C$99,Assumptions!$C$100,G18*(1+CHOOSE(H$6,Assumptions!$C$101,Assumptions!$C$102,Assumptions!$C$103))))</f>
        <v>440.79842304</v>
      </c>
      <c r="I18" s="14" t="n">
        <f aca="false">IF(I17=0,0,IF(I$4=Assumptions!$C$99,Assumptions!$C$100,H18*(1+CHOOSE(I$6,Assumptions!$C$101,Assumptions!$C$102,Assumptions!$C$103))))</f>
        <v>476.0622968832</v>
      </c>
      <c r="J18" s="14" t="n">
        <f aca="false">IF(J17=0,0,IF(J$4=Assumptions!$C$99,Assumptions!$C$100,I18*(1+CHOOSE(J$6,Assumptions!$C$101,Assumptions!$C$102,Assumptions!$C$103))))</f>
        <v>514.147280633856</v>
      </c>
      <c r="K18" s="14" t="n">
        <f aca="false">IF(K17=0,0,IF(K$4=Assumptions!$C$99,Assumptions!$C$100,J18*(1+CHOOSE(K$6,Assumptions!$C$101,Assumptions!$C$102,Assumptions!$C$103))))</f>
        <v>555.279063084565</v>
      </c>
      <c r="L18" s="14" t="n">
        <f aca="false">IF(L17=0,0,IF(L$4=Assumptions!$C$99,Assumptions!$C$100,K18*(1+CHOOSE(L$6,Assumptions!$C$101,Assumptions!$C$102,Assumptions!$C$103))))</f>
        <v>599.70138813133</v>
      </c>
      <c r="M18" s="14" t="n">
        <f aca="false">IF(M17=0,0,IF(M$4=Assumptions!$C$99,Assumptions!$C$100,L18*(1+CHOOSE(M$6,Assumptions!$C$101,Assumptions!$C$102,Assumptions!$C$103))))</f>
        <v>647.677499181836</v>
      </c>
      <c r="N18" s="14" t="n">
        <f aca="false">IF(N17=0,0,IF(N$4=Assumptions!$C$99,Assumptions!$C$100,M18*(1+CHOOSE(N$6,Assumptions!$C$101,Assumptions!$C$102,Assumptions!$C$103))))</f>
        <v>699.491699116383</v>
      </c>
      <c r="O18" s="14" t="n">
        <f aca="false">IF(O17=0,0,IF(O$4=Assumptions!$C$99,Assumptions!$C$100,N18*(1+CHOOSE(O$6,Assumptions!$C$101,Assumptions!$C$102,Assumptions!$C$103))))</f>
        <v>727.471367081039</v>
      </c>
      <c r="P18" s="14" t="n">
        <f aca="false">IF(P17=0,0,IF(P$4=Assumptions!$C$99,Assumptions!$C$100,O18*(1+CHOOSE(P$6,Assumptions!$C$101,Assumptions!$C$102,Assumptions!$C$103))))</f>
        <v>756.57022176428</v>
      </c>
      <c r="Q18" s="14" t="n">
        <f aca="false">IF(Q17=0,0,IF(Q$4=Assumptions!$C$99,Assumptions!$C$100,P18*(1+CHOOSE(Q$6,Assumptions!$C$101,Assumptions!$C$102,Assumptions!$C$103))))</f>
        <v>786.833030634852</v>
      </c>
      <c r="R18" s="14" t="n">
        <f aca="false">IF(R17=0,0,IF(R$4=Assumptions!$C$99,Assumptions!$C$100,Q18*(1+CHOOSE(R$6,Assumptions!$C$101,Assumptions!$C$102,Assumptions!$C$103))))</f>
        <v>818.306351860246</v>
      </c>
      <c r="S18" s="14" t="n">
        <f aca="false">IF(S17=0,0,IF(S$4=Assumptions!$C$99,Assumptions!$C$100,R18*(1+CHOOSE(S$6,Assumptions!$C$101,Assumptions!$C$102,Assumptions!$C$103))))</f>
        <v>851.038605934656</v>
      </c>
      <c r="T18" s="14" t="n">
        <f aca="false">IF(T17=0,0,IF(T$4=Assumptions!$C$99,Assumptions!$C$100,S18*(1+CHOOSE(T$6,Assumptions!$C$101,Assumptions!$C$102,Assumptions!$C$103))))</f>
        <v>885.080150172042</v>
      </c>
      <c r="U18" s="14" t="n">
        <f aca="false">IF(U17=0,0,IF(U$4=Assumptions!$C$99,Assumptions!$C$100,T18*(1+CHOOSE(U$6,Assumptions!$C$101,Assumptions!$C$102,Assumptions!$C$103))))</f>
        <v>920.483356178923</v>
      </c>
      <c r="V18" s="14" t="n">
        <f aca="false">IF(V17=0,0,IF(V$4=Assumptions!$C$99,Assumptions!$C$100,U18*(1+CHOOSE(V$6,Assumptions!$C$101,Assumptions!$C$102,Assumptions!$C$103))))</f>
        <v>957.30269042608</v>
      </c>
      <c r="W18" s="14" t="n">
        <f aca="false">IF(W17=0,0,IF(W$4=Assumptions!$C$99,Assumptions!$C$100,V18*(1+CHOOSE(W$6,Assumptions!$C$101,Assumptions!$C$102,Assumptions!$C$103))))</f>
        <v>995.594798043124</v>
      </c>
      <c r="X18" s="14" t="n">
        <f aca="false">IF(X17=0,0,IF(X$4=Assumptions!$C$99,Assumptions!$C$100,W18*(1+CHOOSE(X$6,Assumptions!$C$101,Assumptions!$C$102,Assumptions!$C$103))))</f>
        <v>1035.41858996485</v>
      </c>
      <c r="Y18" s="14" t="n">
        <f aca="false">IF(Y17=0,0,IF(Y$4=Assumptions!$C$99,Assumptions!$C$100,X18*(1+CHOOSE(Y$6,Assumptions!$C$101,Assumptions!$C$102,Assumptions!$C$103))))</f>
        <v>1076.83533356344</v>
      </c>
      <c r="Z18" s="14" t="n">
        <f aca="false">IF(Z17=0,0,IF(Z$4=Assumptions!$C$99,Assumptions!$C$100,Y18*(1+CHOOSE(Z$6,Assumptions!$C$101,Assumptions!$C$102,Assumptions!$C$103))))</f>
        <v>1119.90874690598</v>
      </c>
      <c r="AA18" s="14" t="n">
        <f aca="false">IF(AA17=0,0,IF(AA$4=Assumptions!$C$99,Assumptions!$C$100,Z18*(1+CHOOSE(AA$6,Assumptions!$C$101,Assumptions!$C$102,Assumptions!$C$103))))</f>
        <v>1142.3069218441</v>
      </c>
      <c r="AB18" s="14" t="n">
        <f aca="false">IF(AB17=0,0,IF(AB$4=Assumptions!$C$99,Assumptions!$C$100,AA18*(1+CHOOSE(AB$6,Assumptions!$C$101,Assumptions!$C$102,Assumptions!$C$103))))</f>
        <v>1165.15306028098</v>
      </c>
      <c r="AC18" s="14" t="n">
        <f aca="false">IF(AC17=0,0,IF(AC$4=Assumptions!$C$99,Assumptions!$C$100,AB18*(1+CHOOSE(AC$6,Assumptions!$C$101,Assumptions!$C$102,Assumptions!$C$103))))</f>
        <v>1188.4561214866</v>
      </c>
      <c r="AD18" s="14" t="n">
        <f aca="false">IF(AD17=0,0,IF(AD$4=Assumptions!$C$99,Assumptions!$C$100,AC18*(1+CHOOSE(AD$6,Assumptions!$C$101,Assumptions!$C$102,Assumptions!$C$103))))</f>
        <v>1212.22524391633</v>
      </c>
      <c r="AE18" s="14" t="n">
        <f aca="false">IF(AE17=0,0,IF(AE$4=Assumptions!$C$99,Assumptions!$C$100,AD18*(1+CHOOSE(AE$6,Assumptions!$C$101,Assumptions!$C$102,Assumptions!$C$103))))</f>
        <v>1236.46974879466</v>
      </c>
      <c r="AF18" s="14" t="n">
        <f aca="false">IF(AF17=0,0,IF(AF$4=Assumptions!$C$99,Assumptions!$C$100,AE18*(1+CHOOSE(AF$6,Assumptions!$C$101,Assumptions!$C$102,Assumptions!$C$103))))</f>
        <v>1261.19914377055</v>
      </c>
      <c r="AG18" s="14" t="n">
        <f aca="false">IF(AG17=0,0,IF(AG$4=Assumptions!$C$99,Assumptions!$C$100,AF18*(1+CHOOSE(AG$6,Assumptions!$C$101,Assumptions!$C$102,Assumptions!$C$103))))</f>
        <v>1286.42312664596</v>
      </c>
      <c r="AH18" s="14" t="n">
        <f aca="false">IF(AH17=0,0,IF(AH$4=Assumptions!$C$99,Assumptions!$C$100,AG18*(1+CHOOSE(AH$6,Assumptions!$C$101,Assumptions!$C$102,Assumptions!$C$103))))</f>
        <v>1312.15158917888</v>
      </c>
      <c r="AI18" s="14" t="n">
        <f aca="false">IF(AI17=0,0,IF(AI$4=Assumptions!$C$99,Assumptions!$C$100,AH18*(1+CHOOSE(AI$6,Assumptions!$C$101,Assumptions!$C$102,Assumptions!$C$103))))</f>
        <v>1338.39462096246</v>
      </c>
      <c r="AJ18" s="14" t="n">
        <f aca="false">IF(AJ17=0,0,IF(AJ$4=Assumptions!$C$99,Assumptions!$C$100,AI18*(1+CHOOSE(AJ$6,Assumptions!$C$101,Assumptions!$C$102,Assumptions!$C$103))))</f>
        <v>1365.16251338171</v>
      </c>
      <c r="AK18" s="14" t="n">
        <f aca="false">IF(AK17=0,0,IF(AK$4=Assumptions!$C$99,Assumptions!$C$100,AJ18*(1+CHOOSE(AK$6,Assumptions!$C$101,Assumptions!$C$102,Assumptions!$C$103))))</f>
        <v>1392.46576364935</v>
      </c>
      <c r="AL18" s="14" t="n">
        <f aca="false">IF(AL17=0,0,IF(AL$4=Assumptions!$C$99,Assumptions!$C$100,AK18*(1+CHOOSE(AL$6,Assumptions!$C$101,Assumptions!$C$102,Assumptions!$C$103))))</f>
        <v>1420.31507892233</v>
      </c>
    </row>
    <row r="19" customFormat="false" ht="15" hidden="false" customHeight="false" outlineLevel="0" collapsed="false">
      <c r="A19" s="7" t="s">
        <v>757</v>
      </c>
      <c r="B19" s="9" t="s">
        <v>327</v>
      </c>
      <c r="C19" s="52" t="n">
        <f aca="false">C18*C$7</f>
        <v>285</v>
      </c>
      <c r="D19" s="52" t="n">
        <f aca="false">D18*D$7</f>
        <v>421.2</v>
      </c>
      <c r="E19" s="52" t="n">
        <f aca="false">E18*E$7</f>
        <v>472.392</v>
      </c>
      <c r="F19" s="52" t="n">
        <f aca="false">F18*F$7</f>
        <v>472.392</v>
      </c>
      <c r="G19" s="52" t="n">
        <f aca="false">G18*G$7</f>
        <v>367.3320192</v>
      </c>
      <c r="H19" s="52" t="n">
        <f aca="false">H18*H$7</f>
        <v>440.79842304</v>
      </c>
      <c r="I19" s="52" t="n">
        <f aca="false">I18*I$7</f>
        <v>499.86541172736</v>
      </c>
      <c r="J19" s="52" t="n">
        <f aca="false">J18*J$7</f>
        <v>488.439916602163</v>
      </c>
      <c r="K19" s="52" t="n">
        <f aca="false">K18*K$7</f>
        <v>555.279063084565</v>
      </c>
      <c r="L19" s="52" t="n">
        <f aca="false">L18*L$7</f>
        <v>569.716318724763</v>
      </c>
      <c r="M19" s="52" t="n">
        <f aca="false">M18*M$7</f>
        <v>550.525874304561</v>
      </c>
      <c r="N19" s="52" t="n">
        <f aca="false">N18*N$7</f>
        <v>594.567944248926</v>
      </c>
      <c r="O19" s="52" t="n">
        <f aca="false">O18*O$7</f>
        <v>691.097798726987</v>
      </c>
      <c r="P19" s="52" t="n">
        <f aca="false">P18*P$7</f>
        <v>983.541288293564</v>
      </c>
      <c r="Q19" s="52" t="n">
        <f aca="false">Q18*Q$7</f>
        <v>1062.22459135705</v>
      </c>
      <c r="R19" s="52" t="n">
        <f aca="false">R18*R$7</f>
        <v>1022.88293982531</v>
      </c>
      <c r="S19" s="52" t="n">
        <f aca="false">S18*S$7</f>
        <v>765.93474534119</v>
      </c>
      <c r="T19" s="52" t="n">
        <f aca="false">T18*T$7</f>
        <v>885.080150172042</v>
      </c>
      <c r="U19" s="52" t="n">
        <f aca="false">U18*U$7</f>
        <v>966.50752398787</v>
      </c>
      <c r="V19" s="52" t="n">
        <f aca="false">V18*V$7</f>
        <v>909.437555904776</v>
      </c>
      <c r="W19" s="52" t="n">
        <f aca="false">W18*W$7</f>
        <v>995.594798043124</v>
      </c>
      <c r="X19" s="52" t="n">
        <f aca="false">X18*X$7</f>
        <v>983.647660466606</v>
      </c>
      <c r="Y19" s="52" t="n">
        <f aca="false">Y18*Y$7</f>
        <v>915.310033528926</v>
      </c>
      <c r="Z19" s="52" t="n">
        <f aca="false">Z18*Z$7</f>
        <v>951.922434870083</v>
      </c>
      <c r="AA19" s="52" t="n">
        <f aca="false">AA18*AA$7</f>
        <v>1085.19157575189</v>
      </c>
      <c r="AB19" s="52" t="n">
        <f aca="false">AB18*AB$7</f>
        <v>1514.69897836528</v>
      </c>
      <c r="AC19" s="52" t="n">
        <f aca="false">AC18*AC$7</f>
        <v>1604.41576400691</v>
      </c>
      <c r="AD19" s="52" t="n">
        <f aca="false">AD18*AD$7</f>
        <v>1515.28155489542</v>
      </c>
      <c r="AE19" s="52" t="n">
        <f aca="false">AE18*AE$7</f>
        <v>1112.82277391519</v>
      </c>
      <c r="AF19" s="52" t="n">
        <f aca="false">AF18*AF$7</f>
        <v>1261.19914377055</v>
      </c>
      <c r="AG19" s="52" t="n">
        <f aca="false">AG18*AG$7</f>
        <v>1350.74428297826</v>
      </c>
      <c r="AH19" s="52" t="n">
        <f aca="false">AH18*AH$7</f>
        <v>1246.54400971994</v>
      </c>
      <c r="AI19" s="52" t="n">
        <f aca="false">AI18*AI$7</f>
        <v>1338.39462096246</v>
      </c>
      <c r="AJ19" s="52" t="n">
        <f aca="false">AJ18*AJ$7</f>
        <v>1296.90438771263</v>
      </c>
      <c r="AK19" s="52" t="n">
        <f aca="false">AK18*AK$7</f>
        <v>1183.59589910194</v>
      </c>
      <c r="AL19" s="52" t="n">
        <f aca="false">AL18*AL$7</f>
        <v>1207.26781708398</v>
      </c>
      <c r="AM19" s="53" t="n">
        <f aca="false">SUMIF($C$6:$AL$6,1,C19:AL19)</f>
        <v>5717.50897093234</v>
      </c>
      <c r="AN19" s="53" t="n">
        <f aca="false">SUMIF($C$6:$AL$6,2,C19:AL19)</f>
        <v>11133.1815205175</v>
      </c>
      <c r="AO19" s="53" t="n">
        <f aca="false">SUMIF($C$6:$AL$6,3,C19:AL19)</f>
        <v>15717.0608082645</v>
      </c>
      <c r="AP19" s="53" t="n">
        <f aca="false">SUM(C19:AL19)</f>
        <v>32567.7512997143</v>
      </c>
    </row>
    <row r="20" customFormat="false" ht="15" hidden="false" customHeight="false" outlineLevel="0" collapsed="false">
      <c r="A20" s="7" t="s">
        <v>758</v>
      </c>
      <c r="B20" s="9" t="s">
        <v>96</v>
      </c>
      <c r="C20" s="54" t="n">
        <f aca="false">Assumptions!$C$104*MIN(1,(C$4-Assumptions!$C$99+1)/Assumptions!$C$10)*C17</f>
        <v>0.00166666666666667</v>
      </c>
      <c r="D20" s="54" t="n">
        <f aca="false">Assumptions!$C$104*MIN(1,(D$4-Assumptions!$C$99+1)/Assumptions!$C$10)*D17</f>
        <v>0.00333333333333333</v>
      </c>
      <c r="E20" s="54" t="n">
        <f aca="false">Assumptions!$C$104*MIN(1,(E$4-Assumptions!$C$99+1)/Assumptions!$C$10)*E17</f>
        <v>0.005</v>
      </c>
      <c r="F20" s="54" t="n">
        <f aca="false">Assumptions!$C$104*MIN(1,(F$4-Assumptions!$C$99+1)/Assumptions!$C$10)*F17</f>
        <v>0.00666666666666667</v>
      </c>
      <c r="G20" s="54" t="n">
        <f aca="false">Assumptions!$C$104*MIN(1,(G$4-Assumptions!$C$99+1)/Assumptions!$C$10)*G17</f>
        <v>0.00833333333333333</v>
      </c>
      <c r="H20" s="54" t="n">
        <f aca="false">Assumptions!$C$104*MIN(1,(H$4-Assumptions!$C$99+1)/Assumptions!$C$10)*H17</f>
        <v>0.01</v>
      </c>
      <c r="I20" s="54" t="n">
        <f aca="false">Assumptions!$C$104*MIN(1,(I$4-Assumptions!$C$99+1)/Assumptions!$C$10)*I17</f>
        <v>0.01</v>
      </c>
      <c r="J20" s="54" t="n">
        <f aca="false">Assumptions!$C$104*MIN(1,(J$4-Assumptions!$C$99+1)/Assumptions!$C$10)*J17</f>
        <v>0.01</v>
      </c>
      <c r="K20" s="54" t="n">
        <f aca="false">Assumptions!$C$104*MIN(1,(K$4-Assumptions!$C$99+1)/Assumptions!$C$10)*K17</f>
        <v>0.01</v>
      </c>
      <c r="L20" s="54" t="n">
        <f aca="false">Assumptions!$C$104*MIN(1,(L$4-Assumptions!$C$99+1)/Assumptions!$C$10)*L17</f>
        <v>0.01</v>
      </c>
      <c r="M20" s="54" t="n">
        <f aca="false">Assumptions!$C$104*MIN(1,(M$4-Assumptions!$C$99+1)/Assumptions!$C$10)*M17</f>
        <v>0.01</v>
      </c>
      <c r="N20" s="54" t="n">
        <f aca="false">Assumptions!$C$104*MIN(1,(N$4-Assumptions!$C$99+1)/Assumptions!$C$10)*N17</f>
        <v>0.01</v>
      </c>
      <c r="O20" s="54" t="n">
        <f aca="false">Assumptions!$C$104*MIN(1,(O$4-Assumptions!$C$99+1)/Assumptions!$C$10)*O17</f>
        <v>0.01</v>
      </c>
      <c r="P20" s="54" t="n">
        <f aca="false">Assumptions!$C$104*MIN(1,(P$4-Assumptions!$C$99+1)/Assumptions!$C$10)*P17</f>
        <v>0.01</v>
      </c>
      <c r="Q20" s="54" t="n">
        <f aca="false">Assumptions!$C$104*MIN(1,(Q$4-Assumptions!$C$99+1)/Assumptions!$C$10)*Q17</f>
        <v>0.01</v>
      </c>
      <c r="R20" s="54" t="n">
        <f aca="false">Assumptions!$C$104*MIN(1,(R$4-Assumptions!$C$99+1)/Assumptions!$C$10)*R17</f>
        <v>0.01</v>
      </c>
      <c r="S20" s="54" t="n">
        <f aca="false">Assumptions!$C$104*MIN(1,(S$4-Assumptions!$C$99+1)/Assumptions!$C$10)*S17</f>
        <v>0.01</v>
      </c>
      <c r="T20" s="54" t="n">
        <f aca="false">Assumptions!$C$104*MIN(1,(T$4-Assumptions!$C$99+1)/Assumptions!$C$10)*T17</f>
        <v>0.01</v>
      </c>
      <c r="U20" s="54" t="n">
        <f aca="false">Assumptions!$C$104*MIN(1,(U$4-Assumptions!$C$99+1)/Assumptions!$C$10)*U17</f>
        <v>0.01</v>
      </c>
      <c r="V20" s="54" t="n">
        <f aca="false">Assumptions!$C$104*MIN(1,(V$4-Assumptions!$C$99+1)/Assumptions!$C$10)*V17</f>
        <v>0.01</v>
      </c>
      <c r="W20" s="54" t="n">
        <f aca="false">Assumptions!$C$104*MIN(1,(W$4-Assumptions!$C$99+1)/Assumptions!$C$10)*W17</f>
        <v>0.01</v>
      </c>
      <c r="X20" s="54" t="n">
        <f aca="false">Assumptions!$C$104*MIN(1,(X$4-Assumptions!$C$99+1)/Assumptions!$C$10)*X17</f>
        <v>0.01</v>
      </c>
      <c r="Y20" s="54" t="n">
        <f aca="false">Assumptions!$C$104*MIN(1,(Y$4-Assumptions!$C$99+1)/Assumptions!$C$10)*Y17</f>
        <v>0.01</v>
      </c>
      <c r="Z20" s="54" t="n">
        <f aca="false">Assumptions!$C$104*MIN(1,(Z$4-Assumptions!$C$99+1)/Assumptions!$C$10)*Z17</f>
        <v>0.01</v>
      </c>
      <c r="AA20" s="54" t="n">
        <f aca="false">Assumptions!$C$104*MIN(1,(AA$4-Assumptions!$C$99+1)/Assumptions!$C$10)*AA17</f>
        <v>0.01</v>
      </c>
      <c r="AB20" s="54" t="n">
        <f aca="false">Assumptions!$C$104*MIN(1,(AB$4-Assumptions!$C$99+1)/Assumptions!$C$10)*AB17</f>
        <v>0.01</v>
      </c>
      <c r="AC20" s="54" t="n">
        <f aca="false">Assumptions!$C$104*MIN(1,(AC$4-Assumptions!$C$99+1)/Assumptions!$C$10)*AC17</f>
        <v>0.01</v>
      </c>
      <c r="AD20" s="54" t="n">
        <f aca="false">Assumptions!$C$104*MIN(1,(AD$4-Assumptions!$C$99+1)/Assumptions!$C$10)*AD17</f>
        <v>0.01</v>
      </c>
      <c r="AE20" s="54" t="n">
        <f aca="false">Assumptions!$C$104*MIN(1,(AE$4-Assumptions!$C$99+1)/Assumptions!$C$10)*AE17</f>
        <v>0.01</v>
      </c>
      <c r="AF20" s="54" t="n">
        <f aca="false">Assumptions!$C$104*MIN(1,(AF$4-Assumptions!$C$99+1)/Assumptions!$C$10)*AF17</f>
        <v>0.01</v>
      </c>
      <c r="AG20" s="54" t="n">
        <f aca="false">Assumptions!$C$104*MIN(1,(AG$4-Assumptions!$C$99+1)/Assumptions!$C$10)*AG17</f>
        <v>0.01</v>
      </c>
      <c r="AH20" s="54" t="n">
        <f aca="false">Assumptions!$C$104*MIN(1,(AH$4-Assumptions!$C$99+1)/Assumptions!$C$10)*AH17</f>
        <v>0.01</v>
      </c>
      <c r="AI20" s="54" t="n">
        <f aca="false">Assumptions!$C$104*MIN(1,(AI$4-Assumptions!$C$99+1)/Assumptions!$C$10)*AI17</f>
        <v>0.01</v>
      </c>
      <c r="AJ20" s="54" t="n">
        <f aca="false">Assumptions!$C$104*MIN(1,(AJ$4-Assumptions!$C$99+1)/Assumptions!$C$10)*AJ17</f>
        <v>0.01</v>
      </c>
      <c r="AK20" s="54" t="n">
        <f aca="false">Assumptions!$C$104*MIN(1,(AK$4-Assumptions!$C$99+1)/Assumptions!$C$10)*AK17</f>
        <v>0.01</v>
      </c>
      <c r="AL20" s="54" t="n">
        <f aca="false">Assumptions!$C$104*MIN(1,(AL$4-Assumptions!$C$99+1)/Assumptions!$C$10)*AL17</f>
        <v>0.01</v>
      </c>
    </row>
    <row r="21" customFormat="false" ht="15" hidden="false" customHeight="false" outlineLevel="0" collapsed="false">
      <c r="A21" s="7" t="s">
        <v>759</v>
      </c>
      <c r="B21" s="9" t="s">
        <v>760</v>
      </c>
      <c r="C21" s="55" t="n">
        <f aca="false">(C19-C59)*C20</f>
        <v>0.475</v>
      </c>
      <c r="D21" s="55" t="n">
        <f aca="false">(D19-D59)*D20</f>
        <v>1.404</v>
      </c>
      <c r="E21" s="55" t="n">
        <f aca="false">(E19-E59)*E20</f>
        <v>2.36196</v>
      </c>
      <c r="F21" s="55" t="n">
        <f aca="false">(F19-F59)*F20</f>
        <v>2.676888</v>
      </c>
      <c r="G21" s="55" t="n">
        <f aca="false">(G19-G59)*G20</f>
        <v>2.601935136</v>
      </c>
      <c r="H21" s="55" t="n">
        <f aca="false">(H19-H59)*H20</f>
        <v>3.74678659584</v>
      </c>
      <c r="I21" s="55" t="n">
        <f aca="false">(I19-I59)*I20</f>
        <v>4.24885599968256</v>
      </c>
      <c r="J21" s="55" t="n">
        <f aca="false">(J19-J59)*J20</f>
        <v>4.15173929111839</v>
      </c>
      <c r="K21" s="55" t="n">
        <f aca="false">(K19-K59)*K20</f>
        <v>4.7198720362188</v>
      </c>
      <c r="L21" s="55" t="n">
        <f aca="false">(L19-L59)*L20</f>
        <v>4.84258870916049</v>
      </c>
      <c r="M21" s="55" t="n">
        <f aca="false">(M19-M59)*M20</f>
        <v>4.67946993158877</v>
      </c>
      <c r="N21" s="55" t="n">
        <f aca="false">(N19-N59)*N20</f>
        <v>5.05382752611587</v>
      </c>
      <c r="O21" s="55" t="n">
        <f aca="false">(O19-O59)*O20</f>
        <v>5.87433128917939</v>
      </c>
      <c r="P21" s="55" t="n">
        <f aca="false">(P19-P59)*P20</f>
        <v>8.3601009504953</v>
      </c>
      <c r="Q21" s="55" t="n">
        <f aca="false">(Q19-Q59)*Q20</f>
        <v>9.02890902653492</v>
      </c>
      <c r="R21" s="55" t="n">
        <f aca="false">(R19-R59)*R20</f>
        <v>8.69450498851511</v>
      </c>
      <c r="S21" s="55" t="n">
        <f aca="false">(S19-S59)*S20</f>
        <v>6.51044533540012</v>
      </c>
      <c r="T21" s="55" t="n">
        <f aca="false">(T19-T59)*T20</f>
        <v>7.52318127646235</v>
      </c>
      <c r="U21" s="55" t="n">
        <f aca="false">(U19-U59)*U20</f>
        <v>8.21531395389689</v>
      </c>
      <c r="V21" s="55" t="n">
        <f aca="false">(V19-V59)*V20</f>
        <v>7.7302192251906</v>
      </c>
      <c r="W21" s="55" t="n">
        <f aca="false">(W19-W59)*W20</f>
        <v>8.46255578336655</v>
      </c>
      <c r="X21" s="55" t="n">
        <f aca="false">(X19-X59)*X20</f>
        <v>8.36100511396615</v>
      </c>
      <c r="Y21" s="55" t="n">
        <f aca="false">(Y19-Y59)*Y20</f>
        <v>7.78013528499587</v>
      </c>
      <c r="Z21" s="55" t="n">
        <f aca="false">(Z19-Z59)*Z20</f>
        <v>8.09134069639571</v>
      </c>
      <c r="AA21" s="55" t="n">
        <f aca="false">(AA19-AA59)*AA20</f>
        <v>9.22412839389111</v>
      </c>
      <c r="AB21" s="55" t="n">
        <f aca="false">(AB19-AB59)*AB20</f>
        <v>12.8749413161049</v>
      </c>
      <c r="AC21" s="55" t="n">
        <f aca="false">(AC19-AC59)*AC20</f>
        <v>13.6375339940588</v>
      </c>
      <c r="AD21" s="55" t="n">
        <f aca="false">(AD19-AD59)*AD20</f>
        <v>12.879893216611</v>
      </c>
      <c r="AE21" s="55" t="n">
        <f aca="false">(AE19-AE59)*AE20</f>
        <v>9.45899357827915</v>
      </c>
      <c r="AF21" s="55" t="n">
        <f aca="false">(AF19-AF59)*AF20</f>
        <v>10.7201927220497</v>
      </c>
      <c r="AG21" s="55" t="n">
        <f aca="false">(AG19-AG59)*AG20</f>
        <v>11.4813264053152</v>
      </c>
      <c r="AH21" s="55" t="n">
        <f aca="false">(AH19-AH59)*AH20</f>
        <v>10.5956240826195</v>
      </c>
      <c r="AI21" s="55" t="n">
        <f aca="false">(AI19-AI59)*AI20</f>
        <v>11.3763542781809</v>
      </c>
      <c r="AJ21" s="55" t="n">
        <f aca="false">(AJ19-AJ59)*AJ20</f>
        <v>11.0236872955573</v>
      </c>
      <c r="AK21" s="55" t="n">
        <f aca="false">(AK19-AK59)*AK20</f>
        <v>10.0605651423665</v>
      </c>
      <c r="AL21" s="55" t="n">
        <f aca="false">(AL19-AL59)*AL20</f>
        <v>10.2617764452139</v>
      </c>
      <c r="AM21" s="53" t="n">
        <f aca="false">SUMIF($C$6:$AL$6,1,C21:AL21)</f>
        <v>40.9629232257249</v>
      </c>
      <c r="AN21" s="53" t="n">
        <f aca="false">SUMIF($C$6:$AL$6,2,C21:AL21)</f>
        <v>94.632042924399</v>
      </c>
      <c r="AO21" s="53" t="n">
        <f aca="false">SUMIF($C$6:$AL$6,3,C21:AL21)</f>
        <v>133.595016870248</v>
      </c>
      <c r="AP21" s="53" t="n">
        <f aca="false">SUM(C21:AL21)</f>
        <v>269.189983020372</v>
      </c>
    </row>
    <row r="22" customFormat="false" ht="15" hidden="false" customHeight="false" outlineLevel="0" collapsed="false">
      <c r="A22" s="7" t="s">
        <v>761</v>
      </c>
      <c r="B22" s="9" t="s">
        <v>342</v>
      </c>
      <c r="C22" s="56" t="n">
        <f aca="false">C21*Assumptions!$C$105</f>
        <v>0.54625</v>
      </c>
      <c r="D22" s="56" t="n">
        <f aca="false">D21*Assumptions!$C$105</f>
        <v>1.6146</v>
      </c>
      <c r="E22" s="56" t="n">
        <f aca="false">E21*Assumptions!$C$105</f>
        <v>2.716254</v>
      </c>
      <c r="F22" s="56" t="n">
        <f aca="false">F21*Assumptions!$C$105</f>
        <v>3.0784212</v>
      </c>
      <c r="G22" s="56" t="n">
        <f aca="false">G21*Assumptions!$C$105</f>
        <v>2.9922254064</v>
      </c>
      <c r="H22" s="56" t="n">
        <f aca="false">H21*Assumptions!$C$105</f>
        <v>4.308804585216</v>
      </c>
      <c r="I22" s="56" t="n">
        <f aca="false">I21*Assumptions!$C$105</f>
        <v>4.88618439963494</v>
      </c>
      <c r="J22" s="56" t="n">
        <f aca="false">J21*Assumptions!$C$105</f>
        <v>4.77450018478615</v>
      </c>
      <c r="K22" s="56" t="n">
        <f aca="false">K21*Assumptions!$C$105</f>
        <v>5.42785284165162</v>
      </c>
      <c r="L22" s="56" t="n">
        <f aca="false">L21*Assumptions!$C$105</f>
        <v>5.56897701553456</v>
      </c>
      <c r="M22" s="56" t="n">
        <f aca="false">M21*Assumptions!$C$105</f>
        <v>5.38139042132708</v>
      </c>
      <c r="N22" s="56" t="n">
        <f aca="false">N21*Assumptions!$C$105</f>
        <v>5.81190165503325</v>
      </c>
      <c r="O22" s="56" t="n">
        <f aca="false">O21*Assumptions!$C$105</f>
        <v>6.7554809825563</v>
      </c>
      <c r="P22" s="56" t="n">
        <f aca="false">P21*Assumptions!$C$105</f>
        <v>9.61411609306959</v>
      </c>
      <c r="Q22" s="56" t="n">
        <f aca="false">Q21*Assumptions!$C$105</f>
        <v>10.3832453805152</v>
      </c>
      <c r="R22" s="56" t="n">
        <f aca="false">R21*Assumptions!$C$105</f>
        <v>9.99868073679238</v>
      </c>
      <c r="S22" s="56" t="n">
        <f aca="false">S21*Assumptions!$C$105</f>
        <v>7.48701213571013</v>
      </c>
      <c r="T22" s="56" t="n">
        <f aca="false">T21*Assumptions!$C$105</f>
        <v>8.65165846793171</v>
      </c>
      <c r="U22" s="56" t="n">
        <f aca="false">U21*Assumptions!$C$105</f>
        <v>9.44761104698143</v>
      </c>
      <c r="V22" s="56" t="n">
        <f aca="false">V21*Assumptions!$C$105</f>
        <v>8.88975210896919</v>
      </c>
      <c r="W22" s="56" t="n">
        <f aca="false">W21*Assumptions!$C$105</f>
        <v>9.73193915087153</v>
      </c>
      <c r="X22" s="56" t="n">
        <f aca="false">X21*Assumptions!$C$105</f>
        <v>9.61515588106107</v>
      </c>
      <c r="Y22" s="56" t="n">
        <f aca="false">Y21*Assumptions!$C$105</f>
        <v>8.94715557774525</v>
      </c>
      <c r="Z22" s="56" t="n">
        <f aca="false">Z21*Assumptions!$C$105</f>
        <v>9.30504180085506</v>
      </c>
      <c r="AA22" s="56" t="n">
        <f aca="false">AA21*Assumptions!$C$105</f>
        <v>10.6077476529748</v>
      </c>
      <c r="AB22" s="56" t="n">
        <f aca="false">AB21*Assumptions!$C$105</f>
        <v>14.8061825135206</v>
      </c>
      <c r="AC22" s="56" t="n">
        <f aca="false">AC21*Assumptions!$C$105</f>
        <v>15.6831640931676</v>
      </c>
      <c r="AD22" s="56" t="n">
        <f aca="false">AD21*Assumptions!$C$105</f>
        <v>14.8118771991027</v>
      </c>
      <c r="AE22" s="56" t="n">
        <f aca="false">AE21*Assumptions!$C$105</f>
        <v>10.877842615021</v>
      </c>
      <c r="AF22" s="56" t="n">
        <f aca="false">AF21*Assumptions!$C$105</f>
        <v>12.3282216303572</v>
      </c>
      <c r="AG22" s="56" t="n">
        <f aca="false">AG21*Assumptions!$C$105</f>
        <v>13.2035253661125</v>
      </c>
      <c r="AH22" s="56" t="n">
        <f aca="false">AH21*Assumptions!$C$105</f>
        <v>12.1849676950124</v>
      </c>
      <c r="AI22" s="56" t="n">
        <f aca="false">AI21*Assumptions!$C$105</f>
        <v>13.0828074199081</v>
      </c>
      <c r="AJ22" s="56" t="n">
        <f aca="false">AJ21*Assumptions!$C$105</f>
        <v>12.6772403898909</v>
      </c>
      <c r="AK22" s="56" t="n">
        <f aca="false">AK21*Assumptions!$C$105</f>
        <v>11.5696499137215</v>
      </c>
      <c r="AL22" s="56" t="n">
        <f aca="false">AL21*Assumptions!$C$105</f>
        <v>11.8010429119959</v>
      </c>
      <c r="AM22" s="53" t="n">
        <f aca="false">SUMIF($C$6:$AL$6,1,C22:AL22)</f>
        <v>47.1073617095836</v>
      </c>
      <c r="AN22" s="53" t="n">
        <f aca="false">SUMIF($C$6:$AL$6,2,C22:AL22)</f>
        <v>108.826849363059</v>
      </c>
      <c r="AO22" s="53" t="n">
        <f aca="false">SUMIF($C$6:$AL$6,3,C22:AL22)</f>
        <v>153.634269400785</v>
      </c>
      <c r="AP22" s="53" t="n">
        <f aca="false">SUM(C22:AL22)</f>
        <v>309.568480473428</v>
      </c>
    </row>
    <row r="23" customFormat="false" ht="15" hidden="false" customHeight="false" outlineLevel="0" collapsed="false">
      <c r="A23" s="7" t="s">
        <v>762</v>
      </c>
      <c r="B23" s="9" t="s">
        <v>101</v>
      </c>
      <c r="C23" s="15" t="n">
        <f aca="false">'Unit Economics'!$E$50*Assumptions!$C$105*C17</f>
        <v>10.495935</v>
      </c>
      <c r="D23" s="15" t="n">
        <f aca="false">'Unit Economics'!$E$50*Assumptions!$C$105*D17</f>
        <v>10.495935</v>
      </c>
      <c r="E23" s="15" t="n">
        <f aca="false">'Unit Economics'!$E$50*Assumptions!$C$105*E17</f>
        <v>10.495935</v>
      </c>
      <c r="F23" s="15" t="n">
        <f aca="false">'Unit Economics'!$E$50*Assumptions!$C$105*F17</f>
        <v>10.495935</v>
      </c>
      <c r="G23" s="15" t="n">
        <f aca="false">'Unit Economics'!$E$50*Assumptions!$C$105*G17</f>
        <v>10.495935</v>
      </c>
      <c r="H23" s="15" t="n">
        <f aca="false">'Unit Economics'!$E$50*Assumptions!$C$105*H17</f>
        <v>10.495935</v>
      </c>
      <c r="I23" s="15" t="n">
        <f aca="false">'Unit Economics'!$E$50*Assumptions!$C$105*I17</f>
        <v>10.495935</v>
      </c>
      <c r="J23" s="15" t="n">
        <f aca="false">'Unit Economics'!$E$50*Assumptions!$C$105*J17</f>
        <v>10.495935</v>
      </c>
      <c r="K23" s="15" t="n">
        <f aca="false">'Unit Economics'!$E$50*Assumptions!$C$105*K17</f>
        <v>10.495935</v>
      </c>
      <c r="L23" s="15" t="n">
        <f aca="false">'Unit Economics'!$E$50*Assumptions!$C$105*L17</f>
        <v>10.495935</v>
      </c>
      <c r="M23" s="15" t="n">
        <f aca="false">'Unit Economics'!$E$50*Assumptions!$C$105*M17</f>
        <v>10.495935</v>
      </c>
      <c r="N23" s="15" t="n">
        <f aca="false">'Unit Economics'!$E$50*Assumptions!$C$105*N17</f>
        <v>10.495935</v>
      </c>
      <c r="O23" s="15" t="n">
        <f aca="false">'Unit Economics'!$E$50*Assumptions!$C$105*O17</f>
        <v>10.495935</v>
      </c>
      <c r="P23" s="15" t="n">
        <f aca="false">'Unit Economics'!$E$50*Assumptions!$C$105*P17</f>
        <v>10.495935</v>
      </c>
      <c r="Q23" s="15" t="n">
        <f aca="false">'Unit Economics'!$E$50*Assumptions!$C$105*Q17</f>
        <v>10.495935</v>
      </c>
      <c r="R23" s="15" t="n">
        <f aca="false">'Unit Economics'!$E$50*Assumptions!$C$105*R17</f>
        <v>10.495935</v>
      </c>
      <c r="S23" s="15" t="n">
        <f aca="false">'Unit Economics'!$E$50*Assumptions!$C$105*S17</f>
        <v>10.495935</v>
      </c>
      <c r="T23" s="15" t="n">
        <f aca="false">'Unit Economics'!$E$50*Assumptions!$C$105*T17</f>
        <v>10.495935</v>
      </c>
      <c r="U23" s="15" t="n">
        <f aca="false">'Unit Economics'!$E$50*Assumptions!$C$105*U17</f>
        <v>10.495935</v>
      </c>
      <c r="V23" s="15" t="n">
        <f aca="false">'Unit Economics'!$E$50*Assumptions!$C$105*V17</f>
        <v>10.495935</v>
      </c>
      <c r="W23" s="15" t="n">
        <f aca="false">'Unit Economics'!$E$50*Assumptions!$C$105*W17</f>
        <v>10.495935</v>
      </c>
      <c r="X23" s="15" t="n">
        <f aca="false">'Unit Economics'!$E$50*Assumptions!$C$105*X17</f>
        <v>10.495935</v>
      </c>
      <c r="Y23" s="15" t="n">
        <f aca="false">'Unit Economics'!$E$50*Assumptions!$C$105*Y17</f>
        <v>10.495935</v>
      </c>
      <c r="Z23" s="15" t="n">
        <f aca="false">'Unit Economics'!$E$50*Assumptions!$C$105*Z17</f>
        <v>10.495935</v>
      </c>
      <c r="AA23" s="15" t="n">
        <f aca="false">'Unit Economics'!$E$50*Assumptions!$C$105*AA17</f>
        <v>10.495935</v>
      </c>
      <c r="AB23" s="15" t="n">
        <f aca="false">'Unit Economics'!$E$50*Assumptions!$C$105*AB17</f>
        <v>10.495935</v>
      </c>
      <c r="AC23" s="15" t="n">
        <f aca="false">'Unit Economics'!$E$50*Assumptions!$C$105*AC17</f>
        <v>10.495935</v>
      </c>
      <c r="AD23" s="15" t="n">
        <f aca="false">'Unit Economics'!$E$50*Assumptions!$C$105*AD17</f>
        <v>10.495935</v>
      </c>
      <c r="AE23" s="15" t="n">
        <f aca="false">'Unit Economics'!$E$50*Assumptions!$C$105*AE17</f>
        <v>10.495935</v>
      </c>
      <c r="AF23" s="15" t="n">
        <f aca="false">'Unit Economics'!$E$50*Assumptions!$C$105*AF17</f>
        <v>10.495935</v>
      </c>
      <c r="AG23" s="15" t="n">
        <f aca="false">'Unit Economics'!$E$50*Assumptions!$C$105*AG17</f>
        <v>10.495935</v>
      </c>
      <c r="AH23" s="15" t="n">
        <f aca="false">'Unit Economics'!$E$50*Assumptions!$C$105*AH17</f>
        <v>10.495935</v>
      </c>
      <c r="AI23" s="15" t="n">
        <f aca="false">'Unit Economics'!$E$50*Assumptions!$C$105*AI17</f>
        <v>10.495935</v>
      </c>
      <c r="AJ23" s="15" t="n">
        <f aca="false">'Unit Economics'!$E$50*Assumptions!$C$105*AJ17</f>
        <v>10.495935</v>
      </c>
      <c r="AK23" s="15" t="n">
        <f aca="false">'Unit Economics'!$E$50*Assumptions!$C$105*AK17</f>
        <v>10.495935</v>
      </c>
      <c r="AL23" s="15" t="n">
        <f aca="false">'Unit Economics'!$E$50*Assumptions!$C$105*AL17</f>
        <v>10.495935</v>
      </c>
    </row>
    <row r="24" customFormat="false" ht="15" hidden="false" customHeight="false" outlineLevel="0" collapsed="false">
      <c r="A24" s="7" t="s">
        <v>763</v>
      </c>
      <c r="B24" s="9" t="s">
        <v>101</v>
      </c>
      <c r="C24" s="8" t="n">
        <f aca="false">C22*'Unit Economics'!$E$50</f>
        <v>4.985569125</v>
      </c>
      <c r="D24" s="8" t="n">
        <f aca="false">D22*'Unit Economics'!$E$50</f>
        <v>14.73629274</v>
      </c>
      <c r="E24" s="8" t="n">
        <f aca="false">E22*'Unit Economics'!$E$50</f>
        <v>24.7909786326</v>
      </c>
      <c r="F24" s="8" t="n">
        <f aca="false">F22*'Unit Economics'!$E$50</f>
        <v>28.09644245028</v>
      </c>
      <c r="G24" s="8" t="n">
        <f aca="false">G22*'Unit Economics'!$E$50</f>
        <v>27.3097420616722</v>
      </c>
      <c r="H24" s="8" t="n">
        <f aca="false">H22*'Unit Economics'!$E$50</f>
        <v>39.3260285688079</v>
      </c>
      <c r="I24" s="8" t="n">
        <f aca="false">I22*'Unit Economics'!$E$50</f>
        <v>44.5957163970282</v>
      </c>
      <c r="J24" s="8" t="n">
        <f aca="false">J22*'Unit Economics'!$E$50</f>
        <v>43.5763857365247</v>
      </c>
      <c r="K24" s="8" t="n">
        <f aca="false">K22*'Unit Economics'!$E$50</f>
        <v>49.5394701004702</v>
      </c>
      <c r="L24" s="8" t="n">
        <f aca="false">L22*'Unit Economics'!$E$50</f>
        <v>50.8274963230824</v>
      </c>
      <c r="M24" s="8" t="n">
        <f aca="false">M22*'Unit Economics'!$E$50</f>
        <v>49.1154122364101</v>
      </c>
      <c r="N24" s="8" t="n">
        <f aca="false">N22*'Unit Economics'!$E$50</f>
        <v>53.044645215323</v>
      </c>
      <c r="O24" s="8" t="n">
        <f aca="false">O22*'Unit Economics'!$E$50</f>
        <v>61.6565993796931</v>
      </c>
      <c r="P24" s="8" t="n">
        <f aca="false">P22*'Unit Economics'!$E$50</f>
        <v>87.7470761698369</v>
      </c>
      <c r="Q24" s="8" t="n">
        <f aca="false">Q22*'Unit Economics'!$E$50</f>
        <v>94.7668422634238</v>
      </c>
      <c r="R24" s="8" t="n">
        <f aca="false">R22*'Unit Economics'!$E$50</f>
        <v>91.2569592166303</v>
      </c>
      <c r="S24" s="8" t="n">
        <f aca="false">S22*'Unit Economics'!$E$50</f>
        <v>68.3332110614128</v>
      </c>
      <c r="T24" s="8" t="n">
        <f aca="false">T22*'Unit Economics'!$E$50</f>
        <v>78.9628216709659</v>
      </c>
      <c r="U24" s="8" t="n">
        <f aca="false">U22*'Unit Economics'!$E$50</f>
        <v>86.2274012646948</v>
      </c>
      <c r="V24" s="8" t="n">
        <f aca="false">V22*'Unit Economics'!$E$50</f>
        <v>81.1358785233509</v>
      </c>
      <c r="W24" s="8" t="n">
        <f aca="false">W22*'Unit Economics'!$E$50</f>
        <v>88.8224354360894</v>
      </c>
      <c r="X24" s="8" t="n">
        <f aca="false">X22*'Unit Economics'!$E$50</f>
        <v>87.7565662108563</v>
      </c>
      <c r="Y24" s="8" t="n">
        <f aca="false">Y22*'Unit Economics'!$E$50</f>
        <v>81.6597942425232</v>
      </c>
      <c r="Z24" s="8" t="n">
        <f aca="false">Z22*'Unit Economics'!$E$50</f>
        <v>84.9261860122241</v>
      </c>
      <c r="AA24" s="8" t="n">
        <f aca="false">AA22*'Unit Economics'!$E$50</f>
        <v>96.8158520539354</v>
      </c>
      <c r="AB24" s="8" t="n">
        <f aca="false">AB22*'Unit Economics'!$E$50</f>
        <v>135.134547182651</v>
      </c>
      <c r="AC24" s="8" t="n">
        <f aca="false">AC22*'Unit Economics'!$E$50</f>
        <v>143.138670361931</v>
      </c>
      <c r="AD24" s="8" t="n">
        <f aca="false">AD22*'Unit Economics'!$E$50</f>
        <v>135.18652200849</v>
      </c>
      <c r="AE24" s="8" t="n">
        <f aca="false">AE22*'Unit Economics'!$E$50</f>
        <v>99.2809817630354</v>
      </c>
      <c r="AF24" s="8" t="n">
        <f aca="false">AF22*'Unit Economics'!$E$50</f>
        <v>112.518445998107</v>
      </c>
      <c r="AG24" s="8" t="n">
        <f aca="false">AG22*'Unit Economics'!$E$50</f>
        <v>120.507255663972</v>
      </c>
      <c r="AH24" s="8" t="n">
        <f aca="false">AH22*'Unit Economics'!$E$50</f>
        <v>111.210981655609</v>
      </c>
      <c r="AI24" s="8" t="n">
        <f aca="false">AI22*'Unit Economics'!$E$50</f>
        <v>119.405475040759</v>
      </c>
      <c r="AJ24" s="8" t="n">
        <f aca="false">AJ22*'Unit Economics'!$E$50</f>
        <v>115.703905314495</v>
      </c>
      <c r="AK24" s="8" t="n">
        <f aca="false">AK22*'Unit Economics'!$E$50</f>
        <v>105.595037797545</v>
      </c>
      <c r="AL24" s="8" t="n">
        <f aca="false">AL22*'Unit Economics'!$E$50</f>
        <v>107.706938553496</v>
      </c>
      <c r="AM24" s="45" t="n">
        <f aca="false">SUMIF($C$6:$AL$6,1,C24:AL24)</f>
        <v>429.944179587199</v>
      </c>
      <c r="AN24" s="45" t="n">
        <f aca="false">SUMIF($C$6:$AL$6,2,C24:AL24)</f>
        <v>993.251771451701</v>
      </c>
      <c r="AO24" s="45" t="n">
        <f aca="false">SUMIF($C$6:$AL$6,3,C24:AL24)</f>
        <v>1402.20461339403</v>
      </c>
      <c r="AP24" s="45" t="n">
        <f aca="false">SUM(C24:AL24)</f>
        <v>2825.40056443293</v>
      </c>
    </row>
    <row r="25" customFormat="false" ht="15" hidden="false" customHeight="false" outlineLevel="0" collapsed="false">
      <c r="A25" s="7" t="s">
        <v>764</v>
      </c>
      <c r="B25" s="9" t="s">
        <v>101</v>
      </c>
      <c r="C25" s="8" t="n">
        <f aca="false">C22*'Unit Economics'!$F$50</f>
        <v>4.440838737875</v>
      </c>
      <c r="D25" s="8" t="n">
        <f aca="false">D22*'Unit Economics'!$F$50</f>
        <v>13.12618439574</v>
      </c>
      <c r="E25" s="8" t="n">
        <f aca="false">E22*'Unit Economics'!$F$50</f>
        <v>22.0822809796026</v>
      </c>
      <c r="F25" s="8" t="n">
        <f aca="false">F22*'Unit Economics'!$F$50</f>
        <v>25.0265851102163</v>
      </c>
      <c r="G25" s="8" t="n">
        <f aca="false">G22*'Unit Economics'!$F$50</f>
        <v>24.3258407271302</v>
      </c>
      <c r="H25" s="8" t="n">
        <f aca="false">H22*'Unit Economics'!$F$50</f>
        <v>35.0292106470675</v>
      </c>
      <c r="I25" s="8" t="n">
        <f aca="false">I22*'Unit Economics'!$F$50</f>
        <v>39.7231248737746</v>
      </c>
      <c r="J25" s="8" t="n">
        <f aca="false">J22*'Unit Economics'!$F$50</f>
        <v>38.8151677338026</v>
      </c>
      <c r="K25" s="8" t="n">
        <f aca="false">K22*'Unit Economics'!$F$50</f>
        <v>44.1267170026387</v>
      </c>
      <c r="L25" s="8" t="n">
        <f aca="false">L22*'Unit Economics'!$F$50</f>
        <v>45.2740116447073</v>
      </c>
      <c r="M25" s="8" t="n">
        <f aca="false">M22*'Unit Economics'!$F$50</f>
        <v>43.7489923050961</v>
      </c>
      <c r="N25" s="8" t="n">
        <f aca="false">N22*'Unit Economics'!$F$50</f>
        <v>47.2489116895038</v>
      </c>
      <c r="O25" s="8" t="n">
        <f aca="false">O22*'Unit Economics'!$F$50</f>
        <v>54.9199114696821</v>
      </c>
      <c r="P25" s="8" t="n">
        <f aca="false">P22*'Unit Economics'!$F$50</f>
        <v>78.1597055863266</v>
      </c>
      <c r="Q25" s="8" t="n">
        <f aca="false">Q22*'Unit Economics'!$F$50</f>
        <v>84.4124820332327</v>
      </c>
      <c r="R25" s="8" t="n">
        <f aca="false">R22*'Unit Economics'!$F$50</f>
        <v>81.2860938097796</v>
      </c>
      <c r="S25" s="8" t="n">
        <f aca="false">S22*'Unit Economics'!$F$50</f>
        <v>60.867027044763</v>
      </c>
      <c r="T25" s="8" t="n">
        <f aca="false">T22*'Unit Economics'!$F$50</f>
        <v>70.3352312517261</v>
      </c>
      <c r="U25" s="8" t="n">
        <f aca="false">U22*'Unit Economics'!$F$50</f>
        <v>76.8060725268849</v>
      </c>
      <c r="V25" s="8" t="n">
        <f aca="false">V22*'Unit Economics'!$F$50</f>
        <v>72.2708568157736</v>
      </c>
      <c r="W25" s="8" t="n">
        <f aca="false">W22*'Unit Economics'!$F$50</f>
        <v>79.1175695667417</v>
      </c>
      <c r="X25" s="8" t="n">
        <f aca="false">X22*'Unit Economics'!$F$50</f>
        <v>78.1681587319408</v>
      </c>
      <c r="Y25" s="8" t="n">
        <f aca="false">Y22*'Unit Economics'!$F$50</f>
        <v>72.7375287568796</v>
      </c>
      <c r="Z25" s="8" t="n">
        <f aca="false">Z22*'Unit Economics'!$F$50</f>
        <v>75.6470299071548</v>
      </c>
      <c r="AA25" s="8" t="n">
        <f aca="false">AA22*'Unit Economics'!$F$50</f>
        <v>86.2376140941565</v>
      </c>
      <c r="AB25" s="8" t="n">
        <f aca="false">AB22*'Unit Economics'!$F$50</f>
        <v>120.369553988265</v>
      </c>
      <c r="AC25" s="8" t="n">
        <f aca="false">AC22*'Unit Economics'!$F$50</f>
        <v>127.499135262954</v>
      </c>
      <c r="AD25" s="8" t="n">
        <f aca="false">AD22*'Unit Economics'!$F$50</f>
        <v>120.415849970568</v>
      </c>
      <c r="AE25" s="8" t="n">
        <f aca="false">AE22*'Unit Economics'!$F$50</f>
        <v>88.4334002183851</v>
      </c>
      <c r="AF25" s="8" t="n">
        <f aca="false">AF22*'Unit Economics'!$F$50</f>
        <v>100.224520247503</v>
      </c>
      <c r="AG25" s="8" t="n">
        <f aca="false">AG22*'Unit Economics'!$F$50</f>
        <v>107.340461185076</v>
      </c>
      <c r="AH25" s="8" t="n">
        <f aca="false">AH22*'Unit Economics'!$F$50</f>
        <v>99.0599113222271</v>
      </c>
      <c r="AI25" s="8" t="n">
        <f aca="false">AI22*'Unit Economics'!$F$50</f>
        <v>106.359062682812</v>
      </c>
      <c r="AJ25" s="8" t="n">
        <f aca="false">AJ22*'Unit Economics'!$F$50</f>
        <v>103.061931739645</v>
      </c>
      <c r="AK25" s="8" t="n">
        <f aca="false">AK22*'Unit Economics'!$F$50</f>
        <v>94.0575734929182</v>
      </c>
      <c r="AL25" s="8" t="n">
        <f aca="false">AL22*'Unit Economics'!$F$50</f>
        <v>95.9387249627766</v>
      </c>
      <c r="AM25" s="45" t="n">
        <f aca="false">SUMIF($C$6:$AL$6,1,C25:AL25)</f>
        <v>382.967865847155</v>
      </c>
      <c r="AN25" s="45" t="n">
        <f aca="false">SUMIF($C$6:$AL$6,2,C25:AL25)</f>
        <v>884.727667500886</v>
      </c>
      <c r="AO25" s="45" t="n">
        <f aca="false">SUMIF($C$6:$AL$6,3,C25:AL25)</f>
        <v>1248.99773916729</v>
      </c>
      <c r="AP25" s="45" t="n">
        <f aca="false">SUM(C25:AL25)</f>
        <v>2516.69327251533</v>
      </c>
    </row>
    <row r="26" customFormat="false" ht="15" hidden="false" customHeight="false" outlineLevel="0" collapsed="false">
      <c r="A26" s="5" t="s">
        <v>572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</row>
    <row r="27" customFormat="false" ht="15" hidden="false" customHeight="false" outlineLevel="0" collapsed="false">
      <c r="A27" s="7" t="s">
        <v>755</v>
      </c>
      <c r="B27" s="9" t="s">
        <v>319</v>
      </c>
      <c r="C27" s="38" t="n">
        <f aca="false">IF(AND(Assumptions!$C$108=1,C$4&gt;=Assumptions!$C$109),1,0)</f>
        <v>1</v>
      </c>
      <c r="D27" s="38" t="n">
        <f aca="false">IF(AND(Assumptions!$C$108=1,D$4&gt;=Assumptions!$C$109),1,0)</f>
        <v>1</v>
      </c>
      <c r="E27" s="38" t="n">
        <f aca="false">IF(AND(Assumptions!$C$108=1,E$4&gt;=Assumptions!$C$109),1,0)</f>
        <v>1</v>
      </c>
      <c r="F27" s="38" t="n">
        <f aca="false">IF(AND(Assumptions!$C$108=1,F$4&gt;=Assumptions!$C$109),1,0)</f>
        <v>1</v>
      </c>
      <c r="G27" s="38" t="n">
        <f aca="false">IF(AND(Assumptions!$C$108=1,G$4&gt;=Assumptions!$C$109),1,0)</f>
        <v>1</v>
      </c>
      <c r="H27" s="38" t="n">
        <f aca="false">IF(AND(Assumptions!$C$108=1,H$4&gt;=Assumptions!$C$109),1,0)</f>
        <v>1</v>
      </c>
      <c r="I27" s="38" t="n">
        <f aca="false">IF(AND(Assumptions!$C$108=1,I$4&gt;=Assumptions!$C$109),1,0)</f>
        <v>1</v>
      </c>
      <c r="J27" s="38" t="n">
        <f aca="false">IF(AND(Assumptions!$C$108=1,J$4&gt;=Assumptions!$C$109),1,0)</f>
        <v>1</v>
      </c>
      <c r="K27" s="38" t="n">
        <f aca="false">IF(AND(Assumptions!$C$108=1,K$4&gt;=Assumptions!$C$109),1,0)</f>
        <v>1</v>
      </c>
      <c r="L27" s="38" t="n">
        <f aca="false">IF(AND(Assumptions!$C$108=1,L$4&gt;=Assumptions!$C$109),1,0)</f>
        <v>1</v>
      </c>
      <c r="M27" s="38" t="n">
        <f aca="false">IF(AND(Assumptions!$C$108=1,M$4&gt;=Assumptions!$C$109),1,0)</f>
        <v>1</v>
      </c>
      <c r="N27" s="38" t="n">
        <f aca="false">IF(AND(Assumptions!$C$108=1,N$4&gt;=Assumptions!$C$109),1,0)</f>
        <v>1</v>
      </c>
      <c r="O27" s="38" t="n">
        <f aca="false">IF(AND(Assumptions!$C$108=1,O$4&gt;=Assumptions!$C$109),1,0)</f>
        <v>1</v>
      </c>
      <c r="P27" s="38" t="n">
        <f aca="false">IF(AND(Assumptions!$C$108=1,P$4&gt;=Assumptions!$C$109),1,0)</f>
        <v>1</v>
      </c>
      <c r="Q27" s="38" t="n">
        <f aca="false">IF(AND(Assumptions!$C$108=1,Q$4&gt;=Assumptions!$C$109),1,0)</f>
        <v>1</v>
      </c>
      <c r="R27" s="38" t="n">
        <f aca="false">IF(AND(Assumptions!$C$108=1,R$4&gt;=Assumptions!$C$109),1,0)</f>
        <v>1</v>
      </c>
      <c r="S27" s="38" t="n">
        <f aca="false">IF(AND(Assumptions!$C$108=1,S$4&gt;=Assumptions!$C$109),1,0)</f>
        <v>1</v>
      </c>
      <c r="T27" s="38" t="n">
        <f aca="false">IF(AND(Assumptions!$C$108=1,T$4&gt;=Assumptions!$C$109),1,0)</f>
        <v>1</v>
      </c>
      <c r="U27" s="38" t="n">
        <f aca="false">IF(AND(Assumptions!$C$108=1,U$4&gt;=Assumptions!$C$109),1,0)</f>
        <v>1</v>
      </c>
      <c r="V27" s="38" t="n">
        <f aca="false">IF(AND(Assumptions!$C$108=1,V$4&gt;=Assumptions!$C$109),1,0)</f>
        <v>1</v>
      </c>
      <c r="W27" s="38" t="n">
        <f aca="false">IF(AND(Assumptions!$C$108=1,W$4&gt;=Assumptions!$C$109),1,0)</f>
        <v>1</v>
      </c>
      <c r="X27" s="38" t="n">
        <f aca="false">IF(AND(Assumptions!$C$108=1,X$4&gt;=Assumptions!$C$109),1,0)</f>
        <v>1</v>
      </c>
      <c r="Y27" s="38" t="n">
        <f aca="false">IF(AND(Assumptions!$C$108=1,Y$4&gt;=Assumptions!$C$109),1,0)</f>
        <v>1</v>
      </c>
      <c r="Z27" s="38" t="n">
        <f aca="false">IF(AND(Assumptions!$C$108=1,Z$4&gt;=Assumptions!$C$109),1,0)</f>
        <v>1</v>
      </c>
      <c r="AA27" s="38" t="n">
        <f aca="false">IF(AND(Assumptions!$C$108=1,AA$4&gt;=Assumptions!$C$109),1,0)</f>
        <v>1</v>
      </c>
      <c r="AB27" s="38" t="n">
        <f aca="false">IF(AND(Assumptions!$C$108=1,AB$4&gt;=Assumptions!$C$109),1,0)</f>
        <v>1</v>
      </c>
      <c r="AC27" s="38" t="n">
        <f aca="false">IF(AND(Assumptions!$C$108=1,AC$4&gt;=Assumptions!$C$109),1,0)</f>
        <v>1</v>
      </c>
      <c r="AD27" s="38" t="n">
        <f aca="false">IF(AND(Assumptions!$C$108=1,AD$4&gt;=Assumptions!$C$109),1,0)</f>
        <v>1</v>
      </c>
      <c r="AE27" s="38" t="n">
        <f aca="false">IF(AND(Assumptions!$C$108=1,AE$4&gt;=Assumptions!$C$109),1,0)</f>
        <v>1</v>
      </c>
      <c r="AF27" s="38" t="n">
        <f aca="false">IF(AND(Assumptions!$C$108=1,AF$4&gt;=Assumptions!$C$109),1,0)</f>
        <v>1</v>
      </c>
      <c r="AG27" s="38" t="n">
        <f aca="false">IF(AND(Assumptions!$C$108=1,AG$4&gt;=Assumptions!$C$109),1,0)</f>
        <v>1</v>
      </c>
      <c r="AH27" s="38" t="n">
        <f aca="false">IF(AND(Assumptions!$C$108=1,AH$4&gt;=Assumptions!$C$109),1,0)</f>
        <v>1</v>
      </c>
      <c r="AI27" s="38" t="n">
        <f aca="false">IF(AND(Assumptions!$C$108=1,AI$4&gt;=Assumptions!$C$109),1,0)</f>
        <v>1</v>
      </c>
      <c r="AJ27" s="38" t="n">
        <f aca="false">IF(AND(Assumptions!$C$108=1,AJ$4&gt;=Assumptions!$C$109),1,0)</f>
        <v>1</v>
      </c>
      <c r="AK27" s="38" t="n">
        <f aca="false">IF(AND(Assumptions!$C$108=1,AK$4&gt;=Assumptions!$C$109),1,0)</f>
        <v>1</v>
      </c>
      <c r="AL27" s="38" t="n">
        <f aca="false">IF(AND(Assumptions!$C$108=1,AL$4&gt;=Assumptions!$C$109),1,0)</f>
        <v>1</v>
      </c>
    </row>
    <row r="28" customFormat="false" ht="15" hidden="false" customHeight="false" outlineLevel="0" collapsed="false">
      <c r="A28" s="7" t="s">
        <v>756</v>
      </c>
      <c r="B28" s="9" t="s">
        <v>327</v>
      </c>
      <c r="C28" s="14" t="n">
        <f aca="false">IF(C27=0,0,Assumptions!$C$110)</f>
        <v>400</v>
      </c>
      <c r="D28" s="14" t="n">
        <f aca="false">IF(D27=0,0,IF(D$4=Assumptions!$C$109,Assumptions!$C$110,C28*(1+CHOOSE(D$6,Assumptions!$C$111,Assumptions!$C$112,Assumptions!$C$113))))</f>
        <v>432</v>
      </c>
      <c r="E28" s="14" t="n">
        <f aca="false">IF(E27=0,0,IF(E$4=Assumptions!$C$109,Assumptions!$C$110,D28*(1+CHOOSE(E$6,Assumptions!$C$111,Assumptions!$C$112,Assumptions!$C$113))))</f>
        <v>466.56</v>
      </c>
      <c r="F28" s="14" t="n">
        <f aca="false">IF(F27=0,0,IF(F$4=Assumptions!$C$109,Assumptions!$C$110,E28*(1+CHOOSE(F$6,Assumptions!$C$111,Assumptions!$C$112,Assumptions!$C$113))))</f>
        <v>503.8848</v>
      </c>
      <c r="G28" s="14" t="n">
        <f aca="false">IF(G27=0,0,IF(G$4=Assumptions!$C$109,Assumptions!$C$110,F28*(1+CHOOSE(G$6,Assumptions!$C$111,Assumptions!$C$112,Assumptions!$C$113))))</f>
        <v>544.195584</v>
      </c>
      <c r="H28" s="14" t="n">
        <f aca="false">IF(H27=0,0,IF(H$4=Assumptions!$C$109,Assumptions!$C$110,G28*(1+CHOOSE(H$6,Assumptions!$C$111,Assumptions!$C$112,Assumptions!$C$113))))</f>
        <v>587.73123072</v>
      </c>
      <c r="I28" s="14" t="n">
        <f aca="false">IF(I27=0,0,IF(I$4=Assumptions!$C$109,Assumptions!$C$110,H28*(1+CHOOSE(I$6,Assumptions!$C$111,Assumptions!$C$112,Assumptions!$C$113))))</f>
        <v>634.7497291776</v>
      </c>
      <c r="J28" s="14" t="n">
        <f aca="false">IF(J27=0,0,IF(J$4=Assumptions!$C$109,Assumptions!$C$110,I28*(1+CHOOSE(J$6,Assumptions!$C$111,Assumptions!$C$112,Assumptions!$C$113))))</f>
        <v>685.529707511808</v>
      </c>
      <c r="K28" s="14" t="n">
        <f aca="false">IF(K27=0,0,IF(K$4=Assumptions!$C$109,Assumptions!$C$110,J28*(1+CHOOSE(K$6,Assumptions!$C$111,Assumptions!$C$112,Assumptions!$C$113))))</f>
        <v>740.372084112753</v>
      </c>
      <c r="L28" s="14" t="n">
        <f aca="false">IF(L27=0,0,IF(L$4=Assumptions!$C$109,Assumptions!$C$110,K28*(1+CHOOSE(L$6,Assumptions!$C$111,Assumptions!$C$112,Assumptions!$C$113))))</f>
        <v>799.601850841773</v>
      </c>
      <c r="M28" s="14" t="n">
        <f aca="false">IF(M27=0,0,IF(M$4=Assumptions!$C$109,Assumptions!$C$110,L28*(1+CHOOSE(M$6,Assumptions!$C$111,Assumptions!$C$112,Assumptions!$C$113))))</f>
        <v>863.569998909115</v>
      </c>
      <c r="N28" s="14" t="n">
        <f aca="false">IF(N27=0,0,IF(N$4=Assumptions!$C$109,Assumptions!$C$110,M28*(1+CHOOSE(N$6,Assumptions!$C$111,Assumptions!$C$112,Assumptions!$C$113))))</f>
        <v>932.655598821845</v>
      </c>
      <c r="O28" s="14" t="n">
        <f aca="false">IF(O27=0,0,IF(O$4=Assumptions!$C$109,Assumptions!$C$110,N28*(1+CHOOSE(O$6,Assumptions!$C$111,Assumptions!$C$112,Assumptions!$C$113))))</f>
        <v>960.6352667865</v>
      </c>
      <c r="P28" s="14" t="n">
        <f aca="false">IF(P27=0,0,IF(P$4=Assumptions!$C$109,Assumptions!$C$110,O28*(1+CHOOSE(P$6,Assumptions!$C$111,Assumptions!$C$112,Assumptions!$C$113))))</f>
        <v>989.454324790095</v>
      </c>
      <c r="Q28" s="14" t="n">
        <f aca="false">IF(Q27=0,0,IF(Q$4=Assumptions!$C$109,Assumptions!$C$110,P28*(1+CHOOSE(Q$6,Assumptions!$C$111,Assumptions!$C$112,Assumptions!$C$113))))</f>
        <v>1019.1379545338</v>
      </c>
      <c r="R28" s="14" t="n">
        <f aca="false">IF(R27=0,0,IF(R$4=Assumptions!$C$109,Assumptions!$C$110,Q28*(1+CHOOSE(R$6,Assumptions!$C$111,Assumptions!$C$112,Assumptions!$C$113))))</f>
        <v>1049.71209316981</v>
      </c>
      <c r="S28" s="14" t="n">
        <f aca="false">IF(S27=0,0,IF(S$4=Assumptions!$C$109,Assumptions!$C$110,R28*(1+CHOOSE(S$6,Assumptions!$C$111,Assumptions!$C$112,Assumptions!$C$113))))</f>
        <v>1081.20345596491</v>
      </c>
      <c r="T28" s="14" t="n">
        <f aca="false">IF(T27=0,0,IF(T$4=Assumptions!$C$109,Assumptions!$C$110,S28*(1+CHOOSE(T$6,Assumptions!$C$111,Assumptions!$C$112,Assumptions!$C$113))))</f>
        <v>1113.63955964385</v>
      </c>
      <c r="U28" s="14" t="n">
        <f aca="false">IF(U27=0,0,IF(U$4=Assumptions!$C$109,Assumptions!$C$110,T28*(1+CHOOSE(U$6,Assumptions!$C$111,Assumptions!$C$112,Assumptions!$C$113))))</f>
        <v>1147.04874643317</v>
      </c>
      <c r="V28" s="14" t="n">
        <f aca="false">IF(V27=0,0,IF(V$4=Assumptions!$C$109,Assumptions!$C$110,U28*(1+CHOOSE(V$6,Assumptions!$C$111,Assumptions!$C$112,Assumptions!$C$113))))</f>
        <v>1181.46020882616</v>
      </c>
      <c r="W28" s="14" t="n">
        <f aca="false">IF(W27=0,0,IF(W$4=Assumptions!$C$109,Assumptions!$C$110,V28*(1+CHOOSE(W$6,Assumptions!$C$111,Assumptions!$C$112,Assumptions!$C$113))))</f>
        <v>1216.90401509095</v>
      </c>
      <c r="X28" s="14" t="n">
        <f aca="false">IF(X27=0,0,IF(X$4=Assumptions!$C$109,Assumptions!$C$110,W28*(1+CHOOSE(X$6,Assumptions!$C$111,Assumptions!$C$112,Assumptions!$C$113))))</f>
        <v>1253.41113554368</v>
      </c>
      <c r="Y28" s="14" t="n">
        <f aca="false">IF(Y27=0,0,IF(Y$4=Assumptions!$C$109,Assumptions!$C$110,X28*(1+CHOOSE(Y$6,Assumptions!$C$111,Assumptions!$C$112,Assumptions!$C$113))))</f>
        <v>1291.01346960999</v>
      </c>
      <c r="Z28" s="14" t="n">
        <f aca="false">IF(Z27=0,0,IF(Z$4=Assumptions!$C$109,Assumptions!$C$110,Y28*(1+CHOOSE(Z$6,Assumptions!$C$111,Assumptions!$C$112,Assumptions!$C$113))))</f>
        <v>1329.74387369829</v>
      </c>
      <c r="AA28" s="14" t="n">
        <f aca="false">IF(AA27=0,0,IF(AA$4=Assumptions!$C$109,Assumptions!$C$110,Z28*(1+CHOOSE(AA$6,Assumptions!$C$111,Assumptions!$C$112,Assumptions!$C$113))))</f>
        <v>1343.04131243527</v>
      </c>
      <c r="AB28" s="14" t="n">
        <f aca="false">IF(AB27=0,0,IF(AB$4=Assumptions!$C$109,Assumptions!$C$110,AA28*(1+CHOOSE(AB$6,Assumptions!$C$111,Assumptions!$C$112,Assumptions!$C$113))))</f>
        <v>1356.47172555962</v>
      </c>
      <c r="AC28" s="14" t="n">
        <f aca="false">IF(AC27=0,0,IF(AC$4=Assumptions!$C$109,Assumptions!$C$110,AB28*(1+CHOOSE(AC$6,Assumptions!$C$111,Assumptions!$C$112,Assumptions!$C$113))))</f>
        <v>1370.03644281522</v>
      </c>
      <c r="AD28" s="14" t="n">
        <f aca="false">IF(AD27=0,0,IF(AD$4=Assumptions!$C$109,Assumptions!$C$110,AC28*(1+CHOOSE(AD$6,Assumptions!$C$111,Assumptions!$C$112,Assumptions!$C$113))))</f>
        <v>1383.73680724337</v>
      </c>
      <c r="AE28" s="14" t="n">
        <f aca="false">IF(AE27=0,0,IF(AE$4=Assumptions!$C$109,Assumptions!$C$110,AD28*(1+CHOOSE(AE$6,Assumptions!$C$111,Assumptions!$C$112,Assumptions!$C$113))))</f>
        <v>1397.57417531581</v>
      </c>
      <c r="AF28" s="14" t="n">
        <f aca="false">IF(AF27=0,0,IF(AF$4=Assumptions!$C$109,Assumptions!$C$110,AE28*(1+CHOOSE(AF$6,Assumptions!$C$111,Assumptions!$C$112,Assumptions!$C$113))))</f>
        <v>1411.54991706896</v>
      </c>
      <c r="AG28" s="14" t="n">
        <f aca="false">IF(AG27=0,0,IF(AG$4=Assumptions!$C$109,Assumptions!$C$110,AF28*(1+CHOOSE(AG$6,Assumptions!$C$111,Assumptions!$C$112,Assumptions!$C$113))))</f>
        <v>1425.66541623965</v>
      </c>
      <c r="AH28" s="14" t="n">
        <f aca="false">IF(AH27=0,0,IF(AH$4=Assumptions!$C$109,Assumptions!$C$110,AG28*(1+CHOOSE(AH$6,Assumptions!$C$111,Assumptions!$C$112,Assumptions!$C$113))))</f>
        <v>1439.92207040205</v>
      </c>
      <c r="AI28" s="14" t="n">
        <f aca="false">IF(AI27=0,0,IF(AI$4=Assumptions!$C$109,Assumptions!$C$110,AH28*(1+CHOOSE(AI$6,Assumptions!$C$111,Assumptions!$C$112,Assumptions!$C$113))))</f>
        <v>1454.32129110607</v>
      </c>
      <c r="AJ28" s="14" t="n">
        <f aca="false">IF(AJ27=0,0,IF(AJ$4=Assumptions!$C$109,Assumptions!$C$110,AI28*(1+CHOOSE(AJ$6,Assumptions!$C$111,Assumptions!$C$112,Assumptions!$C$113))))</f>
        <v>1468.86450401713</v>
      </c>
      <c r="AK28" s="14" t="n">
        <f aca="false">IF(AK27=0,0,IF(AK$4=Assumptions!$C$109,Assumptions!$C$110,AJ28*(1+CHOOSE(AK$6,Assumptions!$C$111,Assumptions!$C$112,Assumptions!$C$113))))</f>
        <v>1483.5531490573</v>
      </c>
      <c r="AL28" s="14" t="n">
        <f aca="false">IF(AL27=0,0,IF(AL$4=Assumptions!$C$109,Assumptions!$C$110,AK28*(1+CHOOSE(AL$6,Assumptions!$C$111,Assumptions!$C$112,Assumptions!$C$113))))</f>
        <v>1498.38868054787</v>
      </c>
    </row>
    <row r="29" customFormat="false" ht="15" hidden="false" customHeight="false" outlineLevel="0" collapsed="false">
      <c r="A29" s="7" t="s">
        <v>765</v>
      </c>
      <c r="B29" s="9" t="s">
        <v>327</v>
      </c>
      <c r="C29" s="52" t="n">
        <f aca="false">C28*C$7</f>
        <v>380</v>
      </c>
      <c r="D29" s="52" t="n">
        <f aca="false">D28*D$7</f>
        <v>561.6</v>
      </c>
      <c r="E29" s="52" t="n">
        <f aca="false">E28*E$7</f>
        <v>629.856</v>
      </c>
      <c r="F29" s="52" t="n">
        <f aca="false">F28*F$7</f>
        <v>629.856</v>
      </c>
      <c r="G29" s="52" t="n">
        <f aca="false">G28*G$7</f>
        <v>489.7760256</v>
      </c>
      <c r="H29" s="52" t="n">
        <f aca="false">H28*H$7</f>
        <v>587.73123072</v>
      </c>
      <c r="I29" s="52" t="n">
        <f aca="false">I28*I$7</f>
        <v>666.48721563648</v>
      </c>
      <c r="J29" s="52" t="n">
        <f aca="false">J28*J$7</f>
        <v>651.253222136218</v>
      </c>
      <c r="K29" s="52" t="n">
        <f aca="false">K28*K$7</f>
        <v>740.372084112753</v>
      </c>
      <c r="L29" s="52" t="n">
        <f aca="false">L28*L$7</f>
        <v>759.621758299685</v>
      </c>
      <c r="M29" s="52" t="n">
        <f aca="false">M28*M$7</f>
        <v>734.034499072748</v>
      </c>
      <c r="N29" s="52" t="n">
        <f aca="false">N28*N$7</f>
        <v>792.757258998568</v>
      </c>
      <c r="O29" s="52" t="n">
        <f aca="false">O28*O$7</f>
        <v>912.603503447175</v>
      </c>
      <c r="P29" s="52" t="n">
        <f aca="false">P28*P$7</f>
        <v>1286.29062222712</v>
      </c>
      <c r="Q29" s="52" t="n">
        <f aca="false">Q28*Q$7</f>
        <v>1375.83623862063</v>
      </c>
      <c r="R29" s="52" t="n">
        <f aca="false">R28*R$7</f>
        <v>1312.14011646226</v>
      </c>
      <c r="S29" s="52" t="n">
        <f aca="false">S28*S$7</f>
        <v>973.083110368416</v>
      </c>
      <c r="T29" s="52" t="n">
        <f aca="false">T28*T$7</f>
        <v>1113.63955964385</v>
      </c>
      <c r="U29" s="52" t="n">
        <f aca="false">U28*U$7</f>
        <v>1204.40118375483</v>
      </c>
      <c r="V29" s="52" t="n">
        <f aca="false">V28*V$7</f>
        <v>1122.38719838486</v>
      </c>
      <c r="W29" s="52" t="n">
        <f aca="false">W28*W$7</f>
        <v>1216.90401509095</v>
      </c>
      <c r="X29" s="52" t="n">
        <f aca="false">X28*X$7</f>
        <v>1190.74057876649</v>
      </c>
      <c r="Y29" s="52" t="n">
        <f aca="false">Y28*Y$7</f>
        <v>1097.36144916849</v>
      </c>
      <c r="Z29" s="52" t="n">
        <f aca="false">Z28*Z$7</f>
        <v>1130.28229264354</v>
      </c>
      <c r="AA29" s="52" t="n">
        <f aca="false">AA28*AA$7</f>
        <v>1275.88924681351</v>
      </c>
      <c r="AB29" s="52" t="n">
        <f aca="false">AB28*AB$7</f>
        <v>1763.41324322751</v>
      </c>
      <c r="AC29" s="52" t="n">
        <f aca="false">AC28*AC$7</f>
        <v>1849.54919780055</v>
      </c>
      <c r="AD29" s="52" t="n">
        <f aca="false">AD28*AD$7</f>
        <v>1729.67100905421</v>
      </c>
      <c r="AE29" s="52" t="n">
        <f aca="false">AE28*AE$7</f>
        <v>1257.81675778422</v>
      </c>
      <c r="AF29" s="52" t="n">
        <f aca="false">AF28*AF$7</f>
        <v>1411.54991706896</v>
      </c>
      <c r="AG29" s="52" t="n">
        <f aca="false">AG28*AG$7</f>
        <v>1496.94868705164</v>
      </c>
      <c r="AH29" s="52" t="n">
        <f aca="false">AH28*AH$7</f>
        <v>1367.92596688195</v>
      </c>
      <c r="AI29" s="52" t="n">
        <f aca="false">AI28*AI$7</f>
        <v>1454.32129110607</v>
      </c>
      <c r="AJ29" s="52" t="n">
        <f aca="false">AJ28*AJ$7</f>
        <v>1395.42127881627</v>
      </c>
      <c r="AK29" s="52" t="n">
        <f aca="false">AK28*AK$7</f>
        <v>1261.02017669871</v>
      </c>
      <c r="AL29" s="52" t="n">
        <f aca="false">AL28*AL$7</f>
        <v>1273.63037846569</v>
      </c>
      <c r="AM29" s="53" t="n">
        <f aca="false">SUMIF($C$6:$AL$6,1,C29:AL29)</f>
        <v>7623.34529457645</v>
      </c>
      <c r="AN29" s="53" t="n">
        <f aca="false">SUMIF($C$6:$AL$6,2,C29:AL29)</f>
        <v>13935.6698685786</v>
      </c>
      <c r="AO29" s="53" t="n">
        <f aca="false">SUMIF($C$6:$AL$6,3,C29:AL29)</f>
        <v>17537.1571507693</v>
      </c>
      <c r="AP29" s="53" t="n">
        <f aca="false">SUM(C29:AL29)</f>
        <v>39096.1723139244</v>
      </c>
    </row>
    <row r="30" customFormat="false" ht="15" hidden="false" customHeight="false" outlineLevel="0" collapsed="false">
      <c r="A30" s="7" t="s">
        <v>758</v>
      </c>
      <c r="B30" s="9" t="s">
        <v>96</v>
      </c>
      <c r="C30" s="54" t="n">
        <f aca="false">Assumptions!$C$114*MIN(1,(C$4-Assumptions!$C$109+1)/Assumptions!$C$10)*C27</f>
        <v>0.00166666666666667</v>
      </c>
      <c r="D30" s="54" t="n">
        <f aca="false">Assumptions!$C$114*MIN(1,(D$4-Assumptions!$C$109+1)/Assumptions!$C$10)*D27</f>
        <v>0.00333333333333333</v>
      </c>
      <c r="E30" s="54" t="n">
        <f aca="false">Assumptions!$C$114*MIN(1,(E$4-Assumptions!$C$109+1)/Assumptions!$C$10)*E27</f>
        <v>0.005</v>
      </c>
      <c r="F30" s="54" t="n">
        <f aca="false">Assumptions!$C$114*MIN(1,(F$4-Assumptions!$C$109+1)/Assumptions!$C$10)*F27</f>
        <v>0.00666666666666667</v>
      </c>
      <c r="G30" s="54" t="n">
        <f aca="false">Assumptions!$C$114*MIN(1,(G$4-Assumptions!$C$109+1)/Assumptions!$C$10)*G27</f>
        <v>0.00833333333333333</v>
      </c>
      <c r="H30" s="54" t="n">
        <f aca="false">Assumptions!$C$114*MIN(1,(H$4-Assumptions!$C$109+1)/Assumptions!$C$10)*H27</f>
        <v>0.01</v>
      </c>
      <c r="I30" s="54" t="n">
        <f aca="false">Assumptions!$C$114*MIN(1,(I$4-Assumptions!$C$109+1)/Assumptions!$C$10)*I27</f>
        <v>0.01</v>
      </c>
      <c r="J30" s="54" t="n">
        <f aca="false">Assumptions!$C$114*MIN(1,(J$4-Assumptions!$C$109+1)/Assumptions!$C$10)*J27</f>
        <v>0.01</v>
      </c>
      <c r="K30" s="54" t="n">
        <f aca="false">Assumptions!$C$114*MIN(1,(K$4-Assumptions!$C$109+1)/Assumptions!$C$10)*K27</f>
        <v>0.01</v>
      </c>
      <c r="L30" s="54" t="n">
        <f aca="false">Assumptions!$C$114*MIN(1,(L$4-Assumptions!$C$109+1)/Assumptions!$C$10)*L27</f>
        <v>0.01</v>
      </c>
      <c r="M30" s="54" t="n">
        <f aca="false">Assumptions!$C$114*MIN(1,(M$4-Assumptions!$C$109+1)/Assumptions!$C$10)*M27</f>
        <v>0.01</v>
      </c>
      <c r="N30" s="54" t="n">
        <f aca="false">Assumptions!$C$114*MIN(1,(N$4-Assumptions!$C$109+1)/Assumptions!$C$10)*N27</f>
        <v>0.01</v>
      </c>
      <c r="O30" s="54" t="n">
        <f aca="false">Assumptions!$C$114*MIN(1,(O$4-Assumptions!$C$109+1)/Assumptions!$C$10)*O27</f>
        <v>0.01</v>
      </c>
      <c r="P30" s="54" t="n">
        <f aca="false">Assumptions!$C$114*MIN(1,(P$4-Assumptions!$C$109+1)/Assumptions!$C$10)*P27</f>
        <v>0.01</v>
      </c>
      <c r="Q30" s="54" t="n">
        <f aca="false">Assumptions!$C$114*MIN(1,(Q$4-Assumptions!$C$109+1)/Assumptions!$C$10)*Q27</f>
        <v>0.01</v>
      </c>
      <c r="R30" s="54" t="n">
        <f aca="false">Assumptions!$C$114*MIN(1,(R$4-Assumptions!$C$109+1)/Assumptions!$C$10)*R27</f>
        <v>0.01</v>
      </c>
      <c r="S30" s="54" t="n">
        <f aca="false">Assumptions!$C$114*MIN(1,(S$4-Assumptions!$C$109+1)/Assumptions!$C$10)*S27</f>
        <v>0.01</v>
      </c>
      <c r="T30" s="54" t="n">
        <f aca="false">Assumptions!$C$114*MIN(1,(T$4-Assumptions!$C$109+1)/Assumptions!$C$10)*T27</f>
        <v>0.01</v>
      </c>
      <c r="U30" s="54" t="n">
        <f aca="false">Assumptions!$C$114*MIN(1,(U$4-Assumptions!$C$109+1)/Assumptions!$C$10)*U27</f>
        <v>0.01</v>
      </c>
      <c r="V30" s="54" t="n">
        <f aca="false">Assumptions!$C$114*MIN(1,(V$4-Assumptions!$C$109+1)/Assumptions!$C$10)*V27</f>
        <v>0.01</v>
      </c>
      <c r="W30" s="54" t="n">
        <f aca="false">Assumptions!$C$114*MIN(1,(W$4-Assumptions!$C$109+1)/Assumptions!$C$10)*W27</f>
        <v>0.01</v>
      </c>
      <c r="X30" s="54" t="n">
        <f aca="false">Assumptions!$C$114*MIN(1,(X$4-Assumptions!$C$109+1)/Assumptions!$C$10)*X27</f>
        <v>0.01</v>
      </c>
      <c r="Y30" s="54" t="n">
        <f aca="false">Assumptions!$C$114*MIN(1,(Y$4-Assumptions!$C$109+1)/Assumptions!$C$10)*Y27</f>
        <v>0.01</v>
      </c>
      <c r="Z30" s="54" t="n">
        <f aca="false">Assumptions!$C$114*MIN(1,(Z$4-Assumptions!$C$109+1)/Assumptions!$C$10)*Z27</f>
        <v>0.01</v>
      </c>
      <c r="AA30" s="54" t="n">
        <f aca="false">Assumptions!$C$114*MIN(1,(AA$4-Assumptions!$C$109+1)/Assumptions!$C$10)*AA27</f>
        <v>0.01</v>
      </c>
      <c r="AB30" s="54" t="n">
        <f aca="false">Assumptions!$C$114*MIN(1,(AB$4-Assumptions!$C$109+1)/Assumptions!$C$10)*AB27</f>
        <v>0.01</v>
      </c>
      <c r="AC30" s="54" t="n">
        <f aca="false">Assumptions!$C$114*MIN(1,(AC$4-Assumptions!$C$109+1)/Assumptions!$C$10)*AC27</f>
        <v>0.01</v>
      </c>
      <c r="AD30" s="54" t="n">
        <f aca="false">Assumptions!$C$114*MIN(1,(AD$4-Assumptions!$C$109+1)/Assumptions!$C$10)*AD27</f>
        <v>0.01</v>
      </c>
      <c r="AE30" s="54" t="n">
        <f aca="false">Assumptions!$C$114*MIN(1,(AE$4-Assumptions!$C$109+1)/Assumptions!$C$10)*AE27</f>
        <v>0.01</v>
      </c>
      <c r="AF30" s="54" t="n">
        <f aca="false">Assumptions!$C$114*MIN(1,(AF$4-Assumptions!$C$109+1)/Assumptions!$C$10)*AF27</f>
        <v>0.01</v>
      </c>
      <c r="AG30" s="54" t="n">
        <f aca="false">Assumptions!$C$114*MIN(1,(AG$4-Assumptions!$C$109+1)/Assumptions!$C$10)*AG27</f>
        <v>0.01</v>
      </c>
      <c r="AH30" s="54" t="n">
        <f aca="false">Assumptions!$C$114*MIN(1,(AH$4-Assumptions!$C$109+1)/Assumptions!$C$10)*AH27</f>
        <v>0.01</v>
      </c>
      <c r="AI30" s="54" t="n">
        <f aca="false">Assumptions!$C$114*MIN(1,(AI$4-Assumptions!$C$109+1)/Assumptions!$C$10)*AI27</f>
        <v>0.01</v>
      </c>
      <c r="AJ30" s="54" t="n">
        <f aca="false">Assumptions!$C$114*MIN(1,(AJ$4-Assumptions!$C$109+1)/Assumptions!$C$10)*AJ27</f>
        <v>0.01</v>
      </c>
      <c r="AK30" s="54" t="n">
        <f aca="false">Assumptions!$C$114*MIN(1,(AK$4-Assumptions!$C$109+1)/Assumptions!$C$10)*AK27</f>
        <v>0.01</v>
      </c>
      <c r="AL30" s="54" t="n">
        <f aca="false">Assumptions!$C$114*MIN(1,(AL$4-Assumptions!$C$109+1)/Assumptions!$C$10)*AL27</f>
        <v>0.01</v>
      </c>
    </row>
    <row r="31" customFormat="false" ht="15" hidden="false" customHeight="false" outlineLevel="0" collapsed="false">
      <c r="A31" s="7" t="s">
        <v>766</v>
      </c>
      <c r="B31" s="9" t="s">
        <v>760</v>
      </c>
      <c r="C31" s="55" t="n">
        <f aca="false">C29*C30</f>
        <v>0.633333333333333</v>
      </c>
      <c r="D31" s="55" t="n">
        <f aca="false">D29*D30</f>
        <v>1.872</v>
      </c>
      <c r="E31" s="55" t="n">
        <f aca="false">E29*E30</f>
        <v>3.14928</v>
      </c>
      <c r="F31" s="55" t="n">
        <f aca="false">F29*F30</f>
        <v>4.19904</v>
      </c>
      <c r="G31" s="55" t="n">
        <f aca="false">G29*G30</f>
        <v>4.08146688</v>
      </c>
      <c r="H31" s="55" t="n">
        <f aca="false">H29*H30</f>
        <v>5.8773123072</v>
      </c>
      <c r="I31" s="55" t="n">
        <f aca="false">I29*I30</f>
        <v>6.6648721563648</v>
      </c>
      <c r="J31" s="55" t="n">
        <f aca="false">J29*J30</f>
        <v>6.51253222136218</v>
      </c>
      <c r="K31" s="55" t="n">
        <f aca="false">K29*K30</f>
        <v>7.40372084112753</v>
      </c>
      <c r="L31" s="55" t="n">
        <f aca="false">L29*L30</f>
        <v>7.59621758299685</v>
      </c>
      <c r="M31" s="55" t="n">
        <f aca="false">M29*M30</f>
        <v>7.34034499072748</v>
      </c>
      <c r="N31" s="55" t="n">
        <f aca="false">N29*N30</f>
        <v>7.92757258998568</v>
      </c>
      <c r="O31" s="55" t="n">
        <f aca="false">O29*O30</f>
        <v>9.12603503447175</v>
      </c>
      <c r="P31" s="55" t="n">
        <f aca="false">P29*P30</f>
        <v>12.8629062222712</v>
      </c>
      <c r="Q31" s="55" t="n">
        <f aca="false">Q29*Q30</f>
        <v>13.7583623862063</v>
      </c>
      <c r="R31" s="55" t="n">
        <f aca="false">R29*R30</f>
        <v>13.1214011646226</v>
      </c>
      <c r="S31" s="55" t="n">
        <f aca="false">S29*S30</f>
        <v>9.73083110368416</v>
      </c>
      <c r="T31" s="55" t="n">
        <f aca="false">T29*T30</f>
        <v>11.1363955964385</v>
      </c>
      <c r="U31" s="55" t="n">
        <f aca="false">U29*U30</f>
        <v>12.0440118375483</v>
      </c>
      <c r="V31" s="55" t="n">
        <f aca="false">V29*V30</f>
        <v>11.2238719838486</v>
      </c>
      <c r="W31" s="55" t="n">
        <f aca="false">W29*W30</f>
        <v>12.1690401509095</v>
      </c>
      <c r="X31" s="55" t="n">
        <f aca="false">X29*X30</f>
        <v>11.9074057876649</v>
      </c>
      <c r="Y31" s="55" t="n">
        <f aca="false">Y29*Y30</f>
        <v>10.9736144916849</v>
      </c>
      <c r="Z31" s="55" t="n">
        <f aca="false">Z29*Z30</f>
        <v>11.3028229264354</v>
      </c>
      <c r="AA31" s="55" t="n">
        <f aca="false">AA29*AA30</f>
        <v>12.7588924681351</v>
      </c>
      <c r="AB31" s="55" t="n">
        <f aca="false">AB29*AB30</f>
        <v>17.6341324322751</v>
      </c>
      <c r="AC31" s="55" t="n">
        <f aca="false">AC29*AC30</f>
        <v>18.4954919780055</v>
      </c>
      <c r="AD31" s="55" t="n">
        <f aca="false">AD29*AD30</f>
        <v>17.2967100905421</v>
      </c>
      <c r="AE31" s="55" t="n">
        <f aca="false">AE29*AE30</f>
        <v>12.5781675778422</v>
      </c>
      <c r="AF31" s="55" t="n">
        <f aca="false">AF29*AF30</f>
        <v>14.1154991706896</v>
      </c>
      <c r="AG31" s="55" t="n">
        <f aca="false">AG29*AG30</f>
        <v>14.9694868705164</v>
      </c>
      <c r="AH31" s="55" t="n">
        <f aca="false">AH29*AH30</f>
        <v>13.6792596688195</v>
      </c>
      <c r="AI31" s="55" t="n">
        <f aca="false">AI29*AI30</f>
        <v>14.5432129110607</v>
      </c>
      <c r="AJ31" s="55" t="n">
        <f aca="false">AJ29*AJ30</f>
        <v>13.9542127881627</v>
      </c>
      <c r="AK31" s="55" t="n">
        <f aca="false">AK29*AK30</f>
        <v>12.6102017669871</v>
      </c>
      <c r="AL31" s="55" t="n">
        <f aca="false">AL29*AL30</f>
        <v>12.7363037846569</v>
      </c>
      <c r="AM31" s="53" t="n">
        <f aca="false">SUMIF($C$6:$AL$6,1,C31:AL31)</f>
        <v>63.2576929030979</v>
      </c>
      <c r="AN31" s="53" t="n">
        <f aca="false">SUMIF($C$6:$AL$6,2,C31:AL31)</f>
        <v>139.356698685786</v>
      </c>
      <c r="AO31" s="53" t="n">
        <f aca="false">SUMIF($C$6:$AL$6,3,C31:AL31)</f>
        <v>175.371571507693</v>
      </c>
      <c r="AP31" s="53" t="n">
        <f aca="false">SUM(C31:AL31)</f>
        <v>377.985963096577</v>
      </c>
    </row>
    <row r="32" customFormat="false" ht="15" hidden="false" customHeight="false" outlineLevel="0" collapsed="false">
      <c r="A32" s="7" t="s">
        <v>761</v>
      </c>
      <c r="B32" s="9" t="s">
        <v>342</v>
      </c>
      <c r="C32" s="56" t="n">
        <f aca="false">C31*Assumptions!$C$115</f>
        <v>0.696666666666667</v>
      </c>
      <c r="D32" s="56" t="n">
        <f aca="false">D31*Assumptions!$C$115</f>
        <v>2.0592</v>
      </c>
      <c r="E32" s="56" t="n">
        <f aca="false">E31*Assumptions!$C$115</f>
        <v>3.464208</v>
      </c>
      <c r="F32" s="56" t="n">
        <f aca="false">F31*Assumptions!$C$115</f>
        <v>4.618944</v>
      </c>
      <c r="G32" s="56" t="n">
        <f aca="false">G31*Assumptions!$C$115</f>
        <v>4.489613568</v>
      </c>
      <c r="H32" s="56" t="n">
        <f aca="false">H31*Assumptions!$C$115</f>
        <v>6.46504353792</v>
      </c>
      <c r="I32" s="56" t="n">
        <f aca="false">I31*Assumptions!$C$115</f>
        <v>7.33135937200128</v>
      </c>
      <c r="J32" s="56" t="n">
        <f aca="false">J31*Assumptions!$C$115</f>
        <v>7.1637854434984</v>
      </c>
      <c r="K32" s="56" t="n">
        <f aca="false">K31*Assumptions!$C$115</f>
        <v>8.14409292524028</v>
      </c>
      <c r="L32" s="56" t="n">
        <f aca="false">L31*Assumptions!$C$115</f>
        <v>8.35583934129653</v>
      </c>
      <c r="M32" s="56" t="n">
        <f aca="false">M31*Assumptions!$C$115</f>
        <v>8.07437948980023</v>
      </c>
      <c r="N32" s="56" t="n">
        <f aca="false">N31*Assumptions!$C$115</f>
        <v>8.72032984898425</v>
      </c>
      <c r="O32" s="56" t="n">
        <f aca="false">O31*Assumptions!$C$115</f>
        <v>10.0386385379189</v>
      </c>
      <c r="P32" s="56" t="n">
        <f aca="false">P31*Assumptions!$C$115</f>
        <v>14.1491968444984</v>
      </c>
      <c r="Q32" s="56" t="n">
        <f aca="false">Q31*Assumptions!$C$115</f>
        <v>15.1341986248269</v>
      </c>
      <c r="R32" s="56" t="n">
        <f aca="false">R31*Assumptions!$C$115</f>
        <v>14.4335412810849</v>
      </c>
      <c r="S32" s="56" t="n">
        <f aca="false">S31*Assumptions!$C$115</f>
        <v>10.7039142140526</v>
      </c>
      <c r="T32" s="56" t="n">
        <f aca="false">T31*Assumptions!$C$115</f>
        <v>12.2500351560824</v>
      </c>
      <c r="U32" s="56" t="n">
        <f aca="false">U31*Assumptions!$C$115</f>
        <v>13.2484130213031</v>
      </c>
      <c r="V32" s="56" t="n">
        <f aca="false">V31*Assumptions!$C$115</f>
        <v>12.3462591822334</v>
      </c>
      <c r="W32" s="56" t="n">
        <f aca="false">W31*Assumptions!$C$115</f>
        <v>13.3859441660004</v>
      </c>
      <c r="X32" s="56" t="n">
        <f aca="false">X31*Assumptions!$C$115</f>
        <v>13.0981463664314</v>
      </c>
      <c r="Y32" s="56" t="n">
        <f aca="false">Y31*Assumptions!$C$115</f>
        <v>12.0709759408534</v>
      </c>
      <c r="Z32" s="56" t="n">
        <f aca="false">Z31*Assumptions!$C$115</f>
        <v>12.433105219079</v>
      </c>
      <c r="AA32" s="56" t="n">
        <f aca="false">AA31*Assumptions!$C$115</f>
        <v>14.0347817149486</v>
      </c>
      <c r="AB32" s="56" t="n">
        <f aca="false">AB31*Assumptions!$C$115</f>
        <v>19.3975456755026</v>
      </c>
      <c r="AC32" s="56" t="n">
        <f aca="false">AC31*Assumptions!$C$115</f>
        <v>20.345041175806</v>
      </c>
      <c r="AD32" s="56" t="n">
        <f aca="false">AD31*Assumptions!$C$115</f>
        <v>19.0263810995964</v>
      </c>
      <c r="AE32" s="56" t="n">
        <f aca="false">AE31*Assumptions!$C$115</f>
        <v>13.8359843356265</v>
      </c>
      <c r="AF32" s="56" t="n">
        <f aca="false">AF31*Assumptions!$C$115</f>
        <v>15.5270490877586</v>
      </c>
      <c r="AG32" s="56" t="n">
        <f aca="false">AG31*Assumptions!$C$115</f>
        <v>16.466435557568</v>
      </c>
      <c r="AH32" s="56" t="n">
        <f aca="false">AH31*Assumptions!$C$115</f>
        <v>15.0471856357014</v>
      </c>
      <c r="AI32" s="56" t="n">
        <f aca="false">AI31*Assumptions!$C$115</f>
        <v>15.9975342021668</v>
      </c>
      <c r="AJ32" s="56" t="n">
        <f aca="false">AJ31*Assumptions!$C$115</f>
        <v>15.349634066979</v>
      </c>
      <c r="AK32" s="56" t="n">
        <f aca="false">AK31*Assumptions!$C$115</f>
        <v>13.8712219436858</v>
      </c>
      <c r="AL32" s="56" t="n">
        <f aca="false">AL31*Assumptions!$C$115</f>
        <v>14.0099341631226</v>
      </c>
      <c r="AM32" s="53" t="n">
        <f aca="false">SUMIF($C$6:$AL$6,1,C32:AL32)</f>
        <v>69.5834621934076</v>
      </c>
      <c r="AN32" s="53" t="n">
        <f aca="false">SUMIF($C$6:$AL$6,2,C32:AL32)</f>
        <v>153.292368554365</v>
      </c>
      <c r="AO32" s="53" t="n">
        <f aca="false">SUMIF($C$6:$AL$6,3,C32:AL32)</f>
        <v>192.908728658462</v>
      </c>
      <c r="AP32" s="53" t="n">
        <f aca="false">SUM(C32:AL32)</f>
        <v>415.784559406235</v>
      </c>
    </row>
    <row r="33" customFormat="false" ht="15" hidden="false" customHeight="false" outlineLevel="0" collapsed="false">
      <c r="A33" s="7" t="s">
        <v>762</v>
      </c>
      <c r="B33" s="9" t="s">
        <v>101</v>
      </c>
      <c r="C33" s="15" t="n">
        <f aca="false">'Unit Economics'!$E$51*Assumptions!$C$115*C27</f>
        <v>9.63835714285714</v>
      </c>
      <c r="D33" s="15" t="n">
        <f aca="false">'Unit Economics'!$E$51*Assumptions!$C$115*D27</f>
        <v>9.63835714285714</v>
      </c>
      <c r="E33" s="15" t="n">
        <f aca="false">'Unit Economics'!$E$51*Assumptions!$C$115*E27</f>
        <v>9.63835714285714</v>
      </c>
      <c r="F33" s="15" t="n">
        <f aca="false">'Unit Economics'!$E$51*Assumptions!$C$115*F27</f>
        <v>9.63835714285714</v>
      </c>
      <c r="G33" s="15" t="n">
        <f aca="false">'Unit Economics'!$E$51*Assumptions!$C$115*G27</f>
        <v>9.63835714285714</v>
      </c>
      <c r="H33" s="15" t="n">
        <f aca="false">'Unit Economics'!$E$51*Assumptions!$C$115*H27</f>
        <v>9.63835714285714</v>
      </c>
      <c r="I33" s="15" t="n">
        <f aca="false">'Unit Economics'!$E$51*Assumptions!$C$115*I27</f>
        <v>9.63835714285714</v>
      </c>
      <c r="J33" s="15" t="n">
        <f aca="false">'Unit Economics'!$E$51*Assumptions!$C$115*J27</f>
        <v>9.63835714285714</v>
      </c>
      <c r="K33" s="15" t="n">
        <f aca="false">'Unit Economics'!$E$51*Assumptions!$C$115*K27</f>
        <v>9.63835714285714</v>
      </c>
      <c r="L33" s="15" t="n">
        <f aca="false">'Unit Economics'!$E$51*Assumptions!$C$115*L27</f>
        <v>9.63835714285714</v>
      </c>
      <c r="M33" s="15" t="n">
        <f aca="false">'Unit Economics'!$E$51*Assumptions!$C$115*M27</f>
        <v>9.63835714285714</v>
      </c>
      <c r="N33" s="15" t="n">
        <f aca="false">'Unit Economics'!$E$51*Assumptions!$C$115*N27</f>
        <v>9.63835714285714</v>
      </c>
      <c r="O33" s="15" t="n">
        <f aca="false">'Unit Economics'!$E$51*Assumptions!$C$115*O27</f>
        <v>9.63835714285714</v>
      </c>
      <c r="P33" s="15" t="n">
        <f aca="false">'Unit Economics'!$E$51*Assumptions!$C$115*P27</f>
        <v>9.63835714285714</v>
      </c>
      <c r="Q33" s="15" t="n">
        <f aca="false">'Unit Economics'!$E$51*Assumptions!$C$115*Q27</f>
        <v>9.63835714285714</v>
      </c>
      <c r="R33" s="15" t="n">
        <f aca="false">'Unit Economics'!$E$51*Assumptions!$C$115*R27</f>
        <v>9.63835714285714</v>
      </c>
      <c r="S33" s="15" t="n">
        <f aca="false">'Unit Economics'!$E$51*Assumptions!$C$115*S27</f>
        <v>9.63835714285714</v>
      </c>
      <c r="T33" s="15" t="n">
        <f aca="false">'Unit Economics'!$E$51*Assumptions!$C$115*T27</f>
        <v>9.63835714285714</v>
      </c>
      <c r="U33" s="15" t="n">
        <f aca="false">'Unit Economics'!$E$51*Assumptions!$C$115*U27</f>
        <v>9.63835714285714</v>
      </c>
      <c r="V33" s="15" t="n">
        <f aca="false">'Unit Economics'!$E$51*Assumptions!$C$115*V27</f>
        <v>9.63835714285714</v>
      </c>
      <c r="W33" s="15" t="n">
        <f aca="false">'Unit Economics'!$E$51*Assumptions!$C$115*W27</f>
        <v>9.63835714285714</v>
      </c>
      <c r="X33" s="15" t="n">
        <f aca="false">'Unit Economics'!$E$51*Assumptions!$C$115*X27</f>
        <v>9.63835714285714</v>
      </c>
      <c r="Y33" s="15" t="n">
        <f aca="false">'Unit Economics'!$E$51*Assumptions!$C$115*Y27</f>
        <v>9.63835714285714</v>
      </c>
      <c r="Z33" s="15" t="n">
        <f aca="false">'Unit Economics'!$E$51*Assumptions!$C$115*Z27</f>
        <v>9.63835714285714</v>
      </c>
      <c r="AA33" s="15" t="n">
        <f aca="false">'Unit Economics'!$E$51*Assumptions!$C$115*AA27</f>
        <v>9.63835714285714</v>
      </c>
      <c r="AB33" s="15" t="n">
        <f aca="false">'Unit Economics'!$E$51*Assumptions!$C$115*AB27</f>
        <v>9.63835714285714</v>
      </c>
      <c r="AC33" s="15" t="n">
        <f aca="false">'Unit Economics'!$E$51*Assumptions!$C$115*AC27</f>
        <v>9.63835714285714</v>
      </c>
      <c r="AD33" s="15" t="n">
        <f aca="false">'Unit Economics'!$E$51*Assumptions!$C$115*AD27</f>
        <v>9.63835714285714</v>
      </c>
      <c r="AE33" s="15" t="n">
        <f aca="false">'Unit Economics'!$E$51*Assumptions!$C$115*AE27</f>
        <v>9.63835714285714</v>
      </c>
      <c r="AF33" s="15" t="n">
        <f aca="false">'Unit Economics'!$E$51*Assumptions!$C$115*AF27</f>
        <v>9.63835714285714</v>
      </c>
      <c r="AG33" s="15" t="n">
        <f aca="false">'Unit Economics'!$E$51*Assumptions!$C$115*AG27</f>
        <v>9.63835714285714</v>
      </c>
      <c r="AH33" s="15" t="n">
        <f aca="false">'Unit Economics'!$E$51*Assumptions!$C$115*AH27</f>
        <v>9.63835714285714</v>
      </c>
      <c r="AI33" s="15" t="n">
        <f aca="false">'Unit Economics'!$E$51*Assumptions!$C$115*AI27</f>
        <v>9.63835714285714</v>
      </c>
      <c r="AJ33" s="15" t="n">
        <f aca="false">'Unit Economics'!$E$51*Assumptions!$C$115*AJ27</f>
        <v>9.63835714285714</v>
      </c>
      <c r="AK33" s="15" t="n">
        <f aca="false">'Unit Economics'!$E$51*Assumptions!$C$115*AK27</f>
        <v>9.63835714285714</v>
      </c>
      <c r="AL33" s="15" t="n">
        <f aca="false">'Unit Economics'!$E$51*Assumptions!$C$115*AL27</f>
        <v>9.63835714285714</v>
      </c>
    </row>
    <row r="34" customFormat="false" ht="15" hidden="false" customHeight="false" outlineLevel="0" collapsed="false">
      <c r="A34" s="7" t="s">
        <v>763</v>
      </c>
      <c r="B34" s="9" t="s">
        <v>101</v>
      </c>
      <c r="C34" s="8" t="n">
        <f aca="false">C32*'Unit Economics'!$E$51</f>
        <v>6.10429285714286</v>
      </c>
      <c r="D34" s="8" t="n">
        <f aca="false">D32*'Unit Economics'!$E$51</f>
        <v>18.0430045714286</v>
      </c>
      <c r="E34" s="8" t="n">
        <f aca="false">E32*'Unit Economics'!$E$51</f>
        <v>30.3538853828572</v>
      </c>
      <c r="F34" s="8" t="n">
        <f aca="false">F32*'Unit Economics'!$E$51</f>
        <v>40.4718471771429</v>
      </c>
      <c r="G34" s="8" t="n">
        <f aca="false">G32*'Unit Economics'!$E$51</f>
        <v>39.3386354561829</v>
      </c>
      <c r="H34" s="8" t="n">
        <f aca="false">H32*'Unit Economics'!$E$51</f>
        <v>56.6476350569033</v>
      </c>
      <c r="I34" s="8" t="n">
        <f aca="false">I32*'Unit Economics'!$E$51</f>
        <v>64.2384181545284</v>
      </c>
      <c r="J34" s="8" t="n">
        <f aca="false">J32*'Unit Economics'!$E$51</f>
        <v>62.7701114538535</v>
      </c>
      <c r="K34" s="8" t="n">
        <f aca="false">K32*'Unit Economics'!$E$51</f>
        <v>71.3597056528018</v>
      </c>
      <c r="L34" s="8" t="n">
        <f aca="false">L32*'Unit Economics'!$E$51</f>
        <v>73.2150579997747</v>
      </c>
      <c r="M34" s="8" t="n">
        <f aca="false">M32*'Unit Economics'!$E$51</f>
        <v>70.7488665724139</v>
      </c>
      <c r="N34" s="8" t="n">
        <f aca="false">N32*'Unit Economics'!$E$51</f>
        <v>76.408775898207</v>
      </c>
      <c r="O34" s="8" t="n">
        <f aca="false">O32*'Unit Economics'!$E$51</f>
        <v>87.9599849604653</v>
      </c>
      <c r="P34" s="8" t="n">
        <f aca="false">P32*'Unit Economics'!$E$51</f>
        <v>123.97728406533</v>
      </c>
      <c r="Q34" s="8" t="n">
        <f aca="false">Q32*'Unit Economics'!$E$51</f>
        <v>132.608010379108</v>
      </c>
      <c r="R34" s="8" t="n">
        <f aca="false">R32*'Unit Economics'!$E$51</f>
        <v>126.468750639335</v>
      </c>
      <c r="S34" s="8" t="n">
        <f aca="false">S32*'Unit Economics'!$E$51</f>
        <v>93.7892254741307</v>
      </c>
      <c r="T34" s="8" t="n">
        <f aca="false">T32*'Unit Economics'!$E$51</f>
        <v>107.336558042616</v>
      </c>
      <c r="U34" s="8" t="n">
        <f aca="false">U32*'Unit Economics'!$E$51</f>
        <v>116.084487523089</v>
      </c>
      <c r="V34" s="8" t="n">
        <f aca="false">V32*'Unit Economics'!$E$51</f>
        <v>108.179686706041</v>
      </c>
      <c r="W34" s="8" t="n">
        <f aca="false">W32*'Unit Economics'!$E$51</f>
        <v>117.289555060234</v>
      </c>
      <c r="X34" s="8" t="n">
        <f aca="false">X32*'Unit Economics'!$E$51</f>
        <v>114.767829626439</v>
      </c>
      <c r="Y34" s="8" t="n">
        <f aca="false">Y32*'Unit Economics'!$E$51</f>
        <v>105.767615618892</v>
      </c>
      <c r="Z34" s="8" t="n">
        <f aca="false">Z32*'Unit Economics'!$E$51</f>
        <v>108.940644087459</v>
      </c>
      <c r="AA34" s="8" t="n">
        <f aca="false">AA32*'Unit Economics'!$E$51</f>
        <v>122.974762355196</v>
      </c>
      <c r="AB34" s="8" t="n">
        <f aca="false">AB32*'Unit Economics'!$E$51</f>
        <v>169.964066286708</v>
      </c>
      <c r="AC34" s="8" t="n">
        <f aca="false">AC32*'Unit Economics'!$E$51</f>
        <v>178.266157216866</v>
      </c>
      <c r="AD34" s="8" t="n">
        <f aca="false">AD32*'Unit Economics'!$E$51</f>
        <v>166.711869249106</v>
      </c>
      <c r="AE34" s="8" t="n">
        <f aca="false">AE32*'Unit Economics'!$E$51</f>
        <v>121.23287131795</v>
      </c>
      <c r="AF34" s="8" t="n">
        <f aca="false">AF32*'Unit Economics'!$E$51</f>
        <v>136.05022225681</v>
      </c>
      <c r="AG34" s="8" t="n">
        <f aca="false">AG32*'Unit Economics'!$E$51</f>
        <v>144.281260703348</v>
      </c>
      <c r="AH34" s="8" t="n">
        <f aca="false">AH32*'Unit Economics'!$E$51</f>
        <v>131.845590137964</v>
      </c>
      <c r="AI34" s="8" t="n">
        <f aca="false">AI32*'Unit Economics'!$E$51</f>
        <v>140.172680041414</v>
      </c>
      <c r="AJ34" s="8" t="n">
        <f aca="false">AJ32*'Unit Economics'!$E$51</f>
        <v>134.495686499737</v>
      </c>
      <c r="AK34" s="8" t="n">
        <f aca="false">AK32*'Unit Economics'!$E$51</f>
        <v>121.54162827371</v>
      </c>
      <c r="AL34" s="8" t="n">
        <f aca="false">AL32*'Unit Economics'!$E$51</f>
        <v>122.757044556447</v>
      </c>
      <c r="AM34" s="45" t="n">
        <f aca="false">SUMIF($C$6:$AL$6,1,C34:AL34)</f>
        <v>609.700236233237</v>
      </c>
      <c r="AN34" s="45" t="n">
        <f aca="false">SUMIF($C$6:$AL$6,2,C34:AL34)</f>
        <v>1343.16963218314</v>
      </c>
      <c r="AO34" s="45" t="n">
        <f aca="false">SUMIF($C$6:$AL$6,3,C34:AL34)</f>
        <v>1690.29383889525</v>
      </c>
      <c r="AP34" s="45" t="n">
        <f aca="false">SUM(C34:AL34)</f>
        <v>3643.16370731163</v>
      </c>
    </row>
    <row r="35" customFormat="false" ht="15" hidden="false" customHeight="false" outlineLevel="0" collapsed="false">
      <c r="A35" s="7" t="s">
        <v>764</v>
      </c>
      <c r="B35" s="9" t="s">
        <v>101</v>
      </c>
      <c r="C35" s="8" t="n">
        <f aca="false">C32*'Unit Economics'!$F$51</f>
        <v>4.99723478571429</v>
      </c>
      <c r="D35" s="8" t="n">
        <f aca="false">D32*'Unit Economics'!$F$51</f>
        <v>14.7707739771429</v>
      </c>
      <c r="E35" s="8" t="n">
        <f aca="false">E32*'Unit Economics'!$F$51</f>
        <v>24.8489866830857</v>
      </c>
      <c r="F35" s="8" t="n">
        <f aca="false">F32*'Unit Economics'!$F$51</f>
        <v>33.1319822441143</v>
      </c>
      <c r="G35" s="8" t="n">
        <f aca="false">G32*'Unit Economics'!$F$51</f>
        <v>32.2042867412791</v>
      </c>
      <c r="H35" s="8" t="n">
        <f aca="false">H32*'Unit Economics'!$F$51</f>
        <v>46.3741729074419</v>
      </c>
      <c r="I35" s="8" t="n">
        <f aca="false">I32*'Unit Economics'!$F$51</f>
        <v>52.5883120770391</v>
      </c>
      <c r="J35" s="8" t="n">
        <f aca="false">J32*'Unit Economics'!$F$51</f>
        <v>51.3862935152782</v>
      </c>
      <c r="K35" s="8" t="n">
        <f aca="false">K32*'Unit Economics'!$F$51</f>
        <v>58.4181021015795</v>
      </c>
      <c r="L35" s="8" t="n">
        <f aca="false">L32*'Unit Economics'!$F$51</f>
        <v>59.9369727562205</v>
      </c>
      <c r="M35" s="8" t="n">
        <f aca="false">M32*'Unit Economics'!$F$51</f>
        <v>57.91804314759</v>
      </c>
      <c r="N35" s="8" t="n">
        <f aca="false">N32*'Unit Economics'!$F$51</f>
        <v>62.5514865993972</v>
      </c>
      <c r="O35" s="8" t="n">
        <f aca="false">O32*'Unit Economics'!$F$51</f>
        <v>72.0077995735413</v>
      </c>
      <c r="P35" s="8" t="n">
        <f aca="false">P32*'Unit Economics'!$F$51</f>
        <v>101.493098556812</v>
      </c>
      <c r="Q35" s="8" t="n">
        <f aca="false">Q32*'Unit Economics'!$F$51</f>
        <v>108.558579648652</v>
      </c>
      <c r="R35" s="8" t="n">
        <f aca="false">R32*'Unit Economics'!$F$51</f>
        <v>103.532719479733</v>
      </c>
      <c r="S35" s="8" t="n">
        <f aca="false">S32*'Unit Economics'!$F$51</f>
        <v>76.77986476617</v>
      </c>
      <c r="T35" s="8" t="n">
        <f aca="false">T32*'Unit Economics'!$F$51</f>
        <v>87.870289676839</v>
      </c>
      <c r="U35" s="8" t="n">
        <f aca="false">U32*'Unit Economics'!$F$51</f>
        <v>95.0317182855014</v>
      </c>
      <c r="V35" s="8" t="n">
        <f aca="false">V32*'Unit Economics'!$F$51</f>
        <v>88.5605108022506</v>
      </c>
      <c r="W35" s="8" t="n">
        <f aca="false">W32*'Unit Economics'!$F$51</f>
        <v>96.0182380277033</v>
      </c>
      <c r="X35" s="8" t="n">
        <f aca="false">X32*'Unit Economics'!$F$51</f>
        <v>93.9538459101077</v>
      </c>
      <c r="Y35" s="8" t="n">
        <f aca="false">Y32*'Unit Economics'!$F$51</f>
        <v>86.5858864150518</v>
      </c>
      <c r="Z35" s="8" t="n">
        <f aca="false">Z32*'Unit Economics'!$F$51</f>
        <v>89.1834630075034</v>
      </c>
      <c r="AA35" s="8" t="n">
        <f aca="false">AA32*'Unit Economics'!$F$51</f>
        <v>100.672391477294</v>
      </c>
      <c r="AB35" s="8" t="n">
        <f aca="false">AB32*'Unit Economics'!$F$51</f>
        <v>139.139842115459</v>
      </c>
      <c r="AC35" s="8" t="n">
        <f aca="false">AC32*'Unit Economics'!$F$51</f>
        <v>145.936288249561</v>
      </c>
      <c r="AD35" s="8" t="n">
        <f aca="false">AD32*'Unit Economics'!$F$51</f>
        <v>136.477454751904</v>
      </c>
      <c r="AE35" s="8" t="n">
        <f aca="false">AE32*'Unit Economics'!$F$51</f>
        <v>99.2464050955846</v>
      </c>
      <c r="AF35" s="8" t="n">
        <f aca="false">AF32*'Unit Economics'!$F$51</f>
        <v>111.376521273934</v>
      </c>
      <c r="AG35" s="8" t="n">
        <f aca="false">AG32*'Unit Economics'!$F$51</f>
        <v>118.114800811007</v>
      </c>
      <c r="AH35" s="8" t="n">
        <f aca="false">AH32*'Unit Economics'!$F$51</f>
        <v>107.934429883963</v>
      </c>
      <c r="AI35" s="8" t="n">
        <f aca="false">AI32*'Unit Economics'!$F$51</f>
        <v>114.751341245055</v>
      </c>
      <c r="AJ35" s="8" t="n">
        <f aca="false">AJ32*'Unit Economics'!$F$51</f>
        <v>110.103911924631</v>
      </c>
      <c r="AK35" s="8" t="n">
        <f aca="false">AK32*'Unit Economics'!$F$51</f>
        <v>99.4991667234687</v>
      </c>
      <c r="AL35" s="8" t="n">
        <f aca="false">AL32*'Unit Economics'!$F$51</f>
        <v>100.494158390703</v>
      </c>
      <c r="AM35" s="45" t="n">
        <f aca="false">SUMIF($C$6:$AL$6,1,C35:AL35)</f>
        <v>499.126647535883</v>
      </c>
      <c r="AN35" s="45" t="n">
        <f aca="false">SUMIF($C$6:$AL$6,2,C35:AL35)</f>
        <v>1099.57601414987</v>
      </c>
      <c r="AO35" s="45" t="n">
        <f aca="false">SUMIF($C$6:$AL$6,3,C35:AL35)</f>
        <v>1383.74671194256</v>
      </c>
      <c r="AP35" s="45" t="n">
        <f aca="false">SUM(C35:AL35)</f>
        <v>2982.44937362831</v>
      </c>
    </row>
    <row r="36" customFormat="false" ht="15" hidden="false" customHeight="false" outlineLevel="0" collapsed="false">
      <c r="A36" s="5" t="s">
        <v>573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</row>
    <row r="37" customFormat="false" ht="15" hidden="false" customHeight="false" outlineLevel="0" collapsed="false">
      <c r="A37" s="7" t="s">
        <v>755</v>
      </c>
      <c r="B37" s="9" t="s">
        <v>319</v>
      </c>
      <c r="C37" s="38" t="n">
        <f aca="false">IF(AND(Assumptions!$C$117=1,C$4&gt;=Assumptions!$C$118),1,0)</f>
        <v>0</v>
      </c>
      <c r="D37" s="38" t="n">
        <f aca="false">IF(AND(Assumptions!$C$117=1,D$4&gt;=Assumptions!$C$118),1,0)</f>
        <v>1</v>
      </c>
      <c r="E37" s="38" t="n">
        <f aca="false">IF(AND(Assumptions!$C$117=1,E$4&gt;=Assumptions!$C$118),1,0)</f>
        <v>1</v>
      </c>
      <c r="F37" s="38" t="n">
        <f aca="false">IF(AND(Assumptions!$C$117=1,F$4&gt;=Assumptions!$C$118),1,0)</f>
        <v>1</v>
      </c>
      <c r="G37" s="38" t="n">
        <f aca="false">IF(AND(Assumptions!$C$117=1,G$4&gt;=Assumptions!$C$118),1,0)</f>
        <v>1</v>
      </c>
      <c r="H37" s="38" t="n">
        <f aca="false">IF(AND(Assumptions!$C$117=1,H$4&gt;=Assumptions!$C$118),1,0)</f>
        <v>1</v>
      </c>
      <c r="I37" s="38" t="n">
        <f aca="false">IF(AND(Assumptions!$C$117=1,I$4&gt;=Assumptions!$C$118),1,0)</f>
        <v>1</v>
      </c>
      <c r="J37" s="38" t="n">
        <f aca="false">IF(AND(Assumptions!$C$117=1,J$4&gt;=Assumptions!$C$118),1,0)</f>
        <v>1</v>
      </c>
      <c r="K37" s="38" t="n">
        <f aca="false">IF(AND(Assumptions!$C$117=1,K$4&gt;=Assumptions!$C$118),1,0)</f>
        <v>1</v>
      </c>
      <c r="L37" s="38" t="n">
        <f aca="false">IF(AND(Assumptions!$C$117=1,L$4&gt;=Assumptions!$C$118),1,0)</f>
        <v>1</v>
      </c>
      <c r="M37" s="38" t="n">
        <f aca="false">IF(AND(Assumptions!$C$117=1,M$4&gt;=Assumptions!$C$118),1,0)</f>
        <v>1</v>
      </c>
      <c r="N37" s="38" t="n">
        <f aca="false">IF(AND(Assumptions!$C$117=1,N$4&gt;=Assumptions!$C$118),1,0)</f>
        <v>1</v>
      </c>
      <c r="O37" s="38" t="n">
        <f aca="false">IF(AND(Assumptions!$C$117=1,O$4&gt;=Assumptions!$C$118),1,0)</f>
        <v>1</v>
      </c>
      <c r="P37" s="38" t="n">
        <f aca="false">IF(AND(Assumptions!$C$117=1,P$4&gt;=Assumptions!$C$118),1,0)</f>
        <v>1</v>
      </c>
      <c r="Q37" s="38" t="n">
        <f aca="false">IF(AND(Assumptions!$C$117=1,Q$4&gt;=Assumptions!$C$118),1,0)</f>
        <v>1</v>
      </c>
      <c r="R37" s="38" t="n">
        <f aca="false">IF(AND(Assumptions!$C$117=1,R$4&gt;=Assumptions!$C$118),1,0)</f>
        <v>1</v>
      </c>
      <c r="S37" s="38" t="n">
        <f aca="false">IF(AND(Assumptions!$C$117=1,S$4&gt;=Assumptions!$C$118),1,0)</f>
        <v>1</v>
      </c>
      <c r="T37" s="38" t="n">
        <f aca="false">IF(AND(Assumptions!$C$117=1,T$4&gt;=Assumptions!$C$118),1,0)</f>
        <v>1</v>
      </c>
      <c r="U37" s="38" t="n">
        <f aca="false">IF(AND(Assumptions!$C$117=1,U$4&gt;=Assumptions!$C$118),1,0)</f>
        <v>1</v>
      </c>
      <c r="V37" s="38" t="n">
        <f aca="false">IF(AND(Assumptions!$C$117=1,V$4&gt;=Assumptions!$C$118),1,0)</f>
        <v>1</v>
      </c>
      <c r="W37" s="38" t="n">
        <f aca="false">IF(AND(Assumptions!$C$117=1,W$4&gt;=Assumptions!$C$118),1,0)</f>
        <v>1</v>
      </c>
      <c r="X37" s="38" t="n">
        <f aca="false">IF(AND(Assumptions!$C$117=1,X$4&gt;=Assumptions!$C$118),1,0)</f>
        <v>1</v>
      </c>
      <c r="Y37" s="38" t="n">
        <f aca="false">IF(AND(Assumptions!$C$117=1,Y$4&gt;=Assumptions!$C$118),1,0)</f>
        <v>1</v>
      </c>
      <c r="Z37" s="38" t="n">
        <f aca="false">IF(AND(Assumptions!$C$117=1,Z$4&gt;=Assumptions!$C$118),1,0)</f>
        <v>1</v>
      </c>
      <c r="AA37" s="38" t="n">
        <f aca="false">IF(AND(Assumptions!$C$117=1,AA$4&gt;=Assumptions!$C$118),1,0)</f>
        <v>1</v>
      </c>
      <c r="AB37" s="38" t="n">
        <f aca="false">IF(AND(Assumptions!$C$117=1,AB$4&gt;=Assumptions!$C$118),1,0)</f>
        <v>1</v>
      </c>
      <c r="AC37" s="38" t="n">
        <f aca="false">IF(AND(Assumptions!$C$117=1,AC$4&gt;=Assumptions!$C$118),1,0)</f>
        <v>1</v>
      </c>
      <c r="AD37" s="38" t="n">
        <f aca="false">IF(AND(Assumptions!$C$117=1,AD$4&gt;=Assumptions!$C$118),1,0)</f>
        <v>1</v>
      </c>
      <c r="AE37" s="38" t="n">
        <f aca="false">IF(AND(Assumptions!$C$117=1,AE$4&gt;=Assumptions!$C$118),1,0)</f>
        <v>1</v>
      </c>
      <c r="AF37" s="38" t="n">
        <f aca="false">IF(AND(Assumptions!$C$117=1,AF$4&gt;=Assumptions!$C$118),1,0)</f>
        <v>1</v>
      </c>
      <c r="AG37" s="38" t="n">
        <f aca="false">IF(AND(Assumptions!$C$117=1,AG$4&gt;=Assumptions!$C$118),1,0)</f>
        <v>1</v>
      </c>
      <c r="AH37" s="38" t="n">
        <f aca="false">IF(AND(Assumptions!$C$117=1,AH$4&gt;=Assumptions!$C$118),1,0)</f>
        <v>1</v>
      </c>
      <c r="AI37" s="38" t="n">
        <f aca="false">IF(AND(Assumptions!$C$117=1,AI$4&gt;=Assumptions!$C$118),1,0)</f>
        <v>1</v>
      </c>
      <c r="AJ37" s="38" t="n">
        <f aca="false">IF(AND(Assumptions!$C$117=1,AJ$4&gt;=Assumptions!$C$118),1,0)</f>
        <v>1</v>
      </c>
      <c r="AK37" s="38" t="n">
        <f aca="false">IF(AND(Assumptions!$C$117=1,AK$4&gt;=Assumptions!$C$118),1,0)</f>
        <v>1</v>
      </c>
      <c r="AL37" s="38" t="n">
        <f aca="false">IF(AND(Assumptions!$C$117=1,AL$4&gt;=Assumptions!$C$118),1,0)</f>
        <v>1</v>
      </c>
    </row>
    <row r="38" customFormat="false" ht="15" hidden="false" customHeight="false" outlineLevel="0" collapsed="false">
      <c r="A38" s="7" t="s">
        <v>756</v>
      </c>
      <c r="B38" s="9" t="s">
        <v>327</v>
      </c>
      <c r="C38" s="14" t="n">
        <f aca="false">IF(C37=0,0,Assumptions!$C$119)</f>
        <v>0</v>
      </c>
      <c r="D38" s="14" t="n">
        <f aca="false">IF(D37=0,0,IF(D$4=Assumptions!$C$118,Assumptions!$C$119,C38*(1+CHOOSE(D$6,Assumptions!$C$120,Assumptions!$C$121,Assumptions!$C$122))))</f>
        <v>300</v>
      </c>
      <c r="E38" s="14" t="n">
        <f aca="false">IF(E37=0,0,IF(E$4=Assumptions!$C$118,Assumptions!$C$119,D38*(1+CHOOSE(E$6,Assumptions!$C$120,Assumptions!$C$121,Assumptions!$C$122))))</f>
        <v>318</v>
      </c>
      <c r="F38" s="14" t="n">
        <f aca="false">IF(F37=0,0,IF(F$4=Assumptions!$C$118,Assumptions!$C$119,E38*(1+CHOOSE(F$6,Assumptions!$C$120,Assumptions!$C$121,Assumptions!$C$122))))</f>
        <v>337.08</v>
      </c>
      <c r="G38" s="14" t="n">
        <f aca="false">IF(G37=0,0,IF(G$4=Assumptions!$C$118,Assumptions!$C$119,F38*(1+CHOOSE(G$6,Assumptions!$C$120,Assumptions!$C$121,Assumptions!$C$122))))</f>
        <v>357.3048</v>
      </c>
      <c r="H38" s="14" t="n">
        <f aca="false">IF(H37=0,0,IF(H$4=Assumptions!$C$118,Assumptions!$C$119,G38*(1+CHOOSE(H$6,Assumptions!$C$120,Assumptions!$C$121,Assumptions!$C$122))))</f>
        <v>378.743088</v>
      </c>
      <c r="I38" s="14" t="n">
        <f aca="false">IF(I37=0,0,IF(I$4=Assumptions!$C$118,Assumptions!$C$119,H38*(1+CHOOSE(I$6,Assumptions!$C$120,Assumptions!$C$121,Assumptions!$C$122))))</f>
        <v>401.46767328</v>
      </c>
      <c r="J38" s="14" t="n">
        <f aca="false">IF(J37=0,0,IF(J$4=Assumptions!$C$118,Assumptions!$C$119,I38*(1+CHOOSE(J$6,Assumptions!$C$120,Assumptions!$C$121,Assumptions!$C$122))))</f>
        <v>425.5557336768</v>
      </c>
      <c r="K38" s="14" t="n">
        <f aca="false">IF(K37=0,0,IF(K$4=Assumptions!$C$118,Assumptions!$C$119,J38*(1+CHOOSE(K$6,Assumptions!$C$120,Assumptions!$C$121,Assumptions!$C$122))))</f>
        <v>451.089077697408</v>
      </c>
      <c r="L38" s="14" t="n">
        <f aca="false">IF(L37=0,0,IF(L$4=Assumptions!$C$118,Assumptions!$C$119,K38*(1+CHOOSE(L$6,Assumptions!$C$120,Assumptions!$C$121,Assumptions!$C$122))))</f>
        <v>478.154422359253</v>
      </c>
      <c r="M38" s="14" t="n">
        <f aca="false">IF(M37=0,0,IF(M$4=Assumptions!$C$118,Assumptions!$C$119,L38*(1+CHOOSE(M$6,Assumptions!$C$120,Assumptions!$C$121,Assumptions!$C$122))))</f>
        <v>506.843687700808</v>
      </c>
      <c r="N38" s="14" t="n">
        <f aca="false">IF(N37=0,0,IF(N$4=Assumptions!$C$118,Assumptions!$C$119,M38*(1+CHOOSE(N$6,Assumptions!$C$120,Assumptions!$C$121,Assumptions!$C$122))))</f>
        <v>537.254308962856</v>
      </c>
      <c r="O38" s="14" t="n">
        <f aca="false">IF(O37=0,0,IF(O$4=Assumptions!$C$118,Assumptions!$C$119,N38*(1+CHOOSE(O$6,Assumptions!$C$120,Assumptions!$C$121,Assumptions!$C$122))))</f>
        <v>553.371938231742</v>
      </c>
      <c r="P38" s="14" t="n">
        <f aca="false">IF(P37=0,0,IF(P$4=Assumptions!$C$118,Assumptions!$C$119,O38*(1+CHOOSE(P$6,Assumptions!$C$120,Assumptions!$C$121,Assumptions!$C$122))))</f>
        <v>569.973096378694</v>
      </c>
      <c r="Q38" s="14" t="n">
        <f aca="false">IF(Q37=0,0,IF(Q$4=Assumptions!$C$118,Assumptions!$C$119,P38*(1+CHOOSE(Q$6,Assumptions!$C$120,Assumptions!$C$121,Assumptions!$C$122))))</f>
        <v>587.072289270055</v>
      </c>
      <c r="R38" s="14" t="n">
        <f aca="false">IF(R37=0,0,IF(R$4=Assumptions!$C$118,Assumptions!$C$119,Q38*(1+CHOOSE(R$6,Assumptions!$C$120,Assumptions!$C$121,Assumptions!$C$122))))</f>
        <v>604.684457948157</v>
      </c>
      <c r="S38" s="14" t="n">
        <f aca="false">IF(S37=0,0,IF(S$4=Assumptions!$C$118,Assumptions!$C$119,R38*(1+CHOOSE(S$6,Assumptions!$C$120,Assumptions!$C$121,Assumptions!$C$122))))</f>
        <v>622.824991686602</v>
      </c>
      <c r="T38" s="14" t="n">
        <f aca="false">IF(T37=0,0,IF(T$4=Assumptions!$C$118,Assumptions!$C$119,S38*(1+CHOOSE(T$6,Assumptions!$C$120,Assumptions!$C$121,Assumptions!$C$122))))</f>
        <v>641.5097414372</v>
      </c>
      <c r="U38" s="14" t="n">
        <f aca="false">IF(U37=0,0,IF(U$4=Assumptions!$C$118,Assumptions!$C$119,T38*(1+CHOOSE(U$6,Assumptions!$C$120,Assumptions!$C$121,Assumptions!$C$122))))</f>
        <v>660.755033680316</v>
      </c>
      <c r="V38" s="14" t="n">
        <f aca="false">IF(V37=0,0,IF(V$4=Assumptions!$C$118,Assumptions!$C$119,U38*(1+CHOOSE(V$6,Assumptions!$C$120,Assumptions!$C$121,Assumptions!$C$122))))</f>
        <v>680.577684690725</v>
      </c>
      <c r="W38" s="14" t="n">
        <f aca="false">IF(W37=0,0,IF(W$4=Assumptions!$C$118,Assumptions!$C$119,V38*(1+CHOOSE(W$6,Assumptions!$C$120,Assumptions!$C$121,Assumptions!$C$122))))</f>
        <v>700.995015231447</v>
      </c>
      <c r="X38" s="14" t="n">
        <f aca="false">IF(X37=0,0,IF(X$4=Assumptions!$C$118,Assumptions!$C$119,W38*(1+CHOOSE(X$6,Assumptions!$C$120,Assumptions!$C$121,Assumptions!$C$122))))</f>
        <v>722.02486568839</v>
      </c>
      <c r="Y38" s="14" t="n">
        <f aca="false">IF(Y37=0,0,IF(Y$4=Assumptions!$C$118,Assumptions!$C$119,X38*(1+CHOOSE(Y$6,Assumptions!$C$120,Assumptions!$C$121,Assumptions!$C$122))))</f>
        <v>743.685611659042</v>
      </c>
      <c r="Z38" s="14" t="n">
        <f aca="false">IF(Z37=0,0,IF(Z$4=Assumptions!$C$118,Assumptions!$C$119,Y38*(1+CHOOSE(Z$6,Assumptions!$C$120,Assumptions!$C$121,Assumptions!$C$122))))</f>
        <v>765.996180008813</v>
      </c>
      <c r="AA38" s="14" t="n">
        <f aca="false">IF(AA37=0,0,IF(AA$4=Assumptions!$C$118,Assumptions!$C$119,Z38*(1+CHOOSE(AA$6,Assumptions!$C$120,Assumptions!$C$121,Assumptions!$C$122))))</f>
        <v>773.656141808901</v>
      </c>
      <c r="AB38" s="14" t="n">
        <f aca="false">IF(AB37=0,0,IF(AB$4=Assumptions!$C$118,Assumptions!$C$119,AA38*(1+CHOOSE(AB$6,Assumptions!$C$120,Assumptions!$C$121,Assumptions!$C$122))))</f>
        <v>781.39270322699</v>
      </c>
      <c r="AC38" s="14" t="n">
        <f aca="false">IF(AC37=0,0,IF(AC$4=Assumptions!$C$118,Assumptions!$C$119,AB38*(1+CHOOSE(AC$6,Assumptions!$C$120,Assumptions!$C$121,Assumptions!$C$122))))</f>
        <v>789.20663025926</v>
      </c>
      <c r="AD38" s="14" t="n">
        <f aca="false">IF(AD37=0,0,IF(AD$4=Assumptions!$C$118,Assumptions!$C$119,AC38*(1+CHOOSE(AD$6,Assumptions!$C$120,Assumptions!$C$121,Assumptions!$C$122))))</f>
        <v>797.098696561853</v>
      </c>
      <c r="AE38" s="14" t="n">
        <f aca="false">IF(AE37=0,0,IF(AE$4=Assumptions!$C$118,Assumptions!$C$119,AD38*(1+CHOOSE(AE$6,Assumptions!$C$120,Assumptions!$C$121,Assumptions!$C$122))))</f>
        <v>805.069683527471</v>
      </c>
      <c r="AF38" s="14" t="n">
        <f aca="false">IF(AF37=0,0,IF(AF$4=Assumptions!$C$118,Assumptions!$C$119,AE38*(1+CHOOSE(AF$6,Assumptions!$C$120,Assumptions!$C$121,Assumptions!$C$122))))</f>
        <v>813.120380362746</v>
      </c>
      <c r="AG38" s="14" t="n">
        <f aca="false">IF(AG37=0,0,IF(AG$4=Assumptions!$C$118,Assumptions!$C$119,AF38*(1+CHOOSE(AG$6,Assumptions!$C$120,Assumptions!$C$121,Assumptions!$C$122))))</f>
        <v>821.251584166374</v>
      </c>
      <c r="AH38" s="14" t="n">
        <f aca="false">IF(AH37=0,0,IF(AH$4=Assumptions!$C$118,Assumptions!$C$119,AG38*(1+CHOOSE(AH$6,Assumptions!$C$120,Assumptions!$C$121,Assumptions!$C$122))))</f>
        <v>829.464100008037</v>
      </c>
      <c r="AI38" s="14" t="n">
        <f aca="false">IF(AI37=0,0,IF(AI$4=Assumptions!$C$118,Assumptions!$C$119,AH38*(1+CHOOSE(AI$6,Assumptions!$C$120,Assumptions!$C$121,Assumptions!$C$122))))</f>
        <v>837.758741008118</v>
      </c>
      <c r="AJ38" s="14" t="n">
        <f aca="false">IF(AJ37=0,0,IF(AJ$4=Assumptions!$C$118,Assumptions!$C$119,AI38*(1+CHOOSE(AJ$6,Assumptions!$C$120,Assumptions!$C$121,Assumptions!$C$122))))</f>
        <v>846.136328418199</v>
      </c>
      <c r="AK38" s="14" t="n">
        <f aca="false">IF(AK37=0,0,IF(AK$4=Assumptions!$C$118,Assumptions!$C$119,AJ38*(1+CHOOSE(AK$6,Assumptions!$C$120,Assumptions!$C$121,Assumptions!$C$122))))</f>
        <v>854.597691702381</v>
      </c>
      <c r="AL38" s="14" t="n">
        <f aca="false">IF(AL37=0,0,IF(AL$4=Assumptions!$C$118,Assumptions!$C$119,AK38*(1+CHOOSE(AL$6,Assumptions!$C$120,Assumptions!$C$121,Assumptions!$C$122))))</f>
        <v>863.143668619405</v>
      </c>
    </row>
    <row r="39" customFormat="false" ht="15" hidden="false" customHeight="false" outlineLevel="0" collapsed="false">
      <c r="A39" s="7" t="s">
        <v>767</v>
      </c>
      <c r="B39" s="9" t="s">
        <v>327</v>
      </c>
      <c r="C39" s="52" t="n">
        <f aca="false">C38*C$7</f>
        <v>0</v>
      </c>
      <c r="D39" s="52" t="n">
        <f aca="false">D38*D$7</f>
        <v>390</v>
      </c>
      <c r="E39" s="52" t="n">
        <f aca="false">E38*E$7</f>
        <v>429.3</v>
      </c>
      <c r="F39" s="52" t="n">
        <f aca="false">F38*F$7</f>
        <v>421.35</v>
      </c>
      <c r="G39" s="52" t="n">
        <f aca="false">G38*G$7</f>
        <v>321.57432</v>
      </c>
      <c r="H39" s="52" t="n">
        <f aca="false">H38*H$7</f>
        <v>378.743088</v>
      </c>
      <c r="I39" s="52" t="n">
        <f aca="false">I38*I$7</f>
        <v>421.541056944</v>
      </c>
      <c r="J39" s="52" t="n">
        <f aca="false">J38*J$7</f>
        <v>404.27794699296</v>
      </c>
      <c r="K39" s="52" t="n">
        <f aca="false">K38*K$7</f>
        <v>451.089077697408</v>
      </c>
      <c r="L39" s="52" t="n">
        <f aca="false">L38*L$7</f>
        <v>454.24670124129</v>
      </c>
      <c r="M39" s="52" t="n">
        <f aca="false">M38*M$7</f>
        <v>430.817134545687</v>
      </c>
      <c r="N39" s="52" t="n">
        <f aca="false">N38*N$7</f>
        <v>456.666162618428</v>
      </c>
      <c r="O39" s="52" t="n">
        <f aca="false">O38*O$7</f>
        <v>525.703341320155</v>
      </c>
      <c r="P39" s="52" t="n">
        <f aca="false">P38*P$7</f>
        <v>740.965025292303</v>
      </c>
      <c r="Q39" s="52" t="n">
        <f aca="false">Q38*Q$7</f>
        <v>792.547590514575</v>
      </c>
      <c r="R39" s="52" t="n">
        <f aca="false">R38*R$7</f>
        <v>755.855572435196</v>
      </c>
      <c r="S39" s="52" t="n">
        <f aca="false">S38*S$7</f>
        <v>560.542492517941</v>
      </c>
      <c r="T39" s="52" t="n">
        <f aca="false">T38*T$7</f>
        <v>641.5097414372</v>
      </c>
      <c r="U39" s="52" t="n">
        <f aca="false">U38*U$7</f>
        <v>693.792785364331</v>
      </c>
      <c r="V39" s="52" t="n">
        <f aca="false">V38*V$7</f>
        <v>646.548800456189</v>
      </c>
      <c r="W39" s="52" t="n">
        <f aca="false">W38*W$7</f>
        <v>700.995015231447</v>
      </c>
      <c r="X39" s="52" t="n">
        <f aca="false">X38*X$7</f>
        <v>685.923622403971</v>
      </c>
      <c r="Y39" s="52" t="n">
        <f aca="false">Y38*Y$7</f>
        <v>632.132769910186</v>
      </c>
      <c r="Z39" s="52" t="n">
        <f aca="false">Z38*Z$7</f>
        <v>651.096753007491</v>
      </c>
      <c r="AA39" s="52" t="n">
        <f aca="false">AA38*AA$7</f>
        <v>734.973334718456</v>
      </c>
      <c r="AB39" s="52" t="n">
        <f aca="false">AB38*AB$7</f>
        <v>1015.81051419509</v>
      </c>
      <c r="AC39" s="52" t="n">
        <f aca="false">AC38*AC$7</f>
        <v>1065.42895085</v>
      </c>
      <c r="AD39" s="52" t="n">
        <f aca="false">AD38*AD$7</f>
        <v>996.373370702316</v>
      </c>
      <c r="AE39" s="52" t="n">
        <f aca="false">AE38*AE$7</f>
        <v>724.562715174724</v>
      </c>
      <c r="AF39" s="52" t="n">
        <f aca="false">AF38*AF$7</f>
        <v>813.120380362746</v>
      </c>
      <c r="AG39" s="52" t="n">
        <f aca="false">AG38*AG$7</f>
        <v>862.314163374692</v>
      </c>
      <c r="AH39" s="52" t="n">
        <f aca="false">AH38*AH$7</f>
        <v>787.990895007636</v>
      </c>
      <c r="AI39" s="52" t="n">
        <f aca="false">AI38*AI$7</f>
        <v>837.758741008118</v>
      </c>
      <c r="AJ39" s="52" t="n">
        <f aca="false">AJ38*AJ$7</f>
        <v>803.829511997289</v>
      </c>
      <c r="AK39" s="52" t="n">
        <f aca="false">AK38*AK$7</f>
        <v>726.408037947024</v>
      </c>
      <c r="AL39" s="52" t="n">
        <f aca="false">AL38*AL$7</f>
        <v>733.672118326494</v>
      </c>
      <c r="AM39" s="53" t="n">
        <f aca="false">SUMIF($C$6:$AL$6,1,C39:AL39)</f>
        <v>4559.60548803977</v>
      </c>
      <c r="AN39" s="53" t="n">
        <f aca="false">SUMIF($C$6:$AL$6,2,C39:AL39)</f>
        <v>8027.61350989098</v>
      </c>
      <c r="AO39" s="53" t="n">
        <f aca="false">SUMIF($C$6:$AL$6,3,C39:AL39)</f>
        <v>10102.2427336646</v>
      </c>
      <c r="AP39" s="53" t="n">
        <f aca="false">SUM(C39:AL39)</f>
        <v>22689.4617315953</v>
      </c>
    </row>
    <row r="40" customFormat="false" ht="15" hidden="false" customHeight="false" outlineLevel="0" collapsed="false">
      <c r="A40" s="7" t="s">
        <v>758</v>
      </c>
      <c r="B40" s="9" t="s">
        <v>96</v>
      </c>
      <c r="C40" s="54" t="n">
        <f aca="false">Assumptions!$C$123*MIN(1,(C$4-Assumptions!$C$118+1)/Assumptions!$C$10)*C37</f>
        <v>0</v>
      </c>
      <c r="D40" s="54" t="n">
        <f aca="false">Assumptions!$C$123*MIN(1,(D$4-Assumptions!$C$118+1)/Assumptions!$C$10)*D37</f>
        <v>0.005</v>
      </c>
      <c r="E40" s="54" t="n">
        <f aca="false">Assumptions!$C$123*MIN(1,(E$4-Assumptions!$C$118+1)/Assumptions!$C$10)*E37</f>
        <v>0.01</v>
      </c>
      <c r="F40" s="54" t="n">
        <f aca="false">Assumptions!$C$123*MIN(1,(F$4-Assumptions!$C$118+1)/Assumptions!$C$10)*F37</f>
        <v>0.015</v>
      </c>
      <c r="G40" s="54" t="n">
        <f aca="false">Assumptions!$C$123*MIN(1,(G$4-Assumptions!$C$118+1)/Assumptions!$C$10)*G37</f>
        <v>0.02</v>
      </c>
      <c r="H40" s="54" t="n">
        <f aca="false">Assumptions!$C$123*MIN(1,(H$4-Assumptions!$C$118+1)/Assumptions!$C$10)*H37</f>
        <v>0.025</v>
      </c>
      <c r="I40" s="54" t="n">
        <f aca="false">Assumptions!$C$123*MIN(1,(I$4-Assumptions!$C$118+1)/Assumptions!$C$10)*I37</f>
        <v>0.03</v>
      </c>
      <c r="J40" s="54" t="n">
        <f aca="false">Assumptions!$C$123*MIN(1,(J$4-Assumptions!$C$118+1)/Assumptions!$C$10)*J37</f>
        <v>0.03</v>
      </c>
      <c r="K40" s="54" t="n">
        <f aca="false">Assumptions!$C$123*MIN(1,(K$4-Assumptions!$C$118+1)/Assumptions!$C$10)*K37</f>
        <v>0.03</v>
      </c>
      <c r="L40" s="54" t="n">
        <f aca="false">Assumptions!$C$123*MIN(1,(L$4-Assumptions!$C$118+1)/Assumptions!$C$10)*L37</f>
        <v>0.03</v>
      </c>
      <c r="M40" s="54" t="n">
        <f aca="false">Assumptions!$C$123*MIN(1,(M$4-Assumptions!$C$118+1)/Assumptions!$C$10)*M37</f>
        <v>0.03</v>
      </c>
      <c r="N40" s="54" t="n">
        <f aca="false">Assumptions!$C$123*MIN(1,(N$4-Assumptions!$C$118+1)/Assumptions!$C$10)*N37</f>
        <v>0.03</v>
      </c>
      <c r="O40" s="54" t="n">
        <f aca="false">Assumptions!$C$123*MIN(1,(O$4-Assumptions!$C$118+1)/Assumptions!$C$10)*O37</f>
        <v>0.03</v>
      </c>
      <c r="P40" s="54" t="n">
        <f aca="false">Assumptions!$C$123*MIN(1,(P$4-Assumptions!$C$118+1)/Assumptions!$C$10)*P37</f>
        <v>0.03</v>
      </c>
      <c r="Q40" s="54" t="n">
        <f aca="false">Assumptions!$C$123*MIN(1,(Q$4-Assumptions!$C$118+1)/Assumptions!$C$10)*Q37</f>
        <v>0.03</v>
      </c>
      <c r="R40" s="54" t="n">
        <f aca="false">Assumptions!$C$123*MIN(1,(R$4-Assumptions!$C$118+1)/Assumptions!$C$10)*R37</f>
        <v>0.03</v>
      </c>
      <c r="S40" s="54" t="n">
        <f aca="false">Assumptions!$C$123*MIN(1,(S$4-Assumptions!$C$118+1)/Assumptions!$C$10)*S37</f>
        <v>0.03</v>
      </c>
      <c r="T40" s="54" t="n">
        <f aca="false">Assumptions!$C$123*MIN(1,(T$4-Assumptions!$C$118+1)/Assumptions!$C$10)*T37</f>
        <v>0.03</v>
      </c>
      <c r="U40" s="54" t="n">
        <f aca="false">Assumptions!$C$123*MIN(1,(U$4-Assumptions!$C$118+1)/Assumptions!$C$10)*U37</f>
        <v>0.03</v>
      </c>
      <c r="V40" s="54" t="n">
        <f aca="false">Assumptions!$C$123*MIN(1,(V$4-Assumptions!$C$118+1)/Assumptions!$C$10)*V37</f>
        <v>0.03</v>
      </c>
      <c r="W40" s="54" t="n">
        <f aca="false">Assumptions!$C$123*MIN(1,(W$4-Assumptions!$C$118+1)/Assumptions!$C$10)*W37</f>
        <v>0.03</v>
      </c>
      <c r="X40" s="54" t="n">
        <f aca="false">Assumptions!$C$123*MIN(1,(X$4-Assumptions!$C$118+1)/Assumptions!$C$10)*X37</f>
        <v>0.03</v>
      </c>
      <c r="Y40" s="54" t="n">
        <f aca="false">Assumptions!$C$123*MIN(1,(Y$4-Assumptions!$C$118+1)/Assumptions!$C$10)*Y37</f>
        <v>0.03</v>
      </c>
      <c r="Z40" s="54" t="n">
        <f aca="false">Assumptions!$C$123*MIN(1,(Z$4-Assumptions!$C$118+1)/Assumptions!$C$10)*Z37</f>
        <v>0.03</v>
      </c>
      <c r="AA40" s="54" t="n">
        <f aca="false">Assumptions!$C$123*MIN(1,(AA$4-Assumptions!$C$118+1)/Assumptions!$C$10)*AA37</f>
        <v>0.03</v>
      </c>
      <c r="AB40" s="54" t="n">
        <f aca="false">Assumptions!$C$123*MIN(1,(AB$4-Assumptions!$C$118+1)/Assumptions!$C$10)*AB37</f>
        <v>0.03</v>
      </c>
      <c r="AC40" s="54" t="n">
        <f aca="false">Assumptions!$C$123*MIN(1,(AC$4-Assumptions!$C$118+1)/Assumptions!$C$10)*AC37</f>
        <v>0.03</v>
      </c>
      <c r="AD40" s="54" t="n">
        <f aca="false">Assumptions!$C$123*MIN(1,(AD$4-Assumptions!$C$118+1)/Assumptions!$C$10)*AD37</f>
        <v>0.03</v>
      </c>
      <c r="AE40" s="54" t="n">
        <f aca="false">Assumptions!$C$123*MIN(1,(AE$4-Assumptions!$C$118+1)/Assumptions!$C$10)*AE37</f>
        <v>0.03</v>
      </c>
      <c r="AF40" s="54" t="n">
        <f aca="false">Assumptions!$C$123*MIN(1,(AF$4-Assumptions!$C$118+1)/Assumptions!$C$10)*AF37</f>
        <v>0.03</v>
      </c>
      <c r="AG40" s="54" t="n">
        <f aca="false">Assumptions!$C$123*MIN(1,(AG$4-Assumptions!$C$118+1)/Assumptions!$C$10)*AG37</f>
        <v>0.03</v>
      </c>
      <c r="AH40" s="54" t="n">
        <f aca="false">Assumptions!$C$123*MIN(1,(AH$4-Assumptions!$C$118+1)/Assumptions!$C$10)*AH37</f>
        <v>0.03</v>
      </c>
      <c r="AI40" s="54" t="n">
        <f aca="false">Assumptions!$C$123*MIN(1,(AI$4-Assumptions!$C$118+1)/Assumptions!$C$10)*AI37</f>
        <v>0.03</v>
      </c>
      <c r="AJ40" s="54" t="n">
        <f aca="false">Assumptions!$C$123*MIN(1,(AJ$4-Assumptions!$C$118+1)/Assumptions!$C$10)*AJ37</f>
        <v>0.03</v>
      </c>
      <c r="AK40" s="54" t="n">
        <f aca="false">Assumptions!$C$123*MIN(1,(AK$4-Assumptions!$C$118+1)/Assumptions!$C$10)*AK37</f>
        <v>0.03</v>
      </c>
      <c r="AL40" s="54" t="n">
        <f aca="false">Assumptions!$C$123*MIN(1,(AL$4-Assumptions!$C$118+1)/Assumptions!$C$10)*AL37</f>
        <v>0.03</v>
      </c>
    </row>
    <row r="41" customFormat="false" ht="15" hidden="false" customHeight="false" outlineLevel="0" collapsed="false">
      <c r="A41" s="7" t="s">
        <v>766</v>
      </c>
      <c r="B41" s="9" t="s">
        <v>760</v>
      </c>
      <c r="C41" s="55" t="n">
        <f aca="false">C39*C40</f>
        <v>0</v>
      </c>
      <c r="D41" s="55" t="n">
        <f aca="false">D39*D40</f>
        <v>1.95</v>
      </c>
      <c r="E41" s="55" t="n">
        <f aca="false">E39*E40</f>
        <v>4.293</v>
      </c>
      <c r="F41" s="55" t="n">
        <f aca="false">F39*F40</f>
        <v>6.32025</v>
      </c>
      <c r="G41" s="55" t="n">
        <f aca="false">G39*G40</f>
        <v>6.4314864</v>
      </c>
      <c r="H41" s="55" t="n">
        <f aca="false">H39*H40</f>
        <v>9.4685772</v>
      </c>
      <c r="I41" s="55" t="n">
        <f aca="false">I39*I40</f>
        <v>12.64623170832</v>
      </c>
      <c r="J41" s="55" t="n">
        <f aca="false">J39*J40</f>
        <v>12.1283384097888</v>
      </c>
      <c r="K41" s="55" t="n">
        <f aca="false">K39*K40</f>
        <v>13.5326723309222</v>
      </c>
      <c r="L41" s="55" t="n">
        <f aca="false">L39*L40</f>
        <v>13.6274010372387</v>
      </c>
      <c r="M41" s="55" t="n">
        <f aca="false">M39*M40</f>
        <v>12.9245140363706</v>
      </c>
      <c r="N41" s="55" t="n">
        <f aca="false">N39*N40</f>
        <v>13.6999848785528</v>
      </c>
      <c r="O41" s="55" t="n">
        <f aca="false">O39*O40</f>
        <v>15.7711002396047</v>
      </c>
      <c r="P41" s="55" t="n">
        <f aca="false">P39*P40</f>
        <v>22.2289507587691</v>
      </c>
      <c r="Q41" s="55" t="n">
        <f aca="false">Q39*Q40</f>
        <v>23.7764277154372</v>
      </c>
      <c r="R41" s="55" t="n">
        <f aca="false">R39*R40</f>
        <v>22.6756671730559</v>
      </c>
      <c r="S41" s="55" t="n">
        <f aca="false">S39*S40</f>
        <v>16.8162747755382</v>
      </c>
      <c r="T41" s="55" t="n">
        <f aca="false">T39*T40</f>
        <v>19.245292243116</v>
      </c>
      <c r="U41" s="55" t="n">
        <f aca="false">U39*U40</f>
        <v>20.8137835609299</v>
      </c>
      <c r="V41" s="55" t="n">
        <f aca="false">V39*V40</f>
        <v>19.3964640136857</v>
      </c>
      <c r="W41" s="55" t="n">
        <f aca="false">W39*W40</f>
        <v>21.0298504569434</v>
      </c>
      <c r="X41" s="55" t="n">
        <f aca="false">X39*X40</f>
        <v>20.5777086721191</v>
      </c>
      <c r="Y41" s="55" t="n">
        <f aca="false">Y39*Y40</f>
        <v>18.9639830973056</v>
      </c>
      <c r="Z41" s="55" t="n">
        <f aca="false">Z39*Z40</f>
        <v>19.5329025902247</v>
      </c>
      <c r="AA41" s="55" t="n">
        <f aca="false">AA39*AA40</f>
        <v>22.0492000415537</v>
      </c>
      <c r="AB41" s="55" t="n">
        <f aca="false">AB39*AB40</f>
        <v>30.4743154258526</v>
      </c>
      <c r="AC41" s="55" t="n">
        <f aca="false">AC39*AC40</f>
        <v>31.9628685255</v>
      </c>
      <c r="AD41" s="55" t="n">
        <f aca="false">AD39*AD40</f>
        <v>29.8912011210695</v>
      </c>
      <c r="AE41" s="55" t="n">
        <f aca="false">AE39*AE40</f>
        <v>21.7368814552417</v>
      </c>
      <c r="AF41" s="55" t="n">
        <f aca="false">AF39*AF40</f>
        <v>24.3936114108824</v>
      </c>
      <c r="AG41" s="55" t="n">
        <f aca="false">AG39*AG40</f>
        <v>25.8694249012408</v>
      </c>
      <c r="AH41" s="55" t="n">
        <f aca="false">AH39*AH40</f>
        <v>23.6397268502291</v>
      </c>
      <c r="AI41" s="55" t="n">
        <f aca="false">AI39*AI40</f>
        <v>25.1327622302435</v>
      </c>
      <c r="AJ41" s="55" t="n">
        <f aca="false">AJ39*AJ40</f>
        <v>24.1148853599187</v>
      </c>
      <c r="AK41" s="55" t="n">
        <f aca="false">AK39*AK40</f>
        <v>21.7922411384107</v>
      </c>
      <c r="AL41" s="55" t="n">
        <f aca="false">AL39*AL40</f>
        <v>22.0101635497948</v>
      </c>
      <c r="AM41" s="53" t="n">
        <f aca="false">SUMIF($C$6:$AL$6,1,C41:AL41)</f>
        <v>107.022456001193</v>
      </c>
      <c r="AN41" s="53" t="n">
        <f aca="false">SUMIF($C$6:$AL$6,2,C41:AL41)</f>
        <v>240.82840529673</v>
      </c>
      <c r="AO41" s="53" t="n">
        <f aca="false">SUMIF($C$6:$AL$6,3,C41:AL41)</f>
        <v>303.067282009938</v>
      </c>
      <c r="AP41" s="53" t="n">
        <f aca="false">SUM(C41:AL41)</f>
        <v>650.91814330786</v>
      </c>
    </row>
    <row r="42" customFormat="false" ht="15" hidden="false" customHeight="false" outlineLevel="0" collapsed="false">
      <c r="A42" s="7" t="s">
        <v>761</v>
      </c>
      <c r="B42" s="9" t="s">
        <v>342</v>
      </c>
      <c r="C42" s="56" t="n">
        <f aca="false">C41*Assumptions!$C$124</f>
        <v>0</v>
      </c>
      <c r="D42" s="56" t="n">
        <f aca="false">D41*Assumptions!$C$124</f>
        <v>1.95</v>
      </c>
      <c r="E42" s="56" t="n">
        <f aca="false">E41*Assumptions!$C$124</f>
        <v>4.293</v>
      </c>
      <c r="F42" s="56" t="n">
        <f aca="false">F41*Assumptions!$C$124</f>
        <v>6.32025</v>
      </c>
      <c r="G42" s="56" t="n">
        <f aca="false">G41*Assumptions!$C$124</f>
        <v>6.4314864</v>
      </c>
      <c r="H42" s="56" t="n">
        <f aca="false">H41*Assumptions!$C$124</f>
        <v>9.4685772</v>
      </c>
      <c r="I42" s="56" t="n">
        <f aca="false">I41*Assumptions!$C$124</f>
        <v>12.64623170832</v>
      </c>
      <c r="J42" s="56" t="n">
        <f aca="false">J41*Assumptions!$C$124</f>
        <v>12.1283384097888</v>
      </c>
      <c r="K42" s="56" t="n">
        <f aca="false">K41*Assumptions!$C$124</f>
        <v>13.5326723309222</v>
      </c>
      <c r="L42" s="56" t="n">
        <f aca="false">L41*Assumptions!$C$124</f>
        <v>13.6274010372387</v>
      </c>
      <c r="M42" s="56" t="n">
        <f aca="false">M41*Assumptions!$C$124</f>
        <v>12.9245140363706</v>
      </c>
      <c r="N42" s="56" t="n">
        <f aca="false">N41*Assumptions!$C$124</f>
        <v>13.6999848785528</v>
      </c>
      <c r="O42" s="56" t="n">
        <f aca="false">O41*Assumptions!$C$124</f>
        <v>15.7711002396047</v>
      </c>
      <c r="P42" s="56" t="n">
        <f aca="false">P41*Assumptions!$C$124</f>
        <v>22.2289507587691</v>
      </c>
      <c r="Q42" s="56" t="n">
        <f aca="false">Q41*Assumptions!$C$124</f>
        <v>23.7764277154372</v>
      </c>
      <c r="R42" s="56" t="n">
        <f aca="false">R41*Assumptions!$C$124</f>
        <v>22.6756671730559</v>
      </c>
      <c r="S42" s="56" t="n">
        <f aca="false">S41*Assumptions!$C$124</f>
        <v>16.8162747755382</v>
      </c>
      <c r="T42" s="56" t="n">
        <f aca="false">T41*Assumptions!$C$124</f>
        <v>19.245292243116</v>
      </c>
      <c r="U42" s="56" t="n">
        <f aca="false">U41*Assumptions!$C$124</f>
        <v>20.8137835609299</v>
      </c>
      <c r="V42" s="56" t="n">
        <f aca="false">V41*Assumptions!$C$124</f>
        <v>19.3964640136857</v>
      </c>
      <c r="W42" s="56" t="n">
        <f aca="false">W41*Assumptions!$C$124</f>
        <v>21.0298504569434</v>
      </c>
      <c r="X42" s="56" t="n">
        <f aca="false">X41*Assumptions!$C$124</f>
        <v>20.5777086721191</v>
      </c>
      <c r="Y42" s="56" t="n">
        <f aca="false">Y41*Assumptions!$C$124</f>
        <v>18.9639830973056</v>
      </c>
      <c r="Z42" s="56" t="n">
        <f aca="false">Z41*Assumptions!$C$124</f>
        <v>19.5329025902247</v>
      </c>
      <c r="AA42" s="56" t="n">
        <f aca="false">AA41*Assumptions!$C$124</f>
        <v>22.0492000415537</v>
      </c>
      <c r="AB42" s="56" t="n">
        <f aca="false">AB41*Assumptions!$C$124</f>
        <v>30.4743154258526</v>
      </c>
      <c r="AC42" s="56" t="n">
        <f aca="false">AC41*Assumptions!$C$124</f>
        <v>31.9628685255</v>
      </c>
      <c r="AD42" s="56" t="n">
        <f aca="false">AD41*Assumptions!$C$124</f>
        <v>29.8912011210695</v>
      </c>
      <c r="AE42" s="56" t="n">
        <f aca="false">AE41*Assumptions!$C$124</f>
        <v>21.7368814552417</v>
      </c>
      <c r="AF42" s="56" t="n">
        <f aca="false">AF41*Assumptions!$C$124</f>
        <v>24.3936114108824</v>
      </c>
      <c r="AG42" s="56" t="n">
        <f aca="false">AG41*Assumptions!$C$124</f>
        <v>25.8694249012408</v>
      </c>
      <c r="AH42" s="56" t="n">
        <f aca="false">AH41*Assumptions!$C$124</f>
        <v>23.6397268502291</v>
      </c>
      <c r="AI42" s="56" t="n">
        <f aca="false">AI41*Assumptions!$C$124</f>
        <v>25.1327622302435</v>
      </c>
      <c r="AJ42" s="56" t="n">
        <f aca="false">AJ41*Assumptions!$C$124</f>
        <v>24.1148853599187</v>
      </c>
      <c r="AK42" s="56" t="n">
        <f aca="false">AK41*Assumptions!$C$124</f>
        <v>21.7922411384107</v>
      </c>
      <c r="AL42" s="56" t="n">
        <f aca="false">AL41*Assumptions!$C$124</f>
        <v>22.0101635497948</v>
      </c>
      <c r="AM42" s="53" t="n">
        <f aca="false">SUMIF($C$6:$AL$6,1,C42:AL42)</f>
        <v>107.022456001193</v>
      </c>
      <c r="AN42" s="53" t="n">
        <f aca="false">SUMIF($C$6:$AL$6,2,C42:AL42)</f>
        <v>240.82840529673</v>
      </c>
      <c r="AO42" s="53" t="n">
        <f aca="false">SUMIF($C$6:$AL$6,3,C42:AL42)</f>
        <v>303.067282009938</v>
      </c>
      <c r="AP42" s="53" t="n">
        <f aca="false">SUM(C42:AL42)</f>
        <v>650.91814330786</v>
      </c>
    </row>
    <row r="43" customFormat="false" ht="15" hidden="false" customHeight="false" outlineLevel="0" collapsed="false">
      <c r="A43" s="7" t="s">
        <v>762</v>
      </c>
      <c r="B43" s="9" t="s">
        <v>101</v>
      </c>
      <c r="C43" s="15" t="n">
        <f aca="false">'Unit Economics'!$E$52*Assumptions!$C$124*C37</f>
        <v>0</v>
      </c>
      <c r="D43" s="15" t="n">
        <f aca="false">'Unit Economics'!$E$52*Assumptions!$C$124*D37</f>
        <v>14.49</v>
      </c>
      <c r="E43" s="15" t="n">
        <f aca="false">'Unit Economics'!$E$52*Assumptions!$C$124*E37</f>
        <v>14.49</v>
      </c>
      <c r="F43" s="15" t="n">
        <f aca="false">'Unit Economics'!$E$52*Assumptions!$C$124*F37</f>
        <v>14.49</v>
      </c>
      <c r="G43" s="15" t="n">
        <f aca="false">'Unit Economics'!$E$52*Assumptions!$C$124*G37</f>
        <v>14.49</v>
      </c>
      <c r="H43" s="15" t="n">
        <f aca="false">'Unit Economics'!$E$52*Assumptions!$C$124*H37</f>
        <v>14.49</v>
      </c>
      <c r="I43" s="15" t="n">
        <f aca="false">'Unit Economics'!$E$52*Assumptions!$C$124*I37</f>
        <v>14.49</v>
      </c>
      <c r="J43" s="15" t="n">
        <f aca="false">'Unit Economics'!$E$52*Assumptions!$C$124*J37</f>
        <v>14.49</v>
      </c>
      <c r="K43" s="15" t="n">
        <f aca="false">'Unit Economics'!$E$52*Assumptions!$C$124*K37</f>
        <v>14.49</v>
      </c>
      <c r="L43" s="15" t="n">
        <f aca="false">'Unit Economics'!$E$52*Assumptions!$C$124*L37</f>
        <v>14.49</v>
      </c>
      <c r="M43" s="15" t="n">
        <f aca="false">'Unit Economics'!$E$52*Assumptions!$C$124*M37</f>
        <v>14.49</v>
      </c>
      <c r="N43" s="15" t="n">
        <f aca="false">'Unit Economics'!$E$52*Assumptions!$C$124*N37</f>
        <v>14.49</v>
      </c>
      <c r="O43" s="15" t="n">
        <f aca="false">'Unit Economics'!$E$52*Assumptions!$C$124*O37</f>
        <v>14.49</v>
      </c>
      <c r="P43" s="15" t="n">
        <f aca="false">'Unit Economics'!$E$52*Assumptions!$C$124*P37</f>
        <v>14.49</v>
      </c>
      <c r="Q43" s="15" t="n">
        <f aca="false">'Unit Economics'!$E$52*Assumptions!$C$124*Q37</f>
        <v>14.49</v>
      </c>
      <c r="R43" s="15" t="n">
        <f aca="false">'Unit Economics'!$E$52*Assumptions!$C$124*R37</f>
        <v>14.49</v>
      </c>
      <c r="S43" s="15" t="n">
        <f aca="false">'Unit Economics'!$E$52*Assumptions!$C$124*S37</f>
        <v>14.49</v>
      </c>
      <c r="T43" s="15" t="n">
        <f aca="false">'Unit Economics'!$E$52*Assumptions!$C$124*T37</f>
        <v>14.49</v>
      </c>
      <c r="U43" s="15" t="n">
        <f aca="false">'Unit Economics'!$E$52*Assumptions!$C$124*U37</f>
        <v>14.49</v>
      </c>
      <c r="V43" s="15" t="n">
        <f aca="false">'Unit Economics'!$E$52*Assumptions!$C$124*V37</f>
        <v>14.49</v>
      </c>
      <c r="W43" s="15" t="n">
        <f aca="false">'Unit Economics'!$E$52*Assumptions!$C$124*W37</f>
        <v>14.49</v>
      </c>
      <c r="X43" s="15" t="n">
        <f aca="false">'Unit Economics'!$E$52*Assumptions!$C$124*X37</f>
        <v>14.49</v>
      </c>
      <c r="Y43" s="15" t="n">
        <f aca="false">'Unit Economics'!$E$52*Assumptions!$C$124*Y37</f>
        <v>14.49</v>
      </c>
      <c r="Z43" s="15" t="n">
        <f aca="false">'Unit Economics'!$E$52*Assumptions!$C$124*Z37</f>
        <v>14.49</v>
      </c>
      <c r="AA43" s="15" t="n">
        <f aca="false">'Unit Economics'!$E$52*Assumptions!$C$124*AA37</f>
        <v>14.49</v>
      </c>
      <c r="AB43" s="15" t="n">
        <f aca="false">'Unit Economics'!$E$52*Assumptions!$C$124*AB37</f>
        <v>14.49</v>
      </c>
      <c r="AC43" s="15" t="n">
        <f aca="false">'Unit Economics'!$E$52*Assumptions!$C$124*AC37</f>
        <v>14.49</v>
      </c>
      <c r="AD43" s="15" t="n">
        <f aca="false">'Unit Economics'!$E$52*Assumptions!$C$124*AD37</f>
        <v>14.49</v>
      </c>
      <c r="AE43" s="15" t="n">
        <f aca="false">'Unit Economics'!$E$52*Assumptions!$C$124*AE37</f>
        <v>14.49</v>
      </c>
      <c r="AF43" s="15" t="n">
        <f aca="false">'Unit Economics'!$E$52*Assumptions!$C$124*AF37</f>
        <v>14.49</v>
      </c>
      <c r="AG43" s="15" t="n">
        <f aca="false">'Unit Economics'!$E$52*Assumptions!$C$124*AG37</f>
        <v>14.49</v>
      </c>
      <c r="AH43" s="15" t="n">
        <f aca="false">'Unit Economics'!$E$52*Assumptions!$C$124*AH37</f>
        <v>14.49</v>
      </c>
      <c r="AI43" s="15" t="n">
        <f aca="false">'Unit Economics'!$E$52*Assumptions!$C$124*AI37</f>
        <v>14.49</v>
      </c>
      <c r="AJ43" s="15" t="n">
        <f aca="false">'Unit Economics'!$E$52*Assumptions!$C$124*AJ37</f>
        <v>14.49</v>
      </c>
      <c r="AK43" s="15" t="n">
        <f aca="false">'Unit Economics'!$E$52*Assumptions!$C$124*AK37</f>
        <v>14.49</v>
      </c>
      <c r="AL43" s="15" t="n">
        <f aca="false">'Unit Economics'!$E$52*Assumptions!$C$124*AL37</f>
        <v>14.49</v>
      </c>
    </row>
    <row r="44" customFormat="false" ht="15" hidden="false" customHeight="false" outlineLevel="0" collapsed="false">
      <c r="A44" s="7" t="s">
        <v>763</v>
      </c>
      <c r="B44" s="9" t="s">
        <v>101</v>
      </c>
      <c r="C44" s="8" t="n">
        <f aca="false">C42*'Unit Economics'!$E$52</f>
        <v>0</v>
      </c>
      <c r="D44" s="8" t="n">
        <f aca="false">D42*'Unit Economics'!$E$52</f>
        <v>28.2555</v>
      </c>
      <c r="E44" s="8" t="n">
        <f aca="false">E42*'Unit Economics'!$E$52</f>
        <v>62.20557</v>
      </c>
      <c r="F44" s="8" t="n">
        <f aca="false">F42*'Unit Economics'!$E$52</f>
        <v>91.5804225</v>
      </c>
      <c r="G44" s="8" t="n">
        <f aca="false">G42*'Unit Economics'!$E$52</f>
        <v>93.192237936</v>
      </c>
      <c r="H44" s="8" t="n">
        <f aca="false">H42*'Unit Economics'!$E$52</f>
        <v>137.199683628</v>
      </c>
      <c r="I44" s="8" t="n">
        <f aca="false">I42*'Unit Economics'!$E$52</f>
        <v>183.243897453557</v>
      </c>
      <c r="J44" s="8" t="n">
        <f aca="false">J42*'Unit Economics'!$E$52</f>
        <v>175.73962355784</v>
      </c>
      <c r="K44" s="8" t="n">
        <f aca="false">K42*'Unit Economics'!$E$52</f>
        <v>196.088422075063</v>
      </c>
      <c r="L44" s="8" t="n">
        <f aca="false">L42*'Unit Economics'!$E$52</f>
        <v>197.461041029589</v>
      </c>
      <c r="M44" s="8" t="n">
        <f aca="false">M42*'Unit Economics'!$E$52</f>
        <v>187.27620838701</v>
      </c>
      <c r="N44" s="8" t="n">
        <f aca="false">N42*'Unit Economics'!$E$52</f>
        <v>198.512780890231</v>
      </c>
      <c r="O44" s="8" t="n">
        <f aca="false">O42*'Unit Economics'!$E$52</f>
        <v>228.523242471871</v>
      </c>
      <c r="P44" s="8" t="n">
        <f aca="false">P42*'Unit Economics'!$E$52</f>
        <v>322.097496494564</v>
      </c>
      <c r="Q44" s="8" t="n">
        <f aca="false">Q42*'Unit Economics'!$E$52</f>
        <v>344.520437596686</v>
      </c>
      <c r="R44" s="8" t="n">
        <f aca="false">R42*'Unit Economics'!$E$52</f>
        <v>328.57041733758</v>
      </c>
      <c r="S44" s="8" t="n">
        <f aca="false">S42*'Unit Economics'!$E$52</f>
        <v>243.667821497549</v>
      </c>
      <c r="T44" s="8" t="n">
        <f aca="false">T42*'Unit Economics'!$E$52</f>
        <v>278.864284602751</v>
      </c>
      <c r="U44" s="8" t="n">
        <f aca="false">U42*'Unit Economics'!$E$52</f>
        <v>301.591723797875</v>
      </c>
      <c r="V44" s="8" t="n">
        <f aca="false">V42*'Unit Economics'!$E$52</f>
        <v>281.054763558305</v>
      </c>
      <c r="W44" s="8" t="n">
        <f aca="false">W42*'Unit Economics'!$E$52</f>
        <v>304.72253312111</v>
      </c>
      <c r="X44" s="8" t="n">
        <f aca="false">X42*'Unit Economics'!$E$52</f>
        <v>298.170998659006</v>
      </c>
      <c r="Y44" s="8" t="n">
        <f aca="false">Y42*'Unit Economics'!$E$52</f>
        <v>274.788115079958</v>
      </c>
      <c r="Z44" s="8" t="n">
        <f aca="false">Z42*'Unit Economics'!$E$52</f>
        <v>283.031758532356</v>
      </c>
      <c r="AA44" s="8" t="n">
        <f aca="false">AA42*'Unit Economics'!$E$52</f>
        <v>319.492908602113</v>
      </c>
      <c r="AB44" s="8" t="n">
        <f aca="false">AB42*'Unit Economics'!$E$52</f>
        <v>441.572830520605</v>
      </c>
      <c r="AC44" s="8" t="n">
        <f aca="false">AC42*'Unit Economics'!$E$52</f>
        <v>463.141964934496</v>
      </c>
      <c r="AD44" s="8" t="n">
        <f aca="false">AD42*'Unit Economics'!$E$52</f>
        <v>433.123504244297</v>
      </c>
      <c r="AE44" s="8" t="n">
        <f aca="false">AE42*'Unit Economics'!$E$52</f>
        <v>314.967412286453</v>
      </c>
      <c r="AF44" s="8" t="n">
        <f aca="false">AF42*'Unit Economics'!$E$52</f>
        <v>353.463429343686</v>
      </c>
      <c r="AG44" s="8" t="n">
        <f aca="false">AG42*'Unit Economics'!$E$52</f>
        <v>374.847966818979</v>
      </c>
      <c r="AH44" s="8" t="n">
        <f aca="false">AH42*'Unit Economics'!$E$52</f>
        <v>342.539642059819</v>
      </c>
      <c r="AI44" s="8" t="n">
        <f aca="false">AI42*'Unit Economics'!$E$52</f>
        <v>364.173724716229</v>
      </c>
      <c r="AJ44" s="8" t="n">
        <f aca="false">AJ42*'Unit Economics'!$E$52</f>
        <v>349.424688865221</v>
      </c>
      <c r="AK44" s="8" t="n">
        <f aca="false">AK42*'Unit Economics'!$E$52</f>
        <v>315.769574095571</v>
      </c>
      <c r="AL44" s="8" t="n">
        <f aca="false">AL42*'Unit Economics'!$E$52</f>
        <v>318.927269836527</v>
      </c>
      <c r="AM44" s="45" t="n">
        <f aca="false">SUMIF($C$6:$AL$6,1,C44:AL44)</f>
        <v>1550.75538745729</v>
      </c>
      <c r="AN44" s="45" t="n">
        <f aca="false">SUMIF($C$6:$AL$6,2,C44:AL44)</f>
        <v>3489.60359274961</v>
      </c>
      <c r="AO44" s="45" t="n">
        <f aca="false">SUMIF($C$6:$AL$6,3,C44:AL44)</f>
        <v>4391.44491632399</v>
      </c>
      <c r="AP44" s="45" t="n">
        <f aca="false">SUM(C44:AL44)</f>
        <v>9431.8038965309</v>
      </c>
    </row>
    <row r="45" customFormat="false" ht="15" hidden="false" customHeight="false" outlineLevel="0" collapsed="false">
      <c r="A45" s="7" t="s">
        <v>764</v>
      </c>
      <c r="B45" s="9" t="s">
        <v>101</v>
      </c>
      <c r="C45" s="8" t="n">
        <f aca="false">C42*'Unit Economics'!$F$52</f>
        <v>0</v>
      </c>
      <c r="D45" s="8" t="n">
        <f aca="false">D42*'Unit Economics'!$F$52</f>
        <v>11.8599</v>
      </c>
      <c r="E45" s="8" t="n">
        <f aca="false">E42*'Unit Economics'!$F$52</f>
        <v>26.110026</v>
      </c>
      <c r="F45" s="8" t="n">
        <f aca="false">F42*'Unit Economics'!$F$52</f>
        <v>38.4397605</v>
      </c>
      <c r="G45" s="8" t="n">
        <f aca="false">G42*'Unit Economics'!$F$52</f>
        <v>39.1163002848</v>
      </c>
      <c r="H45" s="8" t="n">
        <f aca="false">H42*'Unit Economics'!$F$52</f>
        <v>57.5878865304</v>
      </c>
      <c r="I45" s="8" t="n">
        <f aca="false">I42*'Unit Economics'!$F$52</f>
        <v>76.9143812500022</v>
      </c>
      <c r="J45" s="8" t="n">
        <f aca="false">J42*'Unit Economics'!$F$52</f>
        <v>73.7645542083355</v>
      </c>
      <c r="K45" s="8" t="n">
        <f aca="false">K42*'Unit Economics'!$F$52</f>
        <v>82.3057131166691</v>
      </c>
      <c r="L45" s="8" t="n">
        <f aca="false">L42*'Unit Economics'!$F$52</f>
        <v>82.8818531084858</v>
      </c>
      <c r="M45" s="8" t="n">
        <f aca="false">M42*'Unit Economics'!$F$52</f>
        <v>78.606894369206</v>
      </c>
      <c r="N45" s="8" t="n">
        <f aca="false">N42*'Unit Economics'!$F$52</f>
        <v>83.3233080313583</v>
      </c>
      <c r="O45" s="8" t="n">
        <f aca="false">O42*'Unit Economics'!$F$52</f>
        <v>95.9198316572755</v>
      </c>
      <c r="P45" s="8" t="n">
        <f aca="false">P42*'Unit Economics'!$F$52</f>
        <v>135.196478514834</v>
      </c>
      <c r="Q45" s="8" t="n">
        <f aca="false">Q42*'Unit Economics'!$F$52</f>
        <v>144.608233365289</v>
      </c>
      <c r="R45" s="8" t="n">
        <f aca="false">R42*'Unit Economics'!$F$52</f>
        <v>137.913407746526</v>
      </c>
      <c r="S45" s="8" t="n">
        <f aca="false">S42*'Unit Economics'!$F$52</f>
        <v>102.276583184824</v>
      </c>
      <c r="T45" s="8" t="n">
        <f aca="false">T42*'Unit Economics'!$F$52</f>
        <v>117.049867422631</v>
      </c>
      <c r="U45" s="8" t="n">
        <f aca="false">U42*'Unit Economics'!$F$52</f>
        <v>126.589431617576</v>
      </c>
      <c r="V45" s="8" t="n">
        <f aca="false">V42*'Unit Economics'!$F$52</f>
        <v>117.969294131236</v>
      </c>
      <c r="W45" s="8" t="n">
        <f aca="false">W42*'Unit Economics'!$F$52</f>
        <v>127.90355047913</v>
      </c>
      <c r="X45" s="8" t="n">
        <f aca="false">X42*'Unit Economics'!$F$52</f>
        <v>125.153624143828</v>
      </c>
      <c r="Y45" s="8" t="n">
        <f aca="false">Y42*'Unit Economics'!$F$52</f>
        <v>115.338945197812</v>
      </c>
      <c r="Z45" s="8" t="n">
        <f aca="false">Z42*'Unit Economics'!$F$52</f>
        <v>118.799113553747</v>
      </c>
      <c r="AA45" s="8" t="n">
        <f aca="false">AA42*'Unit Economics'!$F$52</f>
        <v>134.10323465273</v>
      </c>
      <c r="AB45" s="8" t="n">
        <f aca="false">AB42*'Unit Economics'!$F$52</f>
        <v>185.344786420036</v>
      </c>
      <c r="AC45" s="8" t="n">
        <f aca="false">AC42*'Unit Economics'!$F$52</f>
        <v>194.398166372091</v>
      </c>
      <c r="AD45" s="8" t="n">
        <f aca="false">AD42*'Unit Economics'!$F$52</f>
        <v>181.798285218345</v>
      </c>
      <c r="AE45" s="8" t="n">
        <f aca="false">AE42*'Unit Economics'!$F$52</f>
        <v>132.20371301078</v>
      </c>
      <c r="AF45" s="8" t="n">
        <f aca="false">AF42*'Unit Economics'!$F$52</f>
        <v>148.361944600987</v>
      </c>
      <c r="AG45" s="8" t="n">
        <f aca="false">AG42*'Unit Economics'!$F$52</f>
        <v>157.337842249346</v>
      </c>
      <c r="AH45" s="8" t="n">
        <f aca="false">AH42*'Unit Economics'!$F$52</f>
        <v>143.776818703093</v>
      </c>
      <c r="AI45" s="8" t="n">
        <f aca="false">AI42*'Unit Economics'!$F$52</f>
        <v>152.857459884341</v>
      </c>
      <c r="AJ45" s="8" t="n">
        <f aca="false">AJ42*'Unit Economics'!$F$52</f>
        <v>146.666732759025</v>
      </c>
      <c r="AK45" s="8" t="n">
        <f aca="false">AK42*'Unit Economics'!$F$52</f>
        <v>132.540410603814</v>
      </c>
      <c r="AL45" s="8" t="n">
        <f aca="false">AL42*'Unit Economics'!$F$52</f>
        <v>133.865814709852</v>
      </c>
      <c r="AM45" s="45" t="n">
        <f aca="false">SUMIF($C$6:$AL$6,1,C45:AL45)</f>
        <v>650.910577399257</v>
      </c>
      <c r="AN45" s="45" t="n">
        <f aca="false">SUMIF($C$6:$AL$6,2,C45:AL45)</f>
        <v>1464.71836101471</v>
      </c>
      <c r="AO45" s="45" t="n">
        <f aca="false">SUMIF($C$6:$AL$6,3,C45:AL45)</f>
        <v>1843.25520918444</v>
      </c>
      <c r="AP45" s="45" t="n">
        <f aca="false">SUM(C45:AL45)</f>
        <v>3958.88414759841</v>
      </c>
    </row>
    <row r="46" customFormat="false" ht="15" hidden="false" customHeight="false" outlineLevel="0" collapsed="false">
      <c r="A46" s="5" t="s">
        <v>574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</row>
    <row r="47" customFormat="false" ht="15" hidden="false" customHeight="false" outlineLevel="0" collapsed="false">
      <c r="A47" s="7" t="s">
        <v>755</v>
      </c>
      <c r="B47" s="9" t="s">
        <v>319</v>
      </c>
      <c r="C47" s="38" t="n">
        <f aca="false">IF(AND(Assumptions!$C$126=1,C$4&gt;=Assumptions!$C$127),1,0)</f>
        <v>0</v>
      </c>
      <c r="D47" s="38" t="n">
        <f aca="false">IF(AND(Assumptions!$C$126=1,D$4&gt;=Assumptions!$C$127),1,0)</f>
        <v>0</v>
      </c>
      <c r="E47" s="38" t="n">
        <f aca="false">IF(AND(Assumptions!$C$126=1,E$4&gt;=Assumptions!$C$127),1,0)</f>
        <v>1</v>
      </c>
      <c r="F47" s="38" t="n">
        <f aca="false">IF(AND(Assumptions!$C$126=1,F$4&gt;=Assumptions!$C$127),1,0)</f>
        <v>1</v>
      </c>
      <c r="G47" s="38" t="n">
        <f aca="false">IF(AND(Assumptions!$C$126=1,G$4&gt;=Assumptions!$C$127),1,0)</f>
        <v>1</v>
      </c>
      <c r="H47" s="38" t="n">
        <f aca="false">IF(AND(Assumptions!$C$126=1,H$4&gt;=Assumptions!$C$127),1,0)</f>
        <v>1</v>
      </c>
      <c r="I47" s="38" t="n">
        <f aca="false">IF(AND(Assumptions!$C$126=1,I$4&gt;=Assumptions!$C$127),1,0)</f>
        <v>1</v>
      </c>
      <c r="J47" s="38" t="n">
        <f aca="false">IF(AND(Assumptions!$C$126=1,J$4&gt;=Assumptions!$C$127),1,0)</f>
        <v>1</v>
      </c>
      <c r="K47" s="38" t="n">
        <f aca="false">IF(AND(Assumptions!$C$126=1,K$4&gt;=Assumptions!$C$127),1,0)</f>
        <v>1</v>
      </c>
      <c r="L47" s="38" t="n">
        <f aca="false">IF(AND(Assumptions!$C$126=1,L$4&gt;=Assumptions!$C$127),1,0)</f>
        <v>1</v>
      </c>
      <c r="M47" s="38" t="n">
        <f aca="false">IF(AND(Assumptions!$C$126=1,M$4&gt;=Assumptions!$C$127),1,0)</f>
        <v>1</v>
      </c>
      <c r="N47" s="38" t="n">
        <f aca="false">IF(AND(Assumptions!$C$126=1,N$4&gt;=Assumptions!$C$127),1,0)</f>
        <v>1</v>
      </c>
      <c r="O47" s="38" t="n">
        <f aca="false">IF(AND(Assumptions!$C$126=1,O$4&gt;=Assumptions!$C$127),1,0)</f>
        <v>1</v>
      </c>
      <c r="P47" s="38" t="n">
        <f aca="false">IF(AND(Assumptions!$C$126=1,P$4&gt;=Assumptions!$C$127),1,0)</f>
        <v>1</v>
      </c>
      <c r="Q47" s="38" t="n">
        <f aca="false">IF(AND(Assumptions!$C$126=1,Q$4&gt;=Assumptions!$C$127),1,0)</f>
        <v>1</v>
      </c>
      <c r="R47" s="38" t="n">
        <f aca="false">IF(AND(Assumptions!$C$126=1,R$4&gt;=Assumptions!$C$127),1,0)</f>
        <v>1</v>
      </c>
      <c r="S47" s="38" t="n">
        <f aca="false">IF(AND(Assumptions!$C$126=1,S$4&gt;=Assumptions!$C$127),1,0)</f>
        <v>1</v>
      </c>
      <c r="T47" s="38" t="n">
        <f aca="false">IF(AND(Assumptions!$C$126=1,T$4&gt;=Assumptions!$C$127),1,0)</f>
        <v>1</v>
      </c>
      <c r="U47" s="38" t="n">
        <f aca="false">IF(AND(Assumptions!$C$126=1,U$4&gt;=Assumptions!$C$127),1,0)</f>
        <v>1</v>
      </c>
      <c r="V47" s="38" t="n">
        <f aca="false">IF(AND(Assumptions!$C$126=1,V$4&gt;=Assumptions!$C$127),1,0)</f>
        <v>1</v>
      </c>
      <c r="W47" s="38" t="n">
        <f aca="false">IF(AND(Assumptions!$C$126=1,W$4&gt;=Assumptions!$C$127),1,0)</f>
        <v>1</v>
      </c>
      <c r="X47" s="38" t="n">
        <f aca="false">IF(AND(Assumptions!$C$126=1,X$4&gt;=Assumptions!$C$127),1,0)</f>
        <v>1</v>
      </c>
      <c r="Y47" s="38" t="n">
        <f aca="false">IF(AND(Assumptions!$C$126=1,Y$4&gt;=Assumptions!$C$127),1,0)</f>
        <v>1</v>
      </c>
      <c r="Z47" s="38" t="n">
        <f aca="false">IF(AND(Assumptions!$C$126=1,Z$4&gt;=Assumptions!$C$127),1,0)</f>
        <v>1</v>
      </c>
      <c r="AA47" s="38" t="n">
        <f aca="false">IF(AND(Assumptions!$C$126=1,AA$4&gt;=Assumptions!$C$127),1,0)</f>
        <v>1</v>
      </c>
      <c r="AB47" s="38" t="n">
        <f aca="false">IF(AND(Assumptions!$C$126=1,AB$4&gt;=Assumptions!$C$127),1,0)</f>
        <v>1</v>
      </c>
      <c r="AC47" s="38" t="n">
        <f aca="false">IF(AND(Assumptions!$C$126=1,AC$4&gt;=Assumptions!$C$127),1,0)</f>
        <v>1</v>
      </c>
      <c r="AD47" s="38" t="n">
        <f aca="false">IF(AND(Assumptions!$C$126=1,AD$4&gt;=Assumptions!$C$127),1,0)</f>
        <v>1</v>
      </c>
      <c r="AE47" s="38" t="n">
        <f aca="false">IF(AND(Assumptions!$C$126=1,AE$4&gt;=Assumptions!$C$127),1,0)</f>
        <v>1</v>
      </c>
      <c r="AF47" s="38" t="n">
        <f aca="false">IF(AND(Assumptions!$C$126=1,AF$4&gt;=Assumptions!$C$127),1,0)</f>
        <v>1</v>
      </c>
      <c r="AG47" s="38" t="n">
        <f aca="false">IF(AND(Assumptions!$C$126=1,AG$4&gt;=Assumptions!$C$127),1,0)</f>
        <v>1</v>
      </c>
      <c r="AH47" s="38" t="n">
        <f aca="false">IF(AND(Assumptions!$C$126=1,AH$4&gt;=Assumptions!$C$127),1,0)</f>
        <v>1</v>
      </c>
      <c r="AI47" s="38" t="n">
        <f aca="false">IF(AND(Assumptions!$C$126=1,AI$4&gt;=Assumptions!$C$127),1,0)</f>
        <v>1</v>
      </c>
      <c r="AJ47" s="38" t="n">
        <f aca="false">IF(AND(Assumptions!$C$126=1,AJ$4&gt;=Assumptions!$C$127),1,0)</f>
        <v>1</v>
      </c>
      <c r="AK47" s="38" t="n">
        <f aca="false">IF(AND(Assumptions!$C$126=1,AK$4&gt;=Assumptions!$C$127),1,0)</f>
        <v>1</v>
      </c>
      <c r="AL47" s="38" t="n">
        <f aca="false">IF(AND(Assumptions!$C$126=1,AL$4&gt;=Assumptions!$C$127),1,0)</f>
        <v>1</v>
      </c>
    </row>
    <row r="48" customFormat="false" ht="15" hidden="false" customHeight="false" outlineLevel="0" collapsed="false">
      <c r="A48" s="7" t="s">
        <v>756</v>
      </c>
      <c r="B48" s="9" t="s">
        <v>327</v>
      </c>
      <c r="C48" s="14" t="n">
        <f aca="false">IF(C47=0,0,Assumptions!$C$128)</f>
        <v>0</v>
      </c>
      <c r="D48" s="14" t="n">
        <f aca="false">IF(D47=0,0,IF(D$4=Assumptions!$C$127,Assumptions!$C$128,C48*(1+CHOOSE(D$6,Assumptions!$C$129,Assumptions!$C$130,Assumptions!$C$131))))</f>
        <v>0</v>
      </c>
      <c r="E48" s="14" t="n">
        <f aca="false">IF(E47=0,0,IF(E$4=Assumptions!$C$127,Assumptions!$C$128,D48*(1+CHOOSE(E$6,Assumptions!$C$129,Assumptions!$C$130,Assumptions!$C$131))))</f>
        <v>100</v>
      </c>
      <c r="F48" s="14" t="n">
        <f aca="false">IF(F47=0,0,IF(F$4=Assumptions!$C$127,Assumptions!$C$128,E48*(1+CHOOSE(F$6,Assumptions!$C$129,Assumptions!$C$130,Assumptions!$C$131))))</f>
        <v>104</v>
      </c>
      <c r="G48" s="14" t="n">
        <f aca="false">IF(G47=0,0,IF(G$4=Assumptions!$C$127,Assumptions!$C$128,F48*(1+CHOOSE(G$6,Assumptions!$C$129,Assumptions!$C$130,Assumptions!$C$131))))</f>
        <v>108.16</v>
      </c>
      <c r="H48" s="14" t="n">
        <f aca="false">IF(H47=0,0,IF(H$4=Assumptions!$C$127,Assumptions!$C$128,G48*(1+CHOOSE(H$6,Assumptions!$C$129,Assumptions!$C$130,Assumptions!$C$131))))</f>
        <v>112.4864</v>
      </c>
      <c r="I48" s="14" t="n">
        <f aca="false">IF(I47=0,0,IF(I$4=Assumptions!$C$127,Assumptions!$C$128,H48*(1+CHOOSE(I$6,Assumptions!$C$129,Assumptions!$C$130,Assumptions!$C$131))))</f>
        <v>116.985856</v>
      </c>
      <c r="J48" s="14" t="n">
        <f aca="false">IF(J47=0,0,IF(J$4=Assumptions!$C$127,Assumptions!$C$128,I48*(1+CHOOSE(J$6,Assumptions!$C$129,Assumptions!$C$130,Assumptions!$C$131))))</f>
        <v>121.66529024</v>
      </c>
      <c r="K48" s="14" t="n">
        <f aca="false">IF(K47=0,0,IF(K$4=Assumptions!$C$127,Assumptions!$C$128,J48*(1+CHOOSE(K$6,Assumptions!$C$129,Assumptions!$C$130,Assumptions!$C$131))))</f>
        <v>126.5319018496</v>
      </c>
      <c r="L48" s="14" t="n">
        <f aca="false">IF(L47=0,0,IF(L$4=Assumptions!$C$127,Assumptions!$C$128,K48*(1+CHOOSE(L$6,Assumptions!$C$129,Assumptions!$C$130,Assumptions!$C$131))))</f>
        <v>131.593177923584</v>
      </c>
      <c r="M48" s="14" t="n">
        <f aca="false">IF(M47=0,0,IF(M$4=Assumptions!$C$127,Assumptions!$C$128,L48*(1+CHOOSE(M$6,Assumptions!$C$129,Assumptions!$C$130,Assumptions!$C$131))))</f>
        <v>136.856905040527</v>
      </c>
      <c r="N48" s="14" t="n">
        <f aca="false">IF(N47=0,0,IF(N$4=Assumptions!$C$127,Assumptions!$C$128,M48*(1+CHOOSE(N$6,Assumptions!$C$129,Assumptions!$C$130,Assumptions!$C$131))))</f>
        <v>142.331181242149</v>
      </c>
      <c r="O48" s="14" t="n">
        <f aca="false">IF(O47=0,0,IF(O$4=Assumptions!$C$127,Assumptions!$C$128,N48*(1+CHOOSE(O$6,Assumptions!$C$129,Assumptions!$C$130,Assumptions!$C$131))))</f>
        <v>145.177804866991</v>
      </c>
      <c r="P48" s="14" t="n">
        <f aca="false">IF(P47=0,0,IF(P$4=Assumptions!$C$127,Assumptions!$C$128,O48*(1+CHOOSE(P$6,Assumptions!$C$129,Assumptions!$C$130,Assumptions!$C$131))))</f>
        <v>148.081360964331</v>
      </c>
      <c r="Q48" s="14" t="n">
        <f aca="false">IF(Q47=0,0,IF(Q$4=Assumptions!$C$127,Assumptions!$C$128,P48*(1+CHOOSE(Q$6,Assumptions!$C$129,Assumptions!$C$130,Assumptions!$C$131))))</f>
        <v>151.042988183618</v>
      </c>
      <c r="R48" s="14" t="n">
        <f aca="false">IF(R47=0,0,IF(R$4=Assumptions!$C$127,Assumptions!$C$128,Q48*(1+CHOOSE(R$6,Assumptions!$C$129,Assumptions!$C$130,Assumptions!$C$131))))</f>
        <v>154.06384794729</v>
      </c>
      <c r="S48" s="14" t="n">
        <f aca="false">IF(S47=0,0,IF(S$4=Assumptions!$C$127,Assumptions!$C$128,R48*(1+CHOOSE(S$6,Assumptions!$C$129,Assumptions!$C$130,Assumptions!$C$131))))</f>
        <v>157.145124906236</v>
      </c>
      <c r="T48" s="14" t="n">
        <f aca="false">IF(T47=0,0,IF(T$4=Assumptions!$C$127,Assumptions!$C$128,S48*(1+CHOOSE(T$6,Assumptions!$C$129,Assumptions!$C$130,Assumptions!$C$131))))</f>
        <v>160.288027404361</v>
      </c>
      <c r="U48" s="14" t="n">
        <f aca="false">IF(U47=0,0,IF(U$4=Assumptions!$C$127,Assumptions!$C$128,T48*(1+CHOOSE(U$6,Assumptions!$C$129,Assumptions!$C$130,Assumptions!$C$131))))</f>
        <v>163.493787952448</v>
      </c>
      <c r="V48" s="14" t="n">
        <f aca="false">IF(V47=0,0,IF(V$4=Assumptions!$C$127,Assumptions!$C$128,U48*(1+CHOOSE(V$6,Assumptions!$C$129,Assumptions!$C$130,Assumptions!$C$131))))</f>
        <v>166.763663711497</v>
      </c>
      <c r="W48" s="14" t="n">
        <f aca="false">IF(W47=0,0,IF(W$4=Assumptions!$C$127,Assumptions!$C$128,V48*(1+CHOOSE(W$6,Assumptions!$C$129,Assumptions!$C$130,Assumptions!$C$131))))</f>
        <v>170.098936985727</v>
      </c>
      <c r="X48" s="14" t="n">
        <f aca="false">IF(X47=0,0,IF(X$4=Assumptions!$C$127,Assumptions!$C$128,W48*(1+CHOOSE(X$6,Assumptions!$C$129,Assumptions!$C$130,Assumptions!$C$131))))</f>
        <v>173.500915725442</v>
      </c>
      <c r="Y48" s="14" t="n">
        <f aca="false">IF(Y47=0,0,IF(Y$4=Assumptions!$C$127,Assumptions!$C$128,X48*(1+CHOOSE(Y$6,Assumptions!$C$129,Assumptions!$C$130,Assumptions!$C$131))))</f>
        <v>176.97093403995</v>
      </c>
      <c r="Z48" s="14" t="n">
        <f aca="false">IF(Z47=0,0,IF(Z$4=Assumptions!$C$127,Assumptions!$C$128,Y48*(1+CHOOSE(Z$6,Assumptions!$C$129,Assumptions!$C$130,Assumptions!$C$131))))</f>
        <v>180.510352720749</v>
      </c>
      <c r="AA48" s="14" t="n">
        <f aca="false">IF(AA47=0,0,IF(AA$4=Assumptions!$C$127,Assumptions!$C$128,Z48*(1+CHOOSE(AA$6,Assumptions!$C$129,Assumptions!$C$130,Assumptions!$C$131))))</f>
        <v>182.315456247957</v>
      </c>
      <c r="AB48" s="14" t="n">
        <f aca="false">IF(AB47=0,0,IF(AB$4=Assumptions!$C$127,Assumptions!$C$128,AA48*(1+CHOOSE(AB$6,Assumptions!$C$129,Assumptions!$C$130,Assumptions!$C$131))))</f>
        <v>184.138610810436</v>
      </c>
      <c r="AC48" s="14" t="n">
        <f aca="false">IF(AC47=0,0,IF(AC$4=Assumptions!$C$127,Assumptions!$C$128,AB48*(1+CHOOSE(AC$6,Assumptions!$C$129,Assumptions!$C$130,Assumptions!$C$131))))</f>
        <v>185.979996918541</v>
      </c>
      <c r="AD48" s="14" t="n">
        <f aca="false">IF(AD47=0,0,IF(AD$4=Assumptions!$C$127,Assumptions!$C$128,AC48*(1+CHOOSE(AD$6,Assumptions!$C$129,Assumptions!$C$130,Assumptions!$C$131))))</f>
        <v>187.839796887726</v>
      </c>
      <c r="AE48" s="14" t="n">
        <f aca="false">IF(AE47=0,0,IF(AE$4=Assumptions!$C$127,Assumptions!$C$128,AD48*(1+CHOOSE(AE$6,Assumptions!$C$129,Assumptions!$C$130,Assumptions!$C$131))))</f>
        <v>189.718194856603</v>
      </c>
      <c r="AF48" s="14" t="n">
        <f aca="false">IF(AF47=0,0,IF(AF$4=Assumptions!$C$127,Assumptions!$C$128,AE48*(1+CHOOSE(AF$6,Assumptions!$C$129,Assumptions!$C$130,Assumptions!$C$131))))</f>
        <v>191.61537680517</v>
      </c>
      <c r="AG48" s="14" t="n">
        <f aca="false">IF(AG47=0,0,IF(AG$4=Assumptions!$C$127,Assumptions!$C$128,AF48*(1+CHOOSE(AG$6,Assumptions!$C$129,Assumptions!$C$130,Assumptions!$C$131))))</f>
        <v>193.531530573221</v>
      </c>
      <c r="AH48" s="14" t="n">
        <f aca="false">IF(AH47=0,0,IF(AH$4=Assumptions!$C$127,Assumptions!$C$128,AG48*(1+CHOOSE(AH$6,Assumptions!$C$129,Assumptions!$C$130,Assumptions!$C$131))))</f>
        <v>195.466845878953</v>
      </c>
      <c r="AI48" s="14" t="n">
        <f aca="false">IF(AI47=0,0,IF(AI$4=Assumptions!$C$127,Assumptions!$C$128,AH48*(1+CHOOSE(AI$6,Assumptions!$C$129,Assumptions!$C$130,Assumptions!$C$131))))</f>
        <v>197.421514337743</v>
      </c>
      <c r="AJ48" s="14" t="n">
        <f aca="false">IF(AJ47=0,0,IF(AJ$4=Assumptions!$C$127,Assumptions!$C$128,AI48*(1+CHOOSE(AJ$6,Assumptions!$C$129,Assumptions!$C$130,Assumptions!$C$131))))</f>
        <v>199.39572948112</v>
      </c>
      <c r="AK48" s="14" t="n">
        <f aca="false">IF(AK47=0,0,IF(AK$4=Assumptions!$C$127,Assumptions!$C$128,AJ48*(1+CHOOSE(AK$6,Assumptions!$C$129,Assumptions!$C$130,Assumptions!$C$131))))</f>
        <v>201.389686775932</v>
      </c>
      <c r="AL48" s="14" t="n">
        <f aca="false">IF(AL47=0,0,IF(AL$4=Assumptions!$C$127,Assumptions!$C$128,AK48*(1+CHOOSE(AL$6,Assumptions!$C$129,Assumptions!$C$130,Assumptions!$C$131))))</f>
        <v>203.403583643691</v>
      </c>
    </row>
    <row r="49" customFormat="false" ht="15" hidden="false" customHeight="false" outlineLevel="0" collapsed="false">
      <c r="A49" s="7" t="s">
        <v>768</v>
      </c>
      <c r="B49" s="9" t="s">
        <v>327</v>
      </c>
      <c r="C49" s="52" t="n">
        <f aca="false">C48*C$7</f>
        <v>0</v>
      </c>
      <c r="D49" s="52" t="n">
        <f aca="false">D48*D$7</f>
        <v>0</v>
      </c>
      <c r="E49" s="52" t="n">
        <f aca="false">E48*E$7</f>
        <v>135</v>
      </c>
      <c r="F49" s="52" t="n">
        <f aca="false">F48*F$7</f>
        <v>130</v>
      </c>
      <c r="G49" s="52" t="n">
        <f aca="false">G48*G$7</f>
        <v>97.344</v>
      </c>
      <c r="H49" s="52" t="n">
        <f aca="false">H48*H$7</f>
        <v>112.4864</v>
      </c>
      <c r="I49" s="52" t="n">
        <f aca="false">I48*I$7</f>
        <v>122.8351488</v>
      </c>
      <c r="J49" s="52" t="n">
        <f aca="false">J48*J$7</f>
        <v>115.582025728</v>
      </c>
      <c r="K49" s="52" t="n">
        <f aca="false">K48*K$7</f>
        <v>126.5319018496</v>
      </c>
      <c r="L49" s="52" t="n">
        <f aca="false">L48*L$7</f>
        <v>125.013519027405</v>
      </c>
      <c r="M49" s="52" t="n">
        <f aca="false">M48*M$7</f>
        <v>116.328369284448</v>
      </c>
      <c r="N49" s="52" t="n">
        <f aca="false">N48*N$7</f>
        <v>120.981504055826</v>
      </c>
      <c r="O49" s="52" t="n">
        <f aca="false">O48*O$7</f>
        <v>137.918914623642</v>
      </c>
      <c r="P49" s="52" t="n">
        <f aca="false">P48*P$7</f>
        <v>192.505769253631</v>
      </c>
      <c r="Q49" s="52" t="n">
        <f aca="false">Q48*Q$7</f>
        <v>203.908034047884</v>
      </c>
      <c r="R49" s="52" t="n">
        <f aca="false">R48*R$7</f>
        <v>192.579809934113</v>
      </c>
      <c r="S49" s="52" t="n">
        <f aca="false">S48*S$7</f>
        <v>141.430612415613</v>
      </c>
      <c r="T49" s="52" t="n">
        <f aca="false">T48*T$7</f>
        <v>160.288027404361</v>
      </c>
      <c r="U49" s="52" t="n">
        <f aca="false">U48*U$7</f>
        <v>171.66847735007</v>
      </c>
      <c r="V49" s="52" t="n">
        <f aca="false">V48*V$7</f>
        <v>158.425480525922</v>
      </c>
      <c r="W49" s="52" t="n">
        <f aca="false">W48*W$7</f>
        <v>170.098936985727</v>
      </c>
      <c r="X49" s="52" t="n">
        <f aca="false">X48*X$7</f>
        <v>164.825869939169</v>
      </c>
      <c r="Y49" s="52" t="n">
        <f aca="false">Y48*Y$7</f>
        <v>150.425293933958</v>
      </c>
      <c r="Z49" s="52" t="n">
        <f aca="false">Z48*Z$7</f>
        <v>153.433799812637</v>
      </c>
      <c r="AA49" s="52" t="n">
        <f aca="false">AA48*AA$7</f>
        <v>173.199683435559</v>
      </c>
      <c r="AB49" s="52" t="n">
        <f aca="false">AB48*AB$7</f>
        <v>239.380194053567</v>
      </c>
      <c r="AC49" s="52" t="n">
        <f aca="false">AC48*AC$7</f>
        <v>251.07299584003</v>
      </c>
      <c r="AD49" s="52" t="n">
        <f aca="false">AD48*AD$7</f>
        <v>234.799746109658</v>
      </c>
      <c r="AE49" s="52" t="n">
        <f aca="false">AE48*AE$7</f>
        <v>170.746375370943</v>
      </c>
      <c r="AF49" s="52" t="n">
        <f aca="false">AF48*AF$7</f>
        <v>191.61537680517</v>
      </c>
      <c r="AG49" s="52" t="n">
        <f aca="false">AG48*AG$7</f>
        <v>203.208107101882</v>
      </c>
      <c r="AH49" s="52" t="n">
        <f aca="false">AH48*AH$7</f>
        <v>185.693503585006</v>
      </c>
      <c r="AI49" s="52" t="n">
        <f aca="false">AI48*AI$7</f>
        <v>197.421514337743</v>
      </c>
      <c r="AJ49" s="52" t="n">
        <f aca="false">AJ48*AJ$7</f>
        <v>189.425943007064</v>
      </c>
      <c r="AK49" s="52" t="n">
        <f aca="false">AK48*AK$7</f>
        <v>171.181233759542</v>
      </c>
      <c r="AL49" s="52" t="n">
        <f aca="false">AL48*AL$7</f>
        <v>172.893046097137</v>
      </c>
      <c r="AM49" s="53" t="n">
        <f aca="false">SUMIF($C$6:$AL$6,1,C49:AL49)</f>
        <v>1202.10286874528</v>
      </c>
      <c r="AN49" s="53" t="n">
        <f aca="false">SUMIF($C$6:$AL$6,2,C49:AL49)</f>
        <v>1997.50902622673</v>
      </c>
      <c r="AO49" s="53" t="n">
        <f aca="false">SUMIF($C$6:$AL$6,3,C49:AL49)</f>
        <v>2380.6377195033</v>
      </c>
      <c r="AP49" s="53" t="n">
        <f aca="false">SUM(C49:AL49)</f>
        <v>5580.24961447531</v>
      </c>
    </row>
    <row r="50" customFormat="false" ht="15" hidden="false" customHeight="false" outlineLevel="0" collapsed="false">
      <c r="A50" s="7" t="s">
        <v>758</v>
      </c>
      <c r="B50" s="9" t="s">
        <v>96</v>
      </c>
      <c r="C50" s="54" t="n">
        <f aca="false">Assumptions!$C$132*MIN(1,(C$4-Assumptions!$C$127+1)/Assumptions!$C$10)*C47</f>
        <v>-0</v>
      </c>
      <c r="D50" s="54" t="n">
        <f aca="false">Assumptions!$C$132*MIN(1,(D$4-Assumptions!$C$127+1)/Assumptions!$C$10)*D47</f>
        <v>0</v>
      </c>
      <c r="E50" s="54" t="n">
        <f aca="false">Assumptions!$C$132*MIN(1,(E$4-Assumptions!$C$127+1)/Assumptions!$C$10)*E47</f>
        <v>0.00333333333333333</v>
      </c>
      <c r="F50" s="54" t="n">
        <f aca="false">Assumptions!$C$132*MIN(1,(F$4-Assumptions!$C$127+1)/Assumptions!$C$10)*F47</f>
        <v>0.00666666666666667</v>
      </c>
      <c r="G50" s="54" t="n">
        <f aca="false">Assumptions!$C$132*MIN(1,(G$4-Assumptions!$C$127+1)/Assumptions!$C$10)*G47</f>
        <v>0.01</v>
      </c>
      <c r="H50" s="54" t="n">
        <f aca="false">Assumptions!$C$132*MIN(1,(H$4-Assumptions!$C$127+1)/Assumptions!$C$10)*H47</f>
        <v>0.0133333333333333</v>
      </c>
      <c r="I50" s="54" t="n">
        <f aca="false">Assumptions!$C$132*MIN(1,(I$4-Assumptions!$C$127+1)/Assumptions!$C$10)*I47</f>
        <v>0.0166666666666667</v>
      </c>
      <c r="J50" s="54" t="n">
        <f aca="false">Assumptions!$C$132*MIN(1,(J$4-Assumptions!$C$127+1)/Assumptions!$C$10)*J47</f>
        <v>0.02</v>
      </c>
      <c r="K50" s="54" t="n">
        <f aca="false">Assumptions!$C$132*MIN(1,(K$4-Assumptions!$C$127+1)/Assumptions!$C$10)*K47</f>
        <v>0.02</v>
      </c>
      <c r="L50" s="54" t="n">
        <f aca="false">Assumptions!$C$132*MIN(1,(L$4-Assumptions!$C$127+1)/Assumptions!$C$10)*L47</f>
        <v>0.02</v>
      </c>
      <c r="M50" s="54" t="n">
        <f aca="false">Assumptions!$C$132*MIN(1,(M$4-Assumptions!$C$127+1)/Assumptions!$C$10)*M47</f>
        <v>0.02</v>
      </c>
      <c r="N50" s="54" t="n">
        <f aca="false">Assumptions!$C$132*MIN(1,(N$4-Assumptions!$C$127+1)/Assumptions!$C$10)*N47</f>
        <v>0.02</v>
      </c>
      <c r="O50" s="54" t="n">
        <f aca="false">Assumptions!$C$132*MIN(1,(O$4-Assumptions!$C$127+1)/Assumptions!$C$10)*O47</f>
        <v>0.02</v>
      </c>
      <c r="P50" s="54" t="n">
        <f aca="false">Assumptions!$C$132*MIN(1,(P$4-Assumptions!$C$127+1)/Assumptions!$C$10)*P47</f>
        <v>0.02</v>
      </c>
      <c r="Q50" s="54" t="n">
        <f aca="false">Assumptions!$C$132*MIN(1,(Q$4-Assumptions!$C$127+1)/Assumptions!$C$10)*Q47</f>
        <v>0.02</v>
      </c>
      <c r="R50" s="54" t="n">
        <f aca="false">Assumptions!$C$132*MIN(1,(R$4-Assumptions!$C$127+1)/Assumptions!$C$10)*R47</f>
        <v>0.02</v>
      </c>
      <c r="S50" s="54" t="n">
        <f aca="false">Assumptions!$C$132*MIN(1,(S$4-Assumptions!$C$127+1)/Assumptions!$C$10)*S47</f>
        <v>0.02</v>
      </c>
      <c r="T50" s="54" t="n">
        <f aca="false">Assumptions!$C$132*MIN(1,(T$4-Assumptions!$C$127+1)/Assumptions!$C$10)*T47</f>
        <v>0.02</v>
      </c>
      <c r="U50" s="54" t="n">
        <f aca="false">Assumptions!$C$132*MIN(1,(U$4-Assumptions!$C$127+1)/Assumptions!$C$10)*U47</f>
        <v>0.02</v>
      </c>
      <c r="V50" s="54" t="n">
        <f aca="false">Assumptions!$C$132*MIN(1,(V$4-Assumptions!$C$127+1)/Assumptions!$C$10)*V47</f>
        <v>0.02</v>
      </c>
      <c r="W50" s="54" t="n">
        <f aca="false">Assumptions!$C$132*MIN(1,(W$4-Assumptions!$C$127+1)/Assumptions!$C$10)*W47</f>
        <v>0.02</v>
      </c>
      <c r="X50" s="54" t="n">
        <f aca="false">Assumptions!$C$132*MIN(1,(X$4-Assumptions!$C$127+1)/Assumptions!$C$10)*X47</f>
        <v>0.02</v>
      </c>
      <c r="Y50" s="54" t="n">
        <f aca="false">Assumptions!$C$132*MIN(1,(Y$4-Assumptions!$C$127+1)/Assumptions!$C$10)*Y47</f>
        <v>0.02</v>
      </c>
      <c r="Z50" s="54" t="n">
        <f aca="false">Assumptions!$C$132*MIN(1,(Z$4-Assumptions!$C$127+1)/Assumptions!$C$10)*Z47</f>
        <v>0.02</v>
      </c>
      <c r="AA50" s="54" t="n">
        <f aca="false">Assumptions!$C$132*MIN(1,(AA$4-Assumptions!$C$127+1)/Assumptions!$C$10)*AA47</f>
        <v>0.02</v>
      </c>
      <c r="AB50" s="54" t="n">
        <f aca="false">Assumptions!$C$132*MIN(1,(AB$4-Assumptions!$C$127+1)/Assumptions!$C$10)*AB47</f>
        <v>0.02</v>
      </c>
      <c r="AC50" s="54" t="n">
        <f aca="false">Assumptions!$C$132*MIN(1,(AC$4-Assumptions!$C$127+1)/Assumptions!$C$10)*AC47</f>
        <v>0.02</v>
      </c>
      <c r="AD50" s="54" t="n">
        <f aca="false">Assumptions!$C$132*MIN(1,(AD$4-Assumptions!$C$127+1)/Assumptions!$C$10)*AD47</f>
        <v>0.02</v>
      </c>
      <c r="AE50" s="54" t="n">
        <f aca="false">Assumptions!$C$132*MIN(1,(AE$4-Assumptions!$C$127+1)/Assumptions!$C$10)*AE47</f>
        <v>0.02</v>
      </c>
      <c r="AF50" s="54" t="n">
        <f aca="false">Assumptions!$C$132*MIN(1,(AF$4-Assumptions!$C$127+1)/Assumptions!$C$10)*AF47</f>
        <v>0.02</v>
      </c>
      <c r="AG50" s="54" t="n">
        <f aca="false">Assumptions!$C$132*MIN(1,(AG$4-Assumptions!$C$127+1)/Assumptions!$C$10)*AG47</f>
        <v>0.02</v>
      </c>
      <c r="AH50" s="54" t="n">
        <f aca="false">Assumptions!$C$132*MIN(1,(AH$4-Assumptions!$C$127+1)/Assumptions!$C$10)*AH47</f>
        <v>0.02</v>
      </c>
      <c r="AI50" s="54" t="n">
        <f aca="false">Assumptions!$C$132*MIN(1,(AI$4-Assumptions!$C$127+1)/Assumptions!$C$10)*AI47</f>
        <v>0.02</v>
      </c>
      <c r="AJ50" s="54" t="n">
        <f aca="false">Assumptions!$C$132*MIN(1,(AJ$4-Assumptions!$C$127+1)/Assumptions!$C$10)*AJ47</f>
        <v>0.02</v>
      </c>
      <c r="AK50" s="54" t="n">
        <f aca="false">Assumptions!$C$132*MIN(1,(AK$4-Assumptions!$C$127+1)/Assumptions!$C$10)*AK47</f>
        <v>0.02</v>
      </c>
      <c r="AL50" s="54" t="n">
        <f aca="false">Assumptions!$C$132*MIN(1,(AL$4-Assumptions!$C$127+1)/Assumptions!$C$10)*AL47</f>
        <v>0.02</v>
      </c>
    </row>
    <row r="51" customFormat="false" ht="15" hidden="false" customHeight="false" outlineLevel="0" collapsed="false">
      <c r="A51" s="7" t="s">
        <v>766</v>
      </c>
      <c r="B51" s="9" t="s">
        <v>760</v>
      </c>
      <c r="C51" s="55" t="n">
        <f aca="false">C49*C50</f>
        <v>-0</v>
      </c>
      <c r="D51" s="55" t="n">
        <f aca="false">D49*D50</f>
        <v>0</v>
      </c>
      <c r="E51" s="55" t="n">
        <f aca="false">E49*E50</f>
        <v>0.45</v>
      </c>
      <c r="F51" s="55" t="n">
        <f aca="false">F49*F50</f>
        <v>0.866666666666667</v>
      </c>
      <c r="G51" s="55" t="n">
        <f aca="false">G49*G50</f>
        <v>0.97344</v>
      </c>
      <c r="H51" s="55" t="n">
        <f aca="false">H49*H50</f>
        <v>1.49981866666667</v>
      </c>
      <c r="I51" s="55" t="n">
        <f aca="false">I49*I50</f>
        <v>2.04725248</v>
      </c>
      <c r="J51" s="55" t="n">
        <f aca="false">J49*J50</f>
        <v>2.31164051456</v>
      </c>
      <c r="K51" s="55" t="n">
        <f aca="false">K49*K50</f>
        <v>2.530638036992</v>
      </c>
      <c r="L51" s="55" t="n">
        <f aca="false">L49*L50</f>
        <v>2.5002703805481</v>
      </c>
      <c r="M51" s="55" t="n">
        <f aca="false">M49*M50</f>
        <v>2.32656738568897</v>
      </c>
      <c r="N51" s="55" t="n">
        <f aca="false">N49*N50</f>
        <v>2.41963008111652</v>
      </c>
      <c r="O51" s="55" t="n">
        <f aca="false">O49*O50</f>
        <v>2.75837829247284</v>
      </c>
      <c r="P51" s="55" t="n">
        <f aca="false">P49*P50</f>
        <v>3.85011538507261</v>
      </c>
      <c r="Q51" s="55" t="n">
        <f aca="false">Q49*Q50</f>
        <v>4.07816068095769</v>
      </c>
      <c r="R51" s="55" t="n">
        <f aca="false">R49*R50</f>
        <v>3.85159619868226</v>
      </c>
      <c r="S51" s="55" t="n">
        <f aca="false">S49*S50</f>
        <v>2.82861224831225</v>
      </c>
      <c r="T51" s="55" t="n">
        <f aca="false">T49*T50</f>
        <v>3.20576054808722</v>
      </c>
      <c r="U51" s="55" t="n">
        <f aca="false">U49*U50</f>
        <v>3.43336954700141</v>
      </c>
      <c r="V51" s="55" t="n">
        <f aca="false">V49*V50</f>
        <v>3.16850961051844</v>
      </c>
      <c r="W51" s="55" t="n">
        <f aca="false">W49*W50</f>
        <v>3.40197873971454</v>
      </c>
      <c r="X51" s="55" t="n">
        <f aca="false">X49*X50</f>
        <v>3.29651739878339</v>
      </c>
      <c r="Y51" s="55" t="n">
        <f aca="false">Y49*Y50</f>
        <v>3.00850587867916</v>
      </c>
      <c r="Z51" s="55" t="n">
        <f aca="false">Z49*Z50</f>
        <v>3.06867599625274</v>
      </c>
      <c r="AA51" s="55" t="n">
        <f aca="false">AA49*AA50</f>
        <v>3.46399366871118</v>
      </c>
      <c r="AB51" s="55" t="n">
        <f aca="false">AB49*AB50</f>
        <v>4.78760388107135</v>
      </c>
      <c r="AC51" s="55" t="n">
        <f aca="false">AC49*AC50</f>
        <v>5.0214599168006</v>
      </c>
      <c r="AD51" s="55" t="n">
        <f aca="false">AD49*AD50</f>
        <v>4.69599492219315</v>
      </c>
      <c r="AE51" s="55" t="n">
        <f aca="false">AE49*AE50</f>
        <v>3.41492750741886</v>
      </c>
      <c r="AF51" s="55" t="n">
        <f aca="false">AF49*AF50</f>
        <v>3.83230753610339</v>
      </c>
      <c r="AG51" s="55" t="n">
        <f aca="false">AG49*AG50</f>
        <v>4.06416214203764</v>
      </c>
      <c r="AH51" s="55" t="n">
        <f aca="false">AH49*AH50</f>
        <v>3.71387007170011</v>
      </c>
      <c r="AI51" s="55" t="n">
        <f aca="false">AI49*AI50</f>
        <v>3.94843028675486</v>
      </c>
      <c r="AJ51" s="55" t="n">
        <f aca="false">AJ49*AJ50</f>
        <v>3.78851886014129</v>
      </c>
      <c r="AK51" s="55" t="n">
        <f aca="false">AK49*AK50</f>
        <v>3.42362467519084</v>
      </c>
      <c r="AL51" s="55" t="n">
        <f aca="false">AL49*AL50</f>
        <v>3.45786092194275</v>
      </c>
      <c r="AM51" s="53" t="n">
        <f aca="false">SUMIF($C$6:$AL$6,1,C51:AL51)</f>
        <v>17.9259242122389</v>
      </c>
      <c r="AN51" s="53" t="n">
        <f aca="false">SUMIF($C$6:$AL$6,2,C51:AL51)</f>
        <v>39.9501805245345</v>
      </c>
      <c r="AO51" s="53" t="n">
        <f aca="false">SUMIF($C$6:$AL$6,3,C51:AL51)</f>
        <v>47.612754390066</v>
      </c>
      <c r="AP51" s="53" t="n">
        <f aca="false">SUM(C51:AL51)</f>
        <v>105.488859126839</v>
      </c>
    </row>
    <row r="52" customFormat="false" ht="15" hidden="false" customHeight="false" outlineLevel="0" collapsed="false">
      <c r="A52" s="7" t="s">
        <v>761</v>
      </c>
      <c r="B52" s="9" t="s">
        <v>342</v>
      </c>
      <c r="C52" s="56" t="n">
        <f aca="false">C51*Assumptions!$C$133</f>
        <v>-0</v>
      </c>
      <c r="D52" s="56" t="n">
        <f aca="false">D51*Assumptions!$C$133</f>
        <v>0</v>
      </c>
      <c r="E52" s="56" t="n">
        <f aca="false">E51*Assumptions!$C$133</f>
        <v>0.45</v>
      </c>
      <c r="F52" s="56" t="n">
        <f aca="false">F51*Assumptions!$C$133</f>
        <v>0.866666666666667</v>
      </c>
      <c r="G52" s="56" t="n">
        <f aca="false">G51*Assumptions!$C$133</f>
        <v>0.97344</v>
      </c>
      <c r="H52" s="56" t="n">
        <f aca="false">H51*Assumptions!$C$133</f>
        <v>1.49981866666667</v>
      </c>
      <c r="I52" s="56" t="n">
        <f aca="false">I51*Assumptions!$C$133</f>
        <v>2.04725248</v>
      </c>
      <c r="J52" s="56" t="n">
        <f aca="false">J51*Assumptions!$C$133</f>
        <v>2.31164051456</v>
      </c>
      <c r="K52" s="56" t="n">
        <f aca="false">K51*Assumptions!$C$133</f>
        <v>2.530638036992</v>
      </c>
      <c r="L52" s="56" t="n">
        <f aca="false">L51*Assumptions!$C$133</f>
        <v>2.5002703805481</v>
      </c>
      <c r="M52" s="56" t="n">
        <f aca="false">M51*Assumptions!$C$133</f>
        <v>2.32656738568897</v>
      </c>
      <c r="N52" s="56" t="n">
        <f aca="false">N51*Assumptions!$C$133</f>
        <v>2.41963008111652</v>
      </c>
      <c r="O52" s="56" t="n">
        <f aca="false">O51*Assumptions!$C$133</f>
        <v>2.75837829247284</v>
      </c>
      <c r="P52" s="56" t="n">
        <f aca="false">P51*Assumptions!$C$133</f>
        <v>3.85011538507261</v>
      </c>
      <c r="Q52" s="56" t="n">
        <f aca="false">Q51*Assumptions!$C$133</f>
        <v>4.07816068095769</v>
      </c>
      <c r="R52" s="56" t="n">
        <f aca="false">R51*Assumptions!$C$133</f>
        <v>3.85159619868226</v>
      </c>
      <c r="S52" s="56" t="n">
        <f aca="false">S51*Assumptions!$C$133</f>
        <v>2.82861224831225</v>
      </c>
      <c r="T52" s="56" t="n">
        <f aca="false">T51*Assumptions!$C$133</f>
        <v>3.20576054808722</v>
      </c>
      <c r="U52" s="56" t="n">
        <f aca="false">U51*Assumptions!$C$133</f>
        <v>3.43336954700141</v>
      </c>
      <c r="V52" s="56" t="n">
        <f aca="false">V51*Assumptions!$C$133</f>
        <v>3.16850961051844</v>
      </c>
      <c r="W52" s="56" t="n">
        <f aca="false">W51*Assumptions!$C$133</f>
        <v>3.40197873971454</v>
      </c>
      <c r="X52" s="56" t="n">
        <f aca="false">X51*Assumptions!$C$133</f>
        <v>3.29651739878339</v>
      </c>
      <c r="Y52" s="56" t="n">
        <f aca="false">Y51*Assumptions!$C$133</f>
        <v>3.00850587867916</v>
      </c>
      <c r="Z52" s="56" t="n">
        <f aca="false">Z51*Assumptions!$C$133</f>
        <v>3.06867599625274</v>
      </c>
      <c r="AA52" s="56" t="n">
        <f aca="false">AA51*Assumptions!$C$133</f>
        <v>3.46399366871118</v>
      </c>
      <c r="AB52" s="56" t="n">
        <f aca="false">AB51*Assumptions!$C$133</f>
        <v>4.78760388107135</v>
      </c>
      <c r="AC52" s="56" t="n">
        <f aca="false">AC51*Assumptions!$C$133</f>
        <v>5.0214599168006</v>
      </c>
      <c r="AD52" s="56" t="n">
        <f aca="false">AD51*Assumptions!$C$133</f>
        <v>4.69599492219315</v>
      </c>
      <c r="AE52" s="56" t="n">
        <f aca="false">AE51*Assumptions!$C$133</f>
        <v>3.41492750741886</v>
      </c>
      <c r="AF52" s="56" t="n">
        <f aca="false">AF51*Assumptions!$C$133</f>
        <v>3.83230753610339</v>
      </c>
      <c r="AG52" s="56" t="n">
        <f aca="false">AG51*Assumptions!$C$133</f>
        <v>4.06416214203764</v>
      </c>
      <c r="AH52" s="56" t="n">
        <f aca="false">AH51*Assumptions!$C$133</f>
        <v>3.71387007170011</v>
      </c>
      <c r="AI52" s="56" t="n">
        <f aca="false">AI51*Assumptions!$C$133</f>
        <v>3.94843028675486</v>
      </c>
      <c r="AJ52" s="56" t="n">
        <f aca="false">AJ51*Assumptions!$C$133</f>
        <v>3.78851886014129</v>
      </c>
      <c r="AK52" s="56" t="n">
        <f aca="false">AK51*Assumptions!$C$133</f>
        <v>3.42362467519084</v>
      </c>
      <c r="AL52" s="56" t="n">
        <f aca="false">AL51*Assumptions!$C$133</f>
        <v>3.45786092194275</v>
      </c>
      <c r="AM52" s="53" t="n">
        <f aca="false">SUMIF($C$6:$AL$6,1,C52:AL52)</f>
        <v>17.9259242122389</v>
      </c>
      <c r="AN52" s="53" t="n">
        <f aca="false">SUMIF($C$6:$AL$6,2,C52:AL52)</f>
        <v>39.9501805245345</v>
      </c>
      <c r="AO52" s="53" t="n">
        <f aca="false">SUMIF($C$6:$AL$6,3,C52:AL52)</f>
        <v>47.612754390066</v>
      </c>
      <c r="AP52" s="53" t="n">
        <f aca="false">SUM(C52:AL52)</f>
        <v>105.488859126839</v>
      </c>
    </row>
    <row r="53" customFormat="false" ht="15" hidden="false" customHeight="false" outlineLevel="0" collapsed="false">
      <c r="A53" s="7" t="s">
        <v>762</v>
      </c>
      <c r="B53" s="9" t="s">
        <v>101</v>
      </c>
      <c r="C53" s="15" t="n">
        <f aca="false">'Unit Economics'!$E$53*Assumptions!$C$133*C47</f>
        <v>0</v>
      </c>
      <c r="D53" s="15" t="n">
        <f aca="false">'Unit Economics'!$E$53*Assumptions!$C$133*D47</f>
        <v>0</v>
      </c>
      <c r="E53" s="15" t="n">
        <f aca="false">'Unit Economics'!$E$53*Assumptions!$C$133*E47</f>
        <v>17.79</v>
      </c>
      <c r="F53" s="15" t="n">
        <f aca="false">'Unit Economics'!$E$53*Assumptions!$C$133*F47</f>
        <v>17.79</v>
      </c>
      <c r="G53" s="15" t="n">
        <f aca="false">'Unit Economics'!$E$53*Assumptions!$C$133*G47</f>
        <v>17.79</v>
      </c>
      <c r="H53" s="15" t="n">
        <f aca="false">'Unit Economics'!$E$53*Assumptions!$C$133*H47</f>
        <v>17.79</v>
      </c>
      <c r="I53" s="15" t="n">
        <f aca="false">'Unit Economics'!$E$53*Assumptions!$C$133*I47</f>
        <v>17.79</v>
      </c>
      <c r="J53" s="15" t="n">
        <f aca="false">'Unit Economics'!$E$53*Assumptions!$C$133*J47</f>
        <v>17.79</v>
      </c>
      <c r="K53" s="15" t="n">
        <f aca="false">'Unit Economics'!$E$53*Assumptions!$C$133*K47</f>
        <v>17.79</v>
      </c>
      <c r="L53" s="15" t="n">
        <f aca="false">'Unit Economics'!$E$53*Assumptions!$C$133*L47</f>
        <v>17.79</v>
      </c>
      <c r="M53" s="15" t="n">
        <f aca="false">'Unit Economics'!$E$53*Assumptions!$C$133*M47</f>
        <v>17.79</v>
      </c>
      <c r="N53" s="15" t="n">
        <f aca="false">'Unit Economics'!$E$53*Assumptions!$C$133*N47</f>
        <v>17.79</v>
      </c>
      <c r="O53" s="15" t="n">
        <f aca="false">'Unit Economics'!$E$53*Assumptions!$C$133*O47</f>
        <v>17.79</v>
      </c>
      <c r="P53" s="15" t="n">
        <f aca="false">'Unit Economics'!$E$53*Assumptions!$C$133*P47</f>
        <v>17.79</v>
      </c>
      <c r="Q53" s="15" t="n">
        <f aca="false">'Unit Economics'!$E$53*Assumptions!$C$133*Q47</f>
        <v>17.79</v>
      </c>
      <c r="R53" s="15" t="n">
        <f aca="false">'Unit Economics'!$E$53*Assumptions!$C$133*R47</f>
        <v>17.79</v>
      </c>
      <c r="S53" s="15" t="n">
        <f aca="false">'Unit Economics'!$E$53*Assumptions!$C$133*S47</f>
        <v>17.79</v>
      </c>
      <c r="T53" s="15" t="n">
        <f aca="false">'Unit Economics'!$E$53*Assumptions!$C$133*T47</f>
        <v>17.79</v>
      </c>
      <c r="U53" s="15" t="n">
        <f aca="false">'Unit Economics'!$E$53*Assumptions!$C$133*U47</f>
        <v>17.79</v>
      </c>
      <c r="V53" s="15" t="n">
        <f aca="false">'Unit Economics'!$E$53*Assumptions!$C$133*V47</f>
        <v>17.79</v>
      </c>
      <c r="W53" s="15" t="n">
        <f aca="false">'Unit Economics'!$E$53*Assumptions!$C$133*W47</f>
        <v>17.79</v>
      </c>
      <c r="X53" s="15" t="n">
        <f aca="false">'Unit Economics'!$E$53*Assumptions!$C$133*X47</f>
        <v>17.79</v>
      </c>
      <c r="Y53" s="15" t="n">
        <f aca="false">'Unit Economics'!$E$53*Assumptions!$C$133*Y47</f>
        <v>17.79</v>
      </c>
      <c r="Z53" s="15" t="n">
        <f aca="false">'Unit Economics'!$E$53*Assumptions!$C$133*Z47</f>
        <v>17.79</v>
      </c>
      <c r="AA53" s="15" t="n">
        <f aca="false">'Unit Economics'!$E$53*Assumptions!$C$133*AA47</f>
        <v>17.79</v>
      </c>
      <c r="AB53" s="15" t="n">
        <f aca="false">'Unit Economics'!$E$53*Assumptions!$C$133*AB47</f>
        <v>17.79</v>
      </c>
      <c r="AC53" s="15" t="n">
        <f aca="false">'Unit Economics'!$E$53*Assumptions!$C$133*AC47</f>
        <v>17.79</v>
      </c>
      <c r="AD53" s="15" t="n">
        <f aca="false">'Unit Economics'!$E$53*Assumptions!$C$133*AD47</f>
        <v>17.79</v>
      </c>
      <c r="AE53" s="15" t="n">
        <f aca="false">'Unit Economics'!$E$53*Assumptions!$C$133*AE47</f>
        <v>17.79</v>
      </c>
      <c r="AF53" s="15" t="n">
        <f aca="false">'Unit Economics'!$E$53*Assumptions!$C$133*AF47</f>
        <v>17.79</v>
      </c>
      <c r="AG53" s="15" t="n">
        <f aca="false">'Unit Economics'!$E$53*Assumptions!$C$133*AG47</f>
        <v>17.79</v>
      </c>
      <c r="AH53" s="15" t="n">
        <f aca="false">'Unit Economics'!$E$53*Assumptions!$C$133*AH47</f>
        <v>17.79</v>
      </c>
      <c r="AI53" s="15" t="n">
        <f aca="false">'Unit Economics'!$E$53*Assumptions!$C$133*AI47</f>
        <v>17.79</v>
      </c>
      <c r="AJ53" s="15" t="n">
        <f aca="false">'Unit Economics'!$E$53*Assumptions!$C$133*AJ47</f>
        <v>17.79</v>
      </c>
      <c r="AK53" s="15" t="n">
        <f aca="false">'Unit Economics'!$E$53*Assumptions!$C$133*AK47</f>
        <v>17.79</v>
      </c>
      <c r="AL53" s="15" t="n">
        <f aca="false">'Unit Economics'!$E$53*Assumptions!$C$133*AL47</f>
        <v>17.79</v>
      </c>
    </row>
    <row r="54" customFormat="false" ht="15" hidden="false" customHeight="false" outlineLevel="0" collapsed="false">
      <c r="A54" s="7" t="s">
        <v>763</v>
      </c>
      <c r="B54" s="9" t="s">
        <v>101</v>
      </c>
      <c r="C54" s="8" t="n">
        <f aca="false">C52*'Unit Economics'!$E$53</f>
        <v>-0</v>
      </c>
      <c r="D54" s="8" t="n">
        <f aca="false">D52*'Unit Economics'!$E$53</f>
        <v>0</v>
      </c>
      <c r="E54" s="8" t="n">
        <f aca="false">E52*'Unit Economics'!$E$53</f>
        <v>8.0055</v>
      </c>
      <c r="F54" s="8" t="n">
        <f aca="false">F52*'Unit Economics'!$E$53</f>
        <v>15.418</v>
      </c>
      <c r="G54" s="8" t="n">
        <f aca="false">G52*'Unit Economics'!$E$53</f>
        <v>17.3174976</v>
      </c>
      <c r="H54" s="8" t="n">
        <f aca="false">H52*'Unit Economics'!$E$53</f>
        <v>26.68177408</v>
      </c>
      <c r="I54" s="8" t="n">
        <f aca="false">I52*'Unit Economics'!$E$53</f>
        <v>36.4206216192</v>
      </c>
      <c r="J54" s="8" t="n">
        <f aca="false">J52*'Unit Economics'!$E$53</f>
        <v>41.1240847540224</v>
      </c>
      <c r="K54" s="8" t="n">
        <f aca="false">K52*'Unit Economics'!$E$53</f>
        <v>45.0200506780877</v>
      </c>
      <c r="L54" s="8" t="n">
        <f aca="false">L52*'Unit Economics'!$E$53</f>
        <v>44.4798100699506</v>
      </c>
      <c r="M54" s="8" t="n">
        <f aca="false">M52*'Unit Economics'!$E$53</f>
        <v>41.3896337914067</v>
      </c>
      <c r="N54" s="8" t="n">
        <f aca="false">N52*'Unit Economics'!$E$53</f>
        <v>43.045219143063</v>
      </c>
      <c r="O54" s="8" t="n">
        <f aca="false">O52*'Unit Economics'!$E$53</f>
        <v>49.0715498230918</v>
      </c>
      <c r="P54" s="8" t="n">
        <f aca="false">P52*'Unit Economics'!$E$53</f>
        <v>68.4935527004418</v>
      </c>
      <c r="Q54" s="8" t="n">
        <f aca="false">Q52*'Unit Economics'!$E$53</f>
        <v>72.5504785142372</v>
      </c>
      <c r="R54" s="8" t="n">
        <f aca="false">R52*'Unit Economics'!$E$53</f>
        <v>68.5198963745574</v>
      </c>
      <c r="S54" s="8" t="n">
        <f aca="false">S52*'Unit Economics'!$E$53</f>
        <v>50.3210118974749</v>
      </c>
      <c r="T54" s="8" t="n">
        <f aca="false">T52*'Unit Economics'!$E$53</f>
        <v>57.0304801504716</v>
      </c>
      <c r="U54" s="8" t="n">
        <f aca="false">U52*'Unit Economics'!$E$53</f>
        <v>61.0796442411551</v>
      </c>
      <c r="V54" s="8" t="n">
        <f aca="false">V52*'Unit Economics'!$E$53</f>
        <v>56.3677859711231</v>
      </c>
      <c r="W54" s="8" t="n">
        <f aca="false">W52*'Unit Economics'!$E$53</f>
        <v>60.5212017795217</v>
      </c>
      <c r="X54" s="8" t="n">
        <f aca="false">X52*'Unit Economics'!$E$53</f>
        <v>58.6450445243565</v>
      </c>
      <c r="Y54" s="8" t="n">
        <f aca="false">Y52*'Unit Economics'!$E$53</f>
        <v>53.5213195817022</v>
      </c>
      <c r="Z54" s="8" t="n">
        <f aca="false">Z52*'Unit Economics'!$E$53</f>
        <v>54.5917459733362</v>
      </c>
      <c r="AA54" s="8" t="n">
        <f aca="false">AA52*'Unit Economics'!$E$53</f>
        <v>61.6244473663719</v>
      </c>
      <c r="AB54" s="8" t="n">
        <f aca="false">AB52*'Unit Economics'!$E$53</f>
        <v>85.1714730442592</v>
      </c>
      <c r="AC54" s="8" t="n">
        <f aca="false">AC52*'Unit Economics'!$E$53</f>
        <v>89.3317719198827</v>
      </c>
      <c r="AD54" s="8" t="n">
        <f aca="false">AD52*'Unit Economics'!$E$53</f>
        <v>83.5417496658162</v>
      </c>
      <c r="AE54" s="8" t="n">
        <f aca="false">AE52*'Unit Economics'!$E$53</f>
        <v>60.7515603569816</v>
      </c>
      <c r="AF54" s="8" t="n">
        <f aca="false">AF52*'Unit Economics'!$E$53</f>
        <v>68.1767510672793</v>
      </c>
      <c r="AG54" s="8" t="n">
        <f aca="false">AG52*'Unit Economics'!$E$53</f>
        <v>72.3014445068497</v>
      </c>
      <c r="AH54" s="8" t="n">
        <f aca="false">AH52*'Unit Economics'!$E$53</f>
        <v>66.069748575545</v>
      </c>
      <c r="AI54" s="8" t="n">
        <f aca="false">AI52*'Unit Economics'!$E$53</f>
        <v>70.2425748013689</v>
      </c>
      <c r="AJ54" s="8" t="n">
        <f aca="false">AJ52*'Unit Economics'!$E$53</f>
        <v>67.3977505219135</v>
      </c>
      <c r="AK54" s="8" t="n">
        <f aca="false">AK52*'Unit Economics'!$E$53</f>
        <v>60.906282971645</v>
      </c>
      <c r="AL54" s="8" t="n">
        <f aca="false">AL52*'Unit Economics'!$E$53</f>
        <v>61.5153458013614</v>
      </c>
      <c r="AM54" s="45" t="n">
        <f aca="false">SUMIF($C$6:$AL$6,1,C54:AL54)</f>
        <v>318.90219173573</v>
      </c>
      <c r="AN54" s="45" t="n">
        <f aca="false">SUMIF($C$6:$AL$6,2,C54:AL54)</f>
        <v>710.713711531469</v>
      </c>
      <c r="AO54" s="45" t="n">
        <f aca="false">SUMIF($C$6:$AL$6,3,C54:AL54)</f>
        <v>847.030900599274</v>
      </c>
      <c r="AP54" s="45" t="n">
        <f aca="false">SUM(C54:AL54)</f>
        <v>1876.64680386647</v>
      </c>
    </row>
    <row r="55" customFormat="false" ht="15" hidden="false" customHeight="false" outlineLevel="0" collapsed="false">
      <c r="A55" s="7" t="s">
        <v>764</v>
      </c>
      <c r="B55" s="9" t="s">
        <v>101</v>
      </c>
      <c r="C55" s="8" t="n">
        <f aca="false">C52*'Unit Economics'!$F$53</f>
        <v>-0</v>
      </c>
      <c r="D55" s="8" t="n">
        <f aca="false">D52*'Unit Economics'!$F$53</f>
        <v>0</v>
      </c>
      <c r="E55" s="8" t="n">
        <f aca="false">E52*'Unit Economics'!$F$53</f>
        <v>0.837314999999999</v>
      </c>
      <c r="F55" s="8" t="n">
        <f aca="false">F52*'Unit Economics'!$F$53</f>
        <v>1.61260666666667</v>
      </c>
      <c r="G55" s="8" t="n">
        <f aca="false">G52*'Unit Economics'!$F$53</f>
        <v>1.811279808</v>
      </c>
      <c r="H55" s="8" t="n">
        <f aca="false">H52*'Unit Economics'!$F$53</f>
        <v>2.79071259306666</v>
      </c>
      <c r="I55" s="8" t="n">
        <f aca="false">I52*'Unit Economics'!$F$53</f>
        <v>3.809322689536</v>
      </c>
      <c r="J55" s="8" t="n">
        <f aca="false">J52*'Unit Economics'!$F$53</f>
        <v>4.30126950544179</v>
      </c>
      <c r="K55" s="8" t="n">
        <f aca="false">K52*'Unit Economics'!$F$53</f>
        <v>4.70875819543101</v>
      </c>
      <c r="L55" s="8" t="n">
        <f aca="false">L52*'Unit Economics'!$F$53</f>
        <v>4.65225309708584</v>
      </c>
      <c r="M55" s="8" t="n">
        <f aca="false">M52*'Unit Economics'!$F$53</f>
        <v>4.32904393455145</v>
      </c>
      <c r="N55" s="8" t="n">
        <f aca="false">N52*'Unit Economics'!$F$53</f>
        <v>4.50220569193351</v>
      </c>
      <c r="O55" s="8" t="n">
        <f aca="false">O52*'Unit Economics'!$F$53</f>
        <v>5.1325144888042</v>
      </c>
      <c r="P55" s="8" t="n">
        <f aca="false">P52*'Unit Economics'!$F$53</f>
        <v>7.16390969700461</v>
      </c>
      <c r="Q55" s="8" t="n">
        <f aca="false">Q52*'Unit Economics'!$F$53</f>
        <v>7.58823357905796</v>
      </c>
      <c r="R55" s="8" t="n">
        <f aca="false">R52*'Unit Economics'!$F$53</f>
        <v>7.16666504688807</v>
      </c>
      <c r="S55" s="8" t="n">
        <f aca="false">S52*'Unit Economics'!$F$53</f>
        <v>5.2631988104346</v>
      </c>
      <c r="T55" s="8" t="n">
        <f aca="false">T52*'Unit Economics'!$F$53</f>
        <v>5.96495865182588</v>
      </c>
      <c r="U55" s="8" t="n">
        <f aca="false">U52*'Unit Economics'!$F$53</f>
        <v>6.38847071610552</v>
      </c>
      <c r="V55" s="8" t="n">
        <f aca="false">V52*'Unit Economics'!$F$53</f>
        <v>5.89564583229166</v>
      </c>
      <c r="W55" s="8" t="n">
        <f aca="false">W52*'Unit Economics'!$F$53</f>
        <v>6.33006184098684</v>
      </c>
      <c r="X55" s="8" t="n">
        <f aca="false">X52*'Unit Economics'!$F$53</f>
        <v>6.13382992391625</v>
      </c>
      <c r="Y55" s="8" t="n">
        <f aca="false">Y52*'Unit Economics'!$F$53</f>
        <v>5.5979268884583</v>
      </c>
      <c r="Z55" s="8" t="n">
        <f aca="false">Z52*'Unit Economics'!$F$53</f>
        <v>5.70988542622747</v>
      </c>
      <c r="AA55" s="8" t="n">
        <f aca="false">AA52*'Unit Economics'!$F$53</f>
        <v>6.44545301937089</v>
      </c>
      <c r="AB55" s="8" t="n">
        <f aca="false">AB52*'Unit Economics'!$F$53</f>
        <v>8.90829454150945</v>
      </c>
      <c r="AC55" s="8" t="n">
        <f aca="false">AC52*'Unit Economics'!$F$53</f>
        <v>9.34343046719087</v>
      </c>
      <c r="AD55" s="8" t="n">
        <f aca="false">AD52*'Unit Economics'!$F$53</f>
        <v>8.7378377517248</v>
      </c>
      <c r="AE55" s="8" t="n">
        <f aca="false">AE52*'Unit Economics'!$F$53</f>
        <v>6.35415561305427</v>
      </c>
      <c r="AF55" s="8" t="n">
        <f aca="false">AF52*'Unit Economics'!$F$53</f>
        <v>7.13077463242757</v>
      </c>
      <c r="AG55" s="8" t="n">
        <f aca="false">AG52*'Unit Economics'!$F$53</f>
        <v>7.56218649768944</v>
      </c>
      <c r="AH55" s="8" t="n">
        <f aca="false">AH52*'Unit Economics'!$F$53</f>
        <v>6.9103980424124</v>
      </c>
      <c r="AI55" s="8" t="n">
        <f aca="false">AI52*'Unit Economics'!$F$53</f>
        <v>7.34684423456476</v>
      </c>
      <c r="AJ55" s="8" t="n">
        <f aca="false">AJ52*'Unit Economics'!$F$53</f>
        <v>7.04929704306489</v>
      </c>
      <c r="AK55" s="8" t="n">
        <f aca="false">AK52*'Unit Economics'!$F$53</f>
        <v>6.37033843312758</v>
      </c>
      <c r="AL55" s="8" t="n">
        <f aca="false">AL52*'Unit Economics'!$F$53</f>
        <v>6.43404181745886</v>
      </c>
      <c r="AM55" s="45" t="n">
        <f aca="false">SUMIF($C$6:$AL$6,1,C55:AL55)</f>
        <v>33.3547671817129</v>
      </c>
      <c r="AN55" s="45" t="n">
        <f aca="false">SUMIF($C$6:$AL$6,2,C55:AL55)</f>
        <v>74.3353009020013</v>
      </c>
      <c r="AO55" s="45" t="n">
        <f aca="false">SUMIF($C$6:$AL$6,3,C55:AL55)</f>
        <v>88.5930520935958</v>
      </c>
      <c r="AP55" s="45" t="n">
        <f aca="false">SUM(C55:AL55)</f>
        <v>196.28312017731</v>
      </c>
    </row>
    <row r="56" customFormat="false" ht="15" hidden="false" customHeight="false" outlineLevel="0" collapsed="false">
      <c r="A56" s="5" t="s">
        <v>575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</row>
    <row r="57" customFormat="false" ht="15" hidden="false" customHeight="false" outlineLevel="0" collapsed="false">
      <c r="A57" s="7" t="s">
        <v>755</v>
      </c>
      <c r="B57" s="9" t="s">
        <v>319</v>
      </c>
      <c r="C57" s="38" t="n">
        <f aca="false">IF(AND(Assumptions!$C$135=1,C$4&gt;=Assumptions!$C$136),1,0)</f>
        <v>0</v>
      </c>
      <c r="D57" s="38" t="n">
        <f aca="false">IF(AND(Assumptions!$C$135=1,D$4&gt;=Assumptions!$C$136),1,0)</f>
        <v>0</v>
      </c>
      <c r="E57" s="38" t="n">
        <f aca="false">IF(AND(Assumptions!$C$135=1,E$4&gt;=Assumptions!$C$136),1,0)</f>
        <v>0</v>
      </c>
      <c r="F57" s="38" t="n">
        <f aca="false">IF(AND(Assumptions!$C$135=1,F$4&gt;=Assumptions!$C$136),1,0)</f>
        <v>1</v>
      </c>
      <c r="G57" s="38" t="n">
        <f aca="false">IF(AND(Assumptions!$C$135=1,G$4&gt;=Assumptions!$C$136),1,0)</f>
        <v>1</v>
      </c>
      <c r="H57" s="38" t="n">
        <f aca="false">IF(AND(Assumptions!$C$135=1,H$4&gt;=Assumptions!$C$136),1,0)</f>
        <v>1</v>
      </c>
      <c r="I57" s="38" t="n">
        <f aca="false">IF(AND(Assumptions!$C$135=1,I$4&gt;=Assumptions!$C$136),1,0)</f>
        <v>1</v>
      </c>
      <c r="J57" s="38" t="n">
        <f aca="false">IF(AND(Assumptions!$C$135=1,J$4&gt;=Assumptions!$C$136),1,0)</f>
        <v>1</v>
      </c>
      <c r="K57" s="38" t="n">
        <f aca="false">IF(AND(Assumptions!$C$135=1,K$4&gt;=Assumptions!$C$136),1,0)</f>
        <v>1</v>
      </c>
      <c r="L57" s="38" t="n">
        <f aca="false">IF(AND(Assumptions!$C$135=1,L$4&gt;=Assumptions!$C$136),1,0)</f>
        <v>1</v>
      </c>
      <c r="M57" s="38" t="n">
        <f aca="false">IF(AND(Assumptions!$C$135=1,M$4&gt;=Assumptions!$C$136),1,0)</f>
        <v>1</v>
      </c>
      <c r="N57" s="38" t="n">
        <f aca="false">IF(AND(Assumptions!$C$135=1,N$4&gt;=Assumptions!$C$136),1,0)</f>
        <v>1</v>
      </c>
      <c r="O57" s="38" t="n">
        <f aca="false">IF(AND(Assumptions!$C$135=1,O$4&gt;=Assumptions!$C$136),1,0)</f>
        <v>1</v>
      </c>
      <c r="P57" s="38" t="n">
        <f aca="false">IF(AND(Assumptions!$C$135=1,P$4&gt;=Assumptions!$C$136),1,0)</f>
        <v>1</v>
      </c>
      <c r="Q57" s="38" t="n">
        <f aca="false">IF(AND(Assumptions!$C$135=1,Q$4&gt;=Assumptions!$C$136),1,0)</f>
        <v>1</v>
      </c>
      <c r="R57" s="38" t="n">
        <f aca="false">IF(AND(Assumptions!$C$135=1,R$4&gt;=Assumptions!$C$136),1,0)</f>
        <v>1</v>
      </c>
      <c r="S57" s="38" t="n">
        <f aca="false">IF(AND(Assumptions!$C$135=1,S$4&gt;=Assumptions!$C$136),1,0)</f>
        <v>1</v>
      </c>
      <c r="T57" s="38" t="n">
        <f aca="false">IF(AND(Assumptions!$C$135=1,T$4&gt;=Assumptions!$C$136),1,0)</f>
        <v>1</v>
      </c>
      <c r="U57" s="38" t="n">
        <f aca="false">IF(AND(Assumptions!$C$135=1,U$4&gt;=Assumptions!$C$136),1,0)</f>
        <v>1</v>
      </c>
      <c r="V57" s="38" t="n">
        <f aca="false">IF(AND(Assumptions!$C$135=1,V$4&gt;=Assumptions!$C$136),1,0)</f>
        <v>1</v>
      </c>
      <c r="W57" s="38" t="n">
        <f aca="false">IF(AND(Assumptions!$C$135=1,W$4&gt;=Assumptions!$C$136),1,0)</f>
        <v>1</v>
      </c>
      <c r="X57" s="38" t="n">
        <f aca="false">IF(AND(Assumptions!$C$135=1,X$4&gt;=Assumptions!$C$136),1,0)</f>
        <v>1</v>
      </c>
      <c r="Y57" s="38" t="n">
        <f aca="false">IF(AND(Assumptions!$C$135=1,Y$4&gt;=Assumptions!$C$136),1,0)</f>
        <v>1</v>
      </c>
      <c r="Z57" s="38" t="n">
        <f aca="false">IF(AND(Assumptions!$C$135=1,Z$4&gt;=Assumptions!$C$136),1,0)</f>
        <v>1</v>
      </c>
      <c r="AA57" s="38" t="n">
        <f aca="false">IF(AND(Assumptions!$C$135=1,AA$4&gt;=Assumptions!$C$136),1,0)</f>
        <v>1</v>
      </c>
      <c r="AB57" s="38" t="n">
        <f aca="false">IF(AND(Assumptions!$C$135=1,AB$4&gt;=Assumptions!$C$136),1,0)</f>
        <v>1</v>
      </c>
      <c r="AC57" s="38" t="n">
        <f aca="false">IF(AND(Assumptions!$C$135=1,AC$4&gt;=Assumptions!$C$136),1,0)</f>
        <v>1</v>
      </c>
      <c r="AD57" s="38" t="n">
        <f aca="false">IF(AND(Assumptions!$C$135=1,AD$4&gt;=Assumptions!$C$136),1,0)</f>
        <v>1</v>
      </c>
      <c r="AE57" s="38" t="n">
        <f aca="false">IF(AND(Assumptions!$C$135=1,AE$4&gt;=Assumptions!$C$136),1,0)</f>
        <v>1</v>
      </c>
      <c r="AF57" s="38" t="n">
        <f aca="false">IF(AND(Assumptions!$C$135=1,AF$4&gt;=Assumptions!$C$136),1,0)</f>
        <v>1</v>
      </c>
      <c r="AG57" s="38" t="n">
        <f aca="false">IF(AND(Assumptions!$C$135=1,AG$4&gt;=Assumptions!$C$136),1,0)</f>
        <v>1</v>
      </c>
      <c r="AH57" s="38" t="n">
        <f aca="false">IF(AND(Assumptions!$C$135=1,AH$4&gt;=Assumptions!$C$136),1,0)</f>
        <v>1</v>
      </c>
      <c r="AI57" s="38" t="n">
        <f aca="false">IF(AND(Assumptions!$C$135=1,AI$4&gt;=Assumptions!$C$136),1,0)</f>
        <v>1</v>
      </c>
      <c r="AJ57" s="38" t="n">
        <f aca="false">IF(AND(Assumptions!$C$135=1,AJ$4&gt;=Assumptions!$C$136),1,0)</f>
        <v>1</v>
      </c>
      <c r="AK57" s="38" t="n">
        <f aca="false">IF(AND(Assumptions!$C$135=1,AK$4&gt;=Assumptions!$C$136),1,0)</f>
        <v>1</v>
      </c>
      <c r="AL57" s="38" t="n">
        <f aca="false">IF(AND(Assumptions!$C$135=1,AL$4&gt;=Assumptions!$C$136),1,0)</f>
        <v>1</v>
      </c>
    </row>
    <row r="58" customFormat="false" ht="15" hidden="false" customHeight="false" outlineLevel="0" collapsed="false">
      <c r="A58" s="7" t="s">
        <v>756</v>
      </c>
      <c r="B58" s="9" t="s">
        <v>327</v>
      </c>
      <c r="C58" s="14" t="n">
        <f aca="false">IF(C57=0,0,C18*Assumptions!$C$106)</f>
        <v>0</v>
      </c>
      <c r="D58" s="14" t="n">
        <f aca="false">IF(D57=0,0,D18*Assumptions!$C$106)</f>
        <v>0</v>
      </c>
      <c r="E58" s="14" t="n">
        <f aca="false">IF(E57=0,0,E18*Assumptions!$C$106)</f>
        <v>0</v>
      </c>
      <c r="F58" s="14" t="n">
        <f aca="false">IF(F57=0,0,F18*Assumptions!$C$106)</f>
        <v>56.68704</v>
      </c>
      <c r="G58" s="14" t="n">
        <f aca="false">IF(G57=0,0,G18*Assumptions!$C$106)</f>
        <v>61.2220032</v>
      </c>
      <c r="H58" s="14" t="n">
        <f aca="false">IF(H57=0,0,H18*Assumptions!$C$106)</f>
        <v>66.119763456</v>
      </c>
      <c r="I58" s="14" t="n">
        <f aca="false">IF(I57=0,0,I18*Assumptions!$C$106)</f>
        <v>71.40934453248</v>
      </c>
      <c r="J58" s="14" t="n">
        <f aca="false">IF(J57=0,0,J18*Assumptions!$C$106)</f>
        <v>77.1220920950784</v>
      </c>
      <c r="K58" s="14" t="n">
        <f aca="false">IF(K57=0,0,K18*Assumptions!$C$106)</f>
        <v>83.2918594626847</v>
      </c>
      <c r="L58" s="14" t="n">
        <f aca="false">IF(L57=0,0,L18*Assumptions!$C$106)</f>
        <v>89.9552082196995</v>
      </c>
      <c r="M58" s="14" t="n">
        <f aca="false">IF(M57=0,0,M18*Assumptions!$C$106)</f>
        <v>97.1516248772754</v>
      </c>
      <c r="N58" s="14" t="n">
        <f aca="false">IF(N57=0,0,N18*Assumptions!$C$106)</f>
        <v>104.923754867457</v>
      </c>
      <c r="O58" s="14" t="n">
        <f aca="false">IF(O57=0,0,O18*Assumptions!$C$106)</f>
        <v>109.120705062156</v>
      </c>
      <c r="P58" s="14" t="n">
        <f aca="false">IF(P57=0,0,P18*Assumptions!$C$106)</f>
        <v>113.485533264642</v>
      </c>
      <c r="Q58" s="14" t="n">
        <f aca="false">IF(Q57=0,0,Q18*Assumptions!$C$106)</f>
        <v>118.024954595228</v>
      </c>
      <c r="R58" s="14" t="n">
        <f aca="false">IF(R57=0,0,R18*Assumptions!$C$106)</f>
        <v>122.745952779037</v>
      </c>
      <c r="S58" s="14" t="n">
        <f aca="false">IF(S57=0,0,S18*Assumptions!$C$106)</f>
        <v>127.655790890198</v>
      </c>
      <c r="T58" s="14" t="n">
        <f aca="false">IF(T57=0,0,T18*Assumptions!$C$106)</f>
        <v>132.762022525806</v>
      </c>
      <c r="U58" s="14" t="n">
        <f aca="false">IF(U57=0,0,U18*Assumptions!$C$106)</f>
        <v>138.072503426839</v>
      </c>
      <c r="V58" s="14" t="n">
        <f aca="false">IF(V57=0,0,V18*Assumptions!$C$106)</f>
        <v>143.595403563912</v>
      </c>
      <c r="W58" s="14" t="n">
        <f aca="false">IF(W57=0,0,W18*Assumptions!$C$106)</f>
        <v>149.339219706469</v>
      </c>
      <c r="X58" s="14" t="n">
        <f aca="false">IF(X57=0,0,X18*Assumptions!$C$106)</f>
        <v>155.312788494727</v>
      </c>
      <c r="Y58" s="14" t="n">
        <f aca="false">IF(Y57=0,0,Y18*Assumptions!$C$106)</f>
        <v>161.525300034516</v>
      </c>
      <c r="Z58" s="14" t="n">
        <f aca="false">IF(Z57=0,0,Z18*Assumptions!$C$106)</f>
        <v>167.986312035897</v>
      </c>
      <c r="AA58" s="14" t="n">
        <f aca="false">IF(AA57=0,0,AA18*Assumptions!$C$106)</f>
        <v>171.346038276615</v>
      </c>
      <c r="AB58" s="14" t="n">
        <f aca="false">IF(AB57=0,0,AB18*Assumptions!$C$106)</f>
        <v>174.772959042147</v>
      </c>
      <c r="AC58" s="14" t="n">
        <f aca="false">IF(AC57=0,0,AC18*Assumptions!$C$106)</f>
        <v>178.26841822299</v>
      </c>
      <c r="AD58" s="14" t="n">
        <f aca="false">IF(AD57=0,0,AD18*Assumptions!$C$106)</f>
        <v>181.83378658745</v>
      </c>
      <c r="AE58" s="14" t="n">
        <f aca="false">IF(AE57=0,0,AE18*Assumptions!$C$106)</f>
        <v>185.470462319199</v>
      </c>
      <c r="AF58" s="14" t="n">
        <f aca="false">IF(AF57=0,0,AF18*Assumptions!$C$106)</f>
        <v>189.179871565583</v>
      </c>
      <c r="AG58" s="14" t="n">
        <f aca="false">IF(AG57=0,0,AG18*Assumptions!$C$106)</f>
        <v>192.963468996895</v>
      </c>
      <c r="AH58" s="14" t="n">
        <f aca="false">IF(AH57=0,0,AH18*Assumptions!$C$106)</f>
        <v>196.822738376833</v>
      </c>
      <c r="AI58" s="14" t="n">
        <f aca="false">IF(AI57=0,0,AI18*Assumptions!$C$106)</f>
        <v>200.759193144369</v>
      </c>
      <c r="AJ58" s="14" t="n">
        <f aca="false">IF(AJ57=0,0,AJ18*Assumptions!$C$106)</f>
        <v>204.774377007257</v>
      </c>
      <c r="AK58" s="14" t="n">
        <f aca="false">IF(AK57=0,0,AK18*Assumptions!$C$106)</f>
        <v>208.869864547402</v>
      </c>
      <c r="AL58" s="14" t="n">
        <f aca="false">IF(AL57=0,0,AL18*Assumptions!$C$106)</f>
        <v>213.04726183835</v>
      </c>
    </row>
    <row r="59" customFormat="false" ht="15" hidden="false" customHeight="false" outlineLevel="0" collapsed="false">
      <c r="A59" s="7" t="s">
        <v>769</v>
      </c>
      <c r="B59" s="9" t="s">
        <v>327</v>
      </c>
      <c r="C59" s="52" t="n">
        <f aca="false">C58*C$7</f>
        <v>0</v>
      </c>
      <c r="D59" s="52" t="n">
        <f aca="false">D58*D$7</f>
        <v>0</v>
      </c>
      <c r="E59" s="52" t="n">
        <f aca="false">E58*E$7</f>
        <v>0</v>
      </c>
      <c r="F59" s="52" t="n">
        <f aca="false">F58*F$7</f>
        <v>70.8588</v>
      </c>
      <c r="G59" s="52" t="n">
        <f aca="false">G58*G$7</f>
        <v>55.09980288</v>
      </c>
      <c r="H59" s="52" t="n">
        <f aca="false">H58*H$7</f>
        <v>66.119763456</v>
      </c>
      <c r="I59" s="52" t="n">
        <f aca="false">I58*I$7</f>
        <v>74.979811759104</v>
      </c>
      <c r="J59" s="52" t="n">
        <f aca="false">J58*J$7</f>
        <v>73.2659874903245</v>
      </c>
      <c r="K59" s="52" t="n">
        <f aca="false">K58*K$7</f>
        <v>83.2918594626847</v>
      </c>
      <c r="L59" s="52" t="n">
        <f aca="false">L58*L$7</f>
        <v>85.4574478087145</v>
      </c>
      <c r="M59" s="52" t="n">
        <f aca="false">M58*M$7</f>
        <v>82.5788811456841</v>
      </c>
      <c r="N59" s="52" t="n">
        <f aca="false">N58*N$7</f>
        <v>89.1851916373389</v>
      </c>
      <c r="O59" s="52" t="n">
        <f aca="false">O58*O$7</f>
        <v>103.664669809048</v>
      </c>
      <c r="P59" s="52" t="n">
        <f aca="false">P58*P$7</f>
        <v>147.531193244035</v>
      </c>
      <c r="Q59" s="52" t="n">
        <f aca="false">Q58*Q$7</f>
        <v>159.333688703557</v>
      </c>
      <c r="R59" s="52" t="n">
        <f aca="false">R58*R$7</f>
        <v>153.432440973796</v>
      </c>
      <c r="S59" s="52" t="n">
        <f aca="false">S58*S$7</f>
        <v>114.890211801179</v>
      </c>
      <c r="T59" s="52" t="n">
        <f aca="false">T58*T$7</f>
        <v>132.762022525806</v>
      </c>
      <c r="U59" s="52" t="n">
        <f aca="false">U58*U$7</f>
        <v>144.97612859818</v>
      </c>
      <c r="V59" s="52" t="n">
        <f aca="false">V58*V$7</f>
        <v>136.415633385716</v>
      </c>
      <c r="W59" s="52" t="n">
        <f aca="false">W58*W$7</f>
        <v>149.339219706469</v>
      </c>
      <c r="X59" s="52" t="n">
        <f aca="false">X58*X$7</f>
        <v>147.547149069991</v>
      </c>
      <c r="Y59" s="52" t="n">
        <f aca="false">Y58*Y$7</f>
        <v>137.296505029339</v>
      </c>
      <c r="Z59" s="52" t="n">
        <f aca="false">Z58*Z$7</f>
        <v>142.788365230512</v>
      </c>
      <c r="AA59" s="52" t="n">
        <f aca="false">AA58*AA$7</f>
        <v>162.778736362784</v>
      </c>
      <c r="AB59" s="52" t="n">
        <f aca="false">AB58*AB$7</f>
        <v>227.204846754791</v>
      </c>
      <c r="AC59" s="52" t="n">
        <f aca="false">AC58*AC$7</f>
        <v>240.662364601037</v>
      </c>
      <c r="AD59" s="52" t="n">
        <f aca="false">AD58*AD$7</f>
        <v>227.292233234313</v>
      </c>
      <c r="AE59" s="52" t="n">
        <f aca="false">AE58*AE$7</f>
        <v>166.923416087279</v>
      </c>
      <c r="AF59" s="52" t="n">
        <f aca="false">AF58*AF$7</f>
        <v>189.179871565583</v>
      </c>
      <c r="AG59" s="52" t="n">
        <f aca="false">AG58*AG$7</f>
        <v>202.611642446739</v>
      </c>
      <c r="AH59" s="52" t="n">
        <f aca="false">AH58*AH$7</f>
        <v>186.981601457991</v>
      </c>
      <c r="AI59" s="52" t="n">
        <f aca="false">AI58*AI$7</f>
        <v>200.759193144369</v>
      </c>
      <c r="AJ59" s="52" t="n">
        <f aca="false">AJ58*AJ$7</f>
        <v>194.535658156894</v>
      </c>
      <c r="AK59" s="52" t="n">
        <f aca="false">AK58*AK$7</f>
        <v>177.539384865292</v>
      </c>
      <c r="AL59" s="52" t="n">
        <f aca="false">AL58*AL$7</f>
        <v>181.090172562597</v>
      </c>
      <c r="AM59" s="53" t="n">
        <f aca="false">SUMIF($C$6:$AL$6,1,C59:AL59)</f>
        <v>680.837545639851</v>
      </c>
      <c r="AN59" s="53" t="n">
        <f aca="false">SUMIF($C$6:$AL$6,2,C59:AL59)</f>
        <v>1669.97722807763</v>
      </c>
      <c r="AO59" s="53" t="n">
        <f aca="false">SUMIF($C$6:$AL$6,3,C59:AL59)</f>
        <v>2357.55912123967</v>
      </c>
      <c r="AP59" s="53" t="n">
        <f aca="false">SUM(C59:AL59)</f>
        <v>4708.37389495715</v>
      </c>
    </row>
    <row r="60" customFormat="false" ht="15" hidden="false" customHeight="false" outlineLevel="0" collapsed="false">
      <c r="A60" s="7" t="s">
        <v>758</v>
      </c>
      <c r="B60" s="9" t="s">
        <v>96</v>
      </c>
      <c r="C60" s="54" t="n">
        <f aca="false">Assumptions!$C$137*MIN(1,(C$4-Assumptions!$C$136+1)/Assumptions!$C$10)*C57</f>
        <v>-0</v>
      </c>
      <c r="D60" s="54" t="n">
        <f aca="false">Assumptions!$C$137*MIN(1,(D$4-Assumptions!$C$136+1)/Assumptions!$C$10)*D57</f>
        <v>-0</v>
      </c>
      <c r="E60" s="54" t="n">
        <f aca="false">Assumptions!$C$137*MIN(1,(E$4-Assumptions!$C$136+1)/Assumptions!$C$10)*E57</f>
        <v>0</v>
      </c>
      <c r="F60" s="54" t="n">
        <f aca="false">Assumptions!$C$137*MIN(1,(F$4-Assumptions!$C$136+1)/Assumptions!$C$10)*F57</f>
        <v>0.00133333333333333</v>
      </c>
      <c r="G60" s="54" t="n">
        <f aca="false">Assumptions!$C$137*MIN(1,(G$4-Assumptions!$C$136+1)/Assumptions!$C$10)*G57</f>
        <v>0.00266666666666667</v>
      </c>
      <c r="H60" s="54" t="n">
        <f aca="false">Assumptions!$C$137*MIN(1,(H$4-Assumptions!$C$136+1)/Assumptions!$C$10)*H57</f>
        <v>0.004</v>
      </c>
      <c r="I60" s="54" t="n">
        <f aca="false">Assumptions!$C$137*MIN(1,(I$4-Assumptions!$C$136+1)/Assumptions!$C$10)*I57</f>
        <v>0.00533333333333333</v>
      </c>
      <c r="J60" s="54" t="n">
        <f aca="false">Assumptions!$C$137*MIN(1,(J$4-Assumptions!$C$136+1)/Assumptions!$C$10)*J57</f>
        <v>0.00666666666666667</v>
      </c>
      <c r="K60" s="54" t="n">
        <f aca="false">Assumptions!$C$137*MIN(1,(K$4-Assumptions!$C$136+1)/Assumptions!$C$10)*K57</f>
        <v>0.008</v>
      </c>
      <c r="L60" s="54" t="n">
        <f aca="false">Assumptions!$C$137*MIN(1,(L$4-Assumptions!$C$136+1)/Assumptions!$C$10)*L57</f>
        <v>0.008</v>
      </c>
      <c r="M60" s="54" t="n">
        <f aca="false">Assumptions!$C$137*MIN(1,(M$4-Assumptions!$C$136+1)/Assumptions!$C$10)*M57</f>
        <v>0.008</v>
      </c>
      <c r="N60" s="54" t="n">
        <f aca="false">Assumptions!$C$137*MIN(1,(N$4-Assumptions!$C$136+1)/Assumptions!$C$10)*N57</f>
        <v>0.008</v>
      </c>
      <c r="O60" s="54" t="n">
        <f aca="false">Assumptions!$C$137*MIN(1,(O$4-Assumptions!$C$136+1)/Assumptions!$C$10)*O57</f>
        <v>0.008</v>
      </c>
      <c r="P60" s="54" t="n">
        <f aca="false">Assumptions!$C$137*MIN(1,(P$4-Assumptions!$C$136+1)/Assumptions!$C$10)*P57</f>
        <v>0.008</v>
      </c>
      <c r="Q60" s="54" t="n">
        <f aca="false">Assumptions!$C$137*MIN(1,(Q$4-Assumptions!$C$136+1)/Assumptions!$C$10)*Q57</f>
        <v>0.008</v>
      </c>
      <c r="R60" s="54" t="n">
        <f aca="false">Assumptions!$C$137*MIN(1,(R$4-Assumptions!$C$136+1)/Assumptions!$C$10)*R57</f>
        <v>0.008</v>
      </c>
      <c r="S60" s="54" t="n">
        <f aca="false">Assumptions!$C$137*MIN(1,(S$4-Assumptions!$C$136+1)/Assumptions!$C$10)*S57</f>
        <v>0.008</v>
      </c>
      <c r="T60" s="54" t="n">
        <f aca="false">Assumptions!$C$137*MIN(1,(T$4-Assumptions!$C$136+1)/Assumptions!$C$10)*T57</f>
        <v>0.008</v>
      </c>
      <c r="U60" s="54" t="n">
        <f aca="false">Assumptions!$C$137*MIN(1,(U$4-Assumptions!$C$136+1)/Assumptions!$C$10)*U57</f>
        <v>0.008</v>
      </c>
      <c r="V60" s="54" t="n">
        <f aca="false">Assumptions!$C$137*MIN(1,(V$4-Assumptions!$C$136+1)/Assumptions!$C$10)*V57</f>
        <v>0.008</v>
      </c>
      <c r="W60" s="54" t="n">
        <f aca="false">Assumptions!$C$137*MIN(1,(W$4-Assumptions!$C$136+1)/Assumptions!$C$10)*W57</f>
        <v>0.008</v>
      </c>
      <c r="X60" s="54" t="n">
        <f aca="false">Assumptions!$C$137*MIN(1,(X$4-Assumptions!$C$136+1)/Assumptions!$C$10)*X57</f>
        <v>0.008</v>
      </c>
      <c r="Y60" s="54" t="n">
        <f aca="false">Assumptions!$C$137*MIN(1,(Y$4-Assumptions!$C$136+1)/Assumptions!$C$10)*Y57</f>
        <v>0.008</v>
      </c>
      <c r="Z60" s="54" t="n">
        <f aca="false">Assumptions!$C$137*MIN(1,(Z$4-Assumptions!$C$136+1)/Assumptions!$C$10)*Z57</f>
        <v>0.008</v>
      </c>
      <c r="AA60" s="54" t="n">
        <f aca="false">Assumptions!$C$137*MIN(1,(AA$4-Assumptions!$C$136+1)/Assumptions!$C$10)*AA57</f>
        <v>0.008</v>
      </c>
      <c r="AB60" s="54" t="n">
        <f aca="false">Assumptions!$C$137*MIN(1,(AB$4-Assumptions!$C$136+1)/Assumptions!$C$10)*AB57</f>
        <v>0.008</v>
      </c>
      <c r="AC60" s="54" t="n">
        <f aca="false">Assumptions!$C$137*MIN(1,(AC$4-Assumptions!$C$136+1)/Assumptions!$C$10)*AC57</f>
        <v>0.008</v>
      </c>
      <c r="AD60" s="54" t="n">
        <f aca="false">Assumptions!$C$137*MIN(1,(AD$4-Assumptions!$C$136+1)/Assumptions!$C$10)*AD57</f>
        <v>0.008</v>
      </c>
      <c r="AE60" s="54" t="n">
        <f aca="false">Assumptions!$C$137*MIN(1,(AE$4-Assumptions!$C$136+1)/Assumptions!$C$10)*AE57</f>
        <v>0.008</v>
      </c>
      <c r="AF60" s="54" t="n">
        <f aca="false">Assumptions!$C$137*MIN(1,(AF$4-Assumptions!$C$136+1)/Assumptions!$C$10)*AF57</f>
        <v>0.008</v>
      </c>
      <c r="AG60" s="54" t="n">
        <f aca="false">Assumptions!$C$137*MIN(1,(AG$4-Assumptions!$C$136+1)/Assumptions!$C$10)*AG57</f>
        <v>0.008</v>
      </c>
      <c r="AH60" s="54" t="n">
        <f aca="false">Assumptions!$C$137*MIN(1,(AH$4-Assumptions!$C$136+1)/Assumptions!$C$10)*AH57</f>
        <v>0.008</v>
      </c>
      <c r="AI60" s="54" t="n">
        <f aca="false">Assumptions!$C$137*MIN(1,(AI$4-Assumptions!$C$136+1)/Assumptions!$C$10)*AI57</f>
        <v>0.008</v>
      </c>
      <c r="AJ60" s="54" t="n">
        <f aca="false">Assumptions!$C$137*MIN(1,(AJ$4-Assumptions!$C$136+1)/Assumptions!$C$10)*AJ57</f>
        <v>0.008</v>
      </c>
      <c r="AK60" s="54" t="n">
        <f aca="false">Assumptions!$C$137*MIN(1,(AK$4-Assumptions!$C$136+1)/Assumptions!$C$10)*AK57</f>
        <v>0.008</v>
      </c>
      <c r="AL60" s="54" t="n">
        <f aca="false">Assumptions!$C$137*MIN(1,(AL$4-Assumptions!$C$136+1)/Assumptions!$C$10)*AL57</f>
        <v>0.008</v>
      </c>
    </row>
    <row r="61" customFormat="false" ht="15" hidden="false" customHeight="false" outlineLevel="0" collapsed="false">
      <c r="A61" s="7" t="s">
        <v>766</v>
      </c>
      <c r="B61" s="9" t="s">
        <v>760</v>
      </c>
      <c r="C61" s="55" t="n">
        <f aca="false">C59*C60</f>
        <v>-0</v>
      </c>
      <c r="D61" s="55" t="n">
        <f aca="false">D59*D60</f>
        <v>-0</v>
      </c>
      <c r="E61" s="55" t="n">
        <f aca="false">E59*E60</f>
        <v>0</v>
      </c>
      <c r="F61" s="55" t="n">
        <f aca="false">F59*F60</f>
        <v>0.0944784</v>
      </c>
      <c r="G61" s="55" t="n">
        <f aca="false">G59*G60</f>
        <v>0.14693280768</v>
      </c>
      <c r="H61" s="55" t="n">
        <f aca="false">H59*H60</f>
        <v>0.264479053824</v>
      </c>
      <c r="I61" s="55" t="n">
        <f aca="false">I59*I60</f>
        <v>0.399892329381888</v>
      </c>
      <c r="J61" s="55" t="n">
        <f aca="false">J59*J60</f>
        <v>0.488439916602163</v>
      </c>
      <c r="K61" s="55" t="n">
        <f aca="false">K59*K60</f>
        <v>0.666334875701478</v>
      </c>
      <c r="L61" s="55" t="n">
        <f aca="false">L59*L60</f>
        <v>0.683659582469716</v>
      </c>
      <c r="M61" s="55" t="n">
        <f aca="false">M59*M60</f>
        <v>0.660631049165473</v>
      </c>
      <c r="N61" s="55" t="n">
        <f aca="false">N59*N60</f>
        <v>0.713481533098711</v>
      </c>
      <c r="O61" s="55" t="n">
        <f aca="false">O59*O60</f>
        <v>0.829317358472384</v>
      </c>
      <c r="P61" s="55" t="n">
        <f aca="false">P59*P60</f>
        <v>1.18024954595228</v>
      </c>
      <c r="Q61" s="55" t="n">
        <f aca="false">Q59*Q60</f>
        <v>1.27466950962846</v>
      </c>
      <c r="R61" s="55" t="n">
        <f aca="false">R59*R60</f>
        <v>1.22745952779037</v>
      </c>
      <c r="S61" s="55" t="n">
        <f aca="false">S59*S60</f>
        <v>0.919121694409428</v>
      </c>
      <c r="T61" s="55" t="n">
        <f aca="false">T59*T60</f>
        <v>1.06209618020645</v>
      </c>
      <c r="U61" s="55" t="n">
        <f aca="false">U59*U60</f>
        <v>1.15980902878544</v>
      </c>
      <c r="V61" s="55" t="n">
        <f aca="false">V59*V60</f>
        <v>1.09132506708573</v>
      </c>
      <c r="W61" s="55" t="n">
        <f aca="false">W59*W60</f>
        <v>1.19471375765175</v>
      </c>
      <c r="X61" s="55" t="n">
        <f aca="false">X59*X60</f>
        <v>1.18037719255993</v>
      </c>
      <c r="Y61" s="55" t="n">
        <f aca="false">Y59*Y60</f>
        <v>1.09837204023471</v>
      </c>
      <c r="Z61" s="55" t="n">
        <f aca="false">Z59*Z60</f>
        <v>1.1423069218441</v>
      </c>
      <c r="AA61" s="55" t="n">
        <f aca="false">AA59*AA60</f>
        <v>1.30222989090227</v>
      </c>
      <c r="AB61" s="55" t="n">
        <f aca="false">AB59*AB60</f>
        <v>1.81763877403833</v>
      </c>
      <c r="AC61" s="55" t="n">
        <f aca="false">AC59*AC60</f>
        <v>1.92529891680829</v>
      </c>
      <c r="AD61" s="55" t="n">
        <f aca="false">AD59*AD60</f>
        <v>1.8183378658745</v>
      </c>
      <c r="AE61" s="55" t="n">
        <f aca="false">AE59*AE60</f>
        <v>1.33538732869823</v>
      </c>
      <c r="AF61" s="55" t="n">
        <f aca="false">AF59*AF60</f>
        <v>1.51343897252466</v>
      </c>
      <c r="AG61" s="55" t="n">
        <f aca="false">AG59*AG60</f>
        <v>1.62089313957392</v>
      </c>
      <c r="AH61" s="55" t="n">
        <f aca="false">AH59*AH60</f>
        <v>1.49585281166393</v>
      </c>
      <c r="AI61" s="55" t="n">
        <f aca="false">AI59*AI60</f>
        <v>1.60607354515495</v>
      </c>
      <c r="AJ61" s="55" t="n">
        <f aca="false">AJ59*AJ60</f>
        <v>1.55628526525515</v>
      </c>
      <c r="AK61" s="55" t="n">
        <f aca="false">AK59*AK60</f>
        <v>1.42031507892233</v>
      </c>
      <c r="AL61" s="55" t="n">
        <f aca="false">AL59*AL60</f>
        <v>1.44872138050078</v>
      </c>
      <c r="AM61" s="53" t="n">
        <f aca="false">SUMIF($C$6:$AL$6,1,C61:AL61)</f>
        <v>4.11832954792343</v>
      </c>
      <c r="AN61" s="53" t="n">
        <f aca="false">SUMIF($C$6:$AL$6,2,C61:AL61)</f>
        <v>13.359817824621</v>
      </c>
      <c r="AO61" s="53" t="n">
        <f aca="false">SUMIF($C$6:$AL$6,3,C61:AL61)</f>
        <v>18.8604729699174</v>
      </c>
      <c r="AP61" s="53" t="n">
        <f aca="false">SUM(C61:AL61)</f>
        <v>36.3386203424618</v>
      </c>
    </row>
    <row r="62" customFormat="false" ht="15" hidden="false" customHeight="false" outlineLevel="0" collapsed="false">
      <c r="A62" s="7" t="s">
        <v>761</v>
      </c>
      <c r="B62" s="9" t="s">
        <v>342</v>
      </c>
      <c r="C62" s="56" t="n">
        <f aca="false">C61*Assumptions!$C$138</f>
        <v>-0</v>
      </c>
      <c r="D62" s="56" t="n">
        <f aca="false">D61*Assumptions!$C$138</f>
        <v>-0</v>
      </c>
      <c r="E62" s="56" t="n">
        <f aca="false">E61*Assumptions!$C$138</f>
        <v>0</v>
      </c>
      <c r="F62" s="56" t="n">
        <f aca="false">F61*Assumptions!$C$138</f>
        <v>0.10392624</v>
      </c>
      <c r="G62" s="56" t="n">
        <f aca="false">G61*Assumptions!$C$138</f>
        <v>0.161626088448</v>
      </c>
      <c r="H62" s="56" t="n">
        <f aca="false">H61*Assumptions!$C$138</f>
        <v>0.2909269592064</v>
      </c>
      <c r="I62" s="56" t="n">
        <f aca="false">I61*Assumptions!$C$138</f>
        <v>0.439881562320077</v>
      </c>
      <c r="J62" s="56" t="n">
        <f aca="false">J61*Assumptions!$C$138</f>
        <v>0.53728390826238</v>
      </c>
      <c r="K62" s="56" t="n">
        <f aca="false">K61*Assumptions!$C$138</f>
        <v>0.732968363271626</v>
      </c>
      <c r="L62" s="56" t="n">
        <f aca="false">L61*Assumptions!$C$138</f>
        <v>0.752025540716688</v>
      </c>
      <c r="M62" s="56" t="n">
        <f aca="false">M61*Assumptions!$C$138</f>
        <v>0.72669415408202</v>
      </c>
      <c r="N62" s="56" t="n">
        <f aca="false">N61*Assumptions!$C$138</f>
        <v>0.784829686408582</v>
      </c>
      <c r="O62" s="56" t="n">
        <f aca="false">O61*Assumptions!$C$138</f>
        <v>0.912249094319623</v>
      </c>
      <c r="P62" s="56" t="n">
        <f aca="false">P61*Assumptions!$C$138</f>
        <v>1.29827450054751</v>
      </c>
      <c r="Q62" s="56" t="n">
        <f aca="false">Q61*Assumptions!$C$138</f>
        <v>1.40213646059131</v>
      </c>
      <c r="R62" s="56" t="n">
        <f aca="false">R61*Assumptions!$C$138</f>
        <v>1.35020548056941</v>
      </c>
      <c r="S62" s="56" t="n">
        <f aca="false">S61*Assumptions!$C$138</f>
        <v>1.01103386385037</v>
      </c>
      <c r="T62" s="56" t="n">
        <f aca="false">T61*Assumptions!$C$138</f>
        <v>1.1683057982271</v>
      </c>
      <c r="U62" s="56" t="n">
        <f aca="false">U61*Assumptions!$C$138</f>
        <v>1.27578993166399</v>
      </c>
      <c r="V62" s="56" t="n">
        <f aca="false">V61*Assumptions!$C$138</f>
        <v>1.2004575737943</v>
      </c>
      <c r="W62" s="56" t="n">
        <f aca="false">W61*Assumptions!$C$138</f>
        <v>1.31418513341692</v>
      </c>
      <c r="X62" s="56" t="n">
        <f aca="false">X61*Assumptions!$C$138</f>
        <v>1.29841491181592</v>
      </c>
      <c r="Y62" s="56" t="n">
        <f aca="false">Y61*Assumptions!$C$138</f>
        <v>1.20820924425818</v>
      </c>
      <c r="Z62" s="56" t="n">
        <f aca="false">Z61*Assumptions!$C$138</f>
        <v>1.25653761402851</v>
      </c>
      <c r="AA62" s="56" t="n">
        <f aca="false">AA61*Assumptions!$C$138</f>
        <v>1.4324528799925</v>
      </c>
      <c r="AB62" s="56" t="n">
        <f aca="false">AB61*Assumptions!$C$138</f>
        <v>1.99940265144217</v>
      </c>
      <c r="AC62" s="56" t="n">
        <f aca="false">AC61*Assumptions!$C$138</f>
        <v>2.11782880848912</v>
      </c>
      <c r="AD62" s="56" t="n">
        <f aca="false">AD61*Assumptions!$C$138</f>
        <v>2.00017165246195</v>
      </c>
      <c r="AE62" s="56" t="n">
        <f aca="false">AE61*Assumptions!$C$138</f>
        <v>1.46892606156806</v>
      </c>
      <c r="AF62" s="56" t="n">
        <f aca="false">AF61*Assumptions!$C$138</f>
        <v>1.66478286977713</v>
      </c>
      <c r="AG62" s="56" t="n">
        <f aca="false">AG61*Assumptions!$C$138</f>
        <v>1.78298245353131</v>
      </c>
      <c r="AH62" s="56" t="n">
        <f aca="false">AH61*Assumptions!$C$138</f>
        <v>1.64543809283032</v>
      </c>
      <c r="AI62" s="56" t="n">
        <f aca="false">AI61*Assumptions!$C$138</f>
        <v>1.76668089967045</v>
      </c>
      <c r="AJ62" s="56" t="n">
        <f aca="false">AJ61*Assumptions!$C$138</f>
        <v>1.71191379178067</v>
      </c>
      <c r="AK62" s="56" t="n">
        <f aca="false">AK61*Assumptions!$C$138</f>
        <v>1.56234658681457</v>
      </c>
      <c r="AL62" s="56" t="n">
        <f aca="false">AL61*Assumptions!$C$138</f>
        <v>1.59359351855086</v>
      </c>
      <c r="AM62" s="53" t="n">
        <f aca="false">SUMIF($C$6:$AL$6,1,C62:AL62)</f>
        <v>4.53016250271577</v>
      </c>
      <c r="AN62" s="53" t="n">
        <f aca="false">SUMIF($C$6:$AL$6,2,C62:AL62)</f>
        <v>14.6957996070831</v>
      </c>
      <c r="AO62" s="53" t="n">
        <f aca="false">SUMIF($C$6:$AL$6,3,C62:AL62)</f>
        <v>20.7465202669091</v>
      </c>
      <c r="AP62" s="53" t="n">
        <f aca="false">SUM(C62:AL62)</f>
        <v>39.972482376708</v>
      </c>
    </row>
    <row r="63" customFormat="false" ht="15" hidden="false" customHeight="false" outlineLevel="0" collapsed="false">
      <c r="A63" s="7" t="s">
        <v>762</v>
      </c>
      <c r="B63" s="9" t="s">
        <v>101</v>
      </c>
      <c r="C63" s="15" t="n">
        <f aca="false">'Unit Economics'!$E$54*Assumptions!$C$138*C57</f>
        <v>0</v>
      </c>
      <c r="D63" s="15" t="n">
        <f aca="false">'Unit Economics'!$E$54*Assumptions!$C$138*D57</f>
        <v>0</v>
      </c>
      <c r="E63" s="15" t="n">
        <f aca="false">'Unit Economics'!$E$54*Assumptions!$C$138*E57</f>
        <v>0</v>
      </c>
      <c r="F63" s="15" t="n">
        <f aca="false">'Unit Economics'!$E$54*Assumptions!$C$138*F57</f>
        <v>9.9465</v>
      </c>
      <c r="G63" s="15" t="n">
        <f aca="false">'Unit Economics'!$E$54*Assumptions!$C$138*G57</f>
        <v>9.9465</v>
      </c>
      <c r="H63" s="15" t="n">
        <f aca="false">'Unit Economics'!$E$54*Assumptions!$C$138*H57</f>
        <v>9.9465</v>
      </c>
      <c r="I63" s="15" t="n">
        <f aca="false">'Unit Economics'!$E$54*Assumptions!$C$138*I57</f>
        <v>9.9465</v>
      </c>
      <c r="J63" s="15" t="n">
        <f aca="false">'Unit Economics'!$E$54*Assumptions!$C$138*J57</f>
        <v>9.9465</v>
      </c>
      <c r="K63" s="15" t="n">
        <f aca="false">'Unit Economics'!$E$54*Assumptions!$C$138*K57</f>
        <v>9.9465</v>
      </c>
      <c r="L63" s="15" t="n">
        <f aca="false">'Unit Economics'!$E$54*Assumptions!$C$138*L57</f>
        <v>9.9465</v>
      </c>
      <c r="M63" s="15" t="n">
        <f aca="false">'Unit Economics'!$E$54*Assumptions!$C$138*M57</f>
        <v>9.9465</v>
      </c>
      <c r="N63" s="15" t="n">
        <f aca="false">'Unit Economics'!$E$54*Assumptions!$C$138*N57</f>
        <v>9.9465</v>
      </c>
      <c r="O63" s="15" t="n">
        <f aca="false">'Unit Economics'!$E$54*Assumptions!$C$138*O57</f>
        <v>9.9465</v>
      </c>
      <c r="P63" s="15" t="n">
        <f aca="false">'Unit Economics'!$E$54*Assumptions!$C$138*P57</f>
        <v>9.9465</v>
      </c>
      <c r="Q63" s="15" t="n">
        <f aca="false">'Unit Economics'!$E$54*Assumptions!$C$138*Q57</f>
        <v>9.9465</v>
      </c>
      <c r="R63" s="15" t="n">
        <f aca="false">'Unit Economics'!$E$54*Assumptions!$C$138*R57</f>
        <v>9.9465</v>
      </c>
      <c r="S63" s="15" t="n">
        <f aca="false">'Unit Economics'!$E$54*Assumptions!$C$138*S57</f>
        <v>9.9465</v>
      </c>
      <c r="T63" s="15" t="n">
        <f aca="false">'Unit Economics'!$E$54*Assumptions!$C$138*T57</f>
        <v>9.9465</v>
      </c>
      <c r="U63" s="15" t="n">
        <f aca="false">'Unit Economics'!$E$54*Assumptions!$C$138*U57</f>
        <v>9.9465</v>
      </c>
      <c r="V63" s="15" t="n">
        <f aca="false">'Unit Economics'!$E$54*Assumptions!$C$138*V57</f>
        <v>9.9465</v>
      </c>
      <c r="W63" s="15" t="n">
        <f aca="false">'Unit Economics'!$E$54*Assumptions!$C$138*W57</f>
        <v>9.9465</v>
      </c>
      <c r="X63" s="15" t="n">
        <f aca="false">'Unit Economics'!$E$54*Assumptions!$C$138*X57</f>
        <v>9.9465</v>
      </c>
      <c r="Y63" s="15" t="n">
        <f aca="false">'Unit Economics'!$E$54*Assumptions!$C$138*Y57</f>
        <v>9.9465</v>
      </c>
      <c r="Z63" s="15" t="n">
        <f aca="false">'Unit Economics'!$E$54*Assumptions!$C$138*Z57</f>
        <v>9.9465</v>
      </c>
      <c r="AA63" s="15" t="n">
        <f aca="false">'Unit Economics'!$E$54*Assumptions!$C$138*AA57</f>
        <v>9.9465</v>
      </c>
      <c r="AB63" s="15" t="n">
        <f aca="false">'Unit Economics'!$E$54*Assumptions!$C$138*AB57</f>
        <v>9.9465</v>
      </c>
      <c r="AC63" s="15" t="n">
        <f aca="false">'Unit Economics'!$E$54*Assumptions!$C$138*AC57</f>
        <v>9.9465</v>
      </c>
      <c r="AD63" s="15" t="n">
        <f aca="false">'Unit Economics'!$E$54*Assumptions!$C$138*AD57</f>
        <v>9.9465</v>
      </c>
      <c r="AE63" s="15" t="n">
        <f aca="false">'Unit Economics'!$E$54*Assumptions!$C$138*AE57</f>
        <v>9.9465</v>
      </c>
      <c r="AF63" s="15" t="n">
        <f aca="false">'Unit Economics'!$E$54*Assumptions!$C$138*AF57</f>
        <v>9.9465</v>
      </c>
      <c r="AG63" s="15" t="n">
        <f aca="false">'Unit Economics'!$E$54*Assumptions!$C$138*AG57</f>
        <v>9.9465</v>
      </c>
      <c r="AH63" s="15" t="n">
        <f aca="false">'Unit Economics'!$E$54*Assumptions!$C$138*AH57</f>
        <v>9.9465</v>
      </c>
      <c r="AI63" s="15" t="n">
        <f aca="false">'Unit Economics'!$E$54*Assumptions!$C$138*AI57</f>
        <v>9.9465</v>
      </c>
      <c r="AJ63" s="15" t="n">
        <f aca="false">'Unit Economics'!$E$54*Assumptions!$C$138*AJ57</f>
        <v>9.9465</v>
      </c>
      <c r="AK63" s="15" t="n">
        <f aca="false">'Unit Economics'!$E$54*Assumptions!$C$138*AK57</f>
        <v>9.9465</v>
      </c>
      <c r="AL63" s="15" t="n">
        <f aca="false">'Unit Economics'!$E$54*Assumptions!$C$138*AL57</f>
        <v>9.9465</v>
      </c>
    </row>
    <row r="64" customFormat="false" ht="15" hidden="false" customHeight="false" outlineLevel="0" collapsed="false">
      <c r="A64" s="7" t="s">
        <v>763</v>
      </c>
      <c r="B64" s="9" t="s">
        <v>101</v>
      </c>
      <c r="C64" s="8" t="n">
        <f aca="false">C62*'Unit Economics'!$E$54</f>
        <v>-0</v>
      </c>
      <c r="D64" s="8" t="n">
        <f aca="false">D62*'Unit Economics'!$E$54</f>
        <v>-0</v>
      </c>
      <c r="E64" s="8" t="n">
        <f aca="false">E62*'Unit Economics'!$E$54</f>
        <v>0</v>
      </c>
      <c r="F64" s="8" t="n">
        <f aca="false">F62*'Unit Economics'!$E$54</f>
        <v>0.9397294056</v>
      </c>
      <c r="G64" s="8" t="n">
        <f aca="false">G62*'Unit Economics'!$E$54</f>
        <v>1.46146717158912</v>
      </c>
      <c r="H64" s="8" t="n">
        <f aca="false">H62*'Unit Economics'!$E$54</f>
        <v>2.63064090886042</v>
      </c>
      <c r="I64" s="8" t="n">
        <f aca="false">I62*'Unit Economics'!$E$54</f>
        <v>3.97752905419695</v>
      </c>
      <c r="J64" s="8" t="n">
        <f aca="false">J62*'Unit Economics'!$E$54</f>
        <v>4.85826763048342</v>
      </c>
      <c r="K64" s="8" t="n">
        <f aca="false">K62*'Unit Economics'!$E$54</f>
        <v>6.62769984116475</v>
      </c>
      <c r="L64" s="8" t="n">
        <f aca="false">L62*'Unit Economics'!$E$54</f>
        <v>6.80002003703503</v>
      </c>
      <c r="M64" s="8" t="n">
        <f aca="false">M62*'Unit Economics'!$E$54</f>
        <v>6.57096673052438</v>
      </c>
      <c r="N64" s="8" t="n">
        <f aca="false">N62*'Unit Economics'!$E$54</f>
        <v>7.09664406896633</v>
      </c>
      <c r="O64" s="8" t="n">
        <f aca="false">O62*'Unit Economics'!$E$54</f>
        <v>8.24880510604557</v>
      </c>
      <c r="P64" s="8" t="n">
        <f aca="false">P62*'Unit Economics'!$E$54</f>
        <v>11.7393521088143</v>
      </c>
      <c r="Q64" s="8" t="n">
        <f aca="false">Q62*'Unit Economics'!$E$54</f>
        <v>12.6785002775195</v>
      </c>
      <c r="R64" s="8" t="n">
        <f aca="false">R62*'Unit Economics'!$E$54</f>
        <v>12.2089261931669</v>
      </c>
      <c r="S64" s="8" t="n">
        <f aca="false">S62*'Unit Economics'!$E$54</f>
        <v>9.14204393344338</v>
      </c>
      <c r="T64" s="8" t="n">
        <f aca="false">T62*'Unit Economics'!$E$54</f>
        <v>10.5641396564235</v>
      </c>
      <c r="U64" s="8" t="n">
        <f aca="false">U62*'Unit Economics'!$E$54</f>
        <v>11.5360405048144</v>
      </c>
      <c r="V64" s="8" t="n">
        <f aca="false">V62*'Unit Economics'!$E$54</f>
        <v>10.8548647797682</v>
      </c>
      <c r="W64" s="8" t="n">
        <f aca="false">W62*'Unit Economics'!$E$54</f>
        <v>11.8832203904831</v>
      </c>
      <c r="X64" s="8" t="n">
        <f aca="false">X62*'Unit Economics'!$E$54</f>
        <v>11.7406217457973</v>
      </c>
      <c r="Y64" s="8" t="n">
        <f aca="false">Y62*'Unit Economics'!$E$54</f>
        <v>10.9249574981946</v>
      </c>
      <c r="Z64" s="8" t="n">
        <f aca="false">Z62*'Unit Economics'!$E$54</f>
        <v>11.3619557981223</v>
      </c>
      <c r="AA64" s="8" t="n">
        <f aca="false">AA62*'Unit Economics'!$E$54</f>
        <v>12.9526296098595</v>
      </c>
      <c r="AB64" s="8" t="n">
        <f aca="false">AB62*'Unit Economics'!$E$54</f>
        <v>18.0791440659723</v>
      </c>
      <c r="AC64" s="8" t="n">
        <f aca="false">AC62*'Unit Economics'!$E$54</f>
        <v>19.1499856760337</v>
      </c>
      <c r="AD64" s="8" t="n">
        <f aca="false">AD62*'Unit Economics'!$E$54</f>
        <v>18.0860975829207</v>
      </c>
      <c r="AE64" s="8" t="n">
        <f aca="false">AE62*'Unit Economics'!$E$54</f>
        <v>13.282430064897</v>
      </c>
      <c r="AF64" s="8" t="n">
        <f aca="false">AF62*'Unit Economics'!$E$54</f>
        <v>15.0534207402166</v>
      </c>
      <c r="AG64" s="8" t="n">
        <f aca="false">AG62*'Unit Economics'!$E$54</f>
        <v>16.122213612772</v>
      </c>
      <c r="AH64" s="8" t="n">
        <f aca="false">AH62*'Unit Economics'!$E$54</f>
        <v>14.8784999912153</v>
      </c>
      <c r="AI64" s="8" t="n">
        <f aca="false">AI62*'Unit Economics'!$E$54</f>
        <v>15.9748105168838</v>
      </c>
      <c r="AJ64" s="8" t="n">
        <f aca="false">AJ62*'Unit Economics'!$E$54</f>
        <v>15.4795913908604</v>
      </c>
      <c r="AK64" s="8" t="n">
        <f aca="false">AK62*'Unit Economics'!$E$54</f>
        <v>14.127163932501</v>
      </c>
      <c r="AL64" s="8" t="n">
        <f aca="false">AL62*'Unit Economics'!$E$54</f>
        <v>14.409707211151</v>
      </c>
      <c r="AM64" s="45" t="n">
        <f aca="false">SUMIF($C$6:$AL$6,1,C64:AL64)</f>
        <v>40.9629648484204</v>
      </c>
      <c r="AN64" s="45" t="n">
        <f aca="false">SUMIF($C$6:$AL$6,2,C64:AL64)</f>
        <v>132.883427992593</v>
      </c>
      <c r="AO64" s="45" t="n">
        <f aca="false">SUMIF($C$6:$AL$6,3,C64:AL64)</f>
        <v>187.595694395283</v>
      </c>
      <c r="AP64" s="45" t="n">
        <f aca="false">SUM(C64:AL64)</f>
        <v>361.442087236297</v>
      </c>
    </row>
    <row r="65" customFormat="false" ht="15" hidden="false" customHeight="false" outlineLevel="0" collapsed="false">
      <c r="A65" s="7" t="s">
        <v>764</v>
      </c>
      <c r="B65" s="9" t="s">
        <v>101</v>
      </c>
      <c r="C65" s="8" t="n">
        <f aca="false">C62*'Unit Economics'!$F$54</f>
        <v>-0</v>
      </c>
      <c r="D65" s="8" t="n">
        <f aca="false">D62*'Unit Economics'!$F$54</f>
        <v>-0</v>
      </c>
      <c r="E65" s="8" t="n">
        <f aca="false">E62*'Unit Economics'!$F$54</f>
        <v>0</v>
      </c>
      <c r="F65" s="8" t="n">
        <f aca="false">F62*'Unit Economics'!$F$54</f>
        <v>0.774998756928</v>
      </c>
      <c r="G65" s="8" t="n">
        <f aca="false">G62*'Unit Economics'!$F$54</f>
        <v>1.20527806677443</v>
      </c>
      <c r="H65" s="8" t="n">
        <f aca="false">H62*'Unit Economics'!$F$54</f>
        <v>2.16950052019397</v>
      </c>
      <c r="I65" s="8" t="n">
        <f aca="false">I62*'Unit Economics'!$F$54</f>
        <v>3.28028478653328</v>
      </c>
      <c r="J65" s="8" t="n">
        <f aca="false">J62*'Unit Economics'!$F$54</f>
        <v>4.00663356069422</v>
      </c>
      <c r="K65" s="8" t="n">
        <f aca="false">K62*'Unit Economics'!$F$54</f>
        <v>5.46589167858917</v>
      </c>
      <c r="L65" s="8" t="n">
        <f aca="false">L62*'Unit Economics'!$F$54</f>
        <v>5.60800486223248</v>
      </c>
      <c r="M65" s="8" t="n">
        <f aca="false">M62*'Unit Economics'!$F$54</f>
        <v>5.41910364582044</v>
      </c>
      <c r="N65" s="8" t="n">
        <f aca="false">N62*'Unit Economics'!$F$54</f>
        <v>5.85263193748608</v>
      </c>
      <c r="O65" s="8" t="n">
        <f aca="false">O62*'Unit Economics'!$F$54</f>
        <v>6.80282394616029</v>
      </c>
      <c r="P65" s="8" t="n">
        <f aca="false">P62*'Unit Economics'!$F$54</f>
        <v>9.68149260548286</v>
      </c>
      <c r="Q65" s="8" t="n">
        <f aca="false">Q62*'Unit Economics'!$F$54</f>
        <v>10.4560120139215</v>
      </c>
      <c r="R65" s="8" t="n">
        <f aca="false">R62*'Unit Economics'!$F$54</f>
        <v>10.0687523097022</v>
      </c>
      <c r="S65" s="8" t="n">
        <f aca="false">S62*'Unit Economics'!$F$54</f>
        <v>7.53948172950499</v>
      </c>
      <c r="T65" s="8" t="n">
        <f aca="false">T62*'Unit Economics'!$F$54</f>
        <v>8.7122899985391</v>
      </c>
      <c r="U65" s="8" t="n">
        <f aca="false">U62*'Unit Economics'!$F$54</f>
        <v>9.51382067840469</v>
      </c>
      <c r="V65" s="8" t="n">
        <f aca="false">V62*'Unit Economics'!$F$54</f>
        <v>8.95205221929889</v>
      </c>
      <c r="W65" s="8" t="n">
        <f aca="false">W62*'Unit Economics'!$F$54</f>
        <v>9.80014137691668</v>
      </c>
      <c r="X65" s="8" t="n">
        <f aca="false">X62*'Unit Economics'!$F$54</f>
        <v>9.68253968039368</v>
      </c>
      <c r="Y65" s="8" t="n">
        <f aca="false">Y62*'Unit Economics'!$F$54</f>
        <v>9.00985797628212</v>
      </c>
      <c r="Z65" s="8" t="n">
        <f aca="false">Z62*'Unit Economics'!$F$54</f>
        <v>9.37025229533341</v>
      </c>
      <c r="AA65" s="8" t="n">
        <f aca="false">AA62*'Unit Economics'!$F$54</f>
        <v>10.6820876166801</v>
      </c>
      <c r="AB65" s="8" t="n">
        <f aca="false">AB62*'Unit Economics'!$F$54</f>
        <v>14.9099454523345</v>
      </c>
      <c r="AC65" s="8" t="n">
        <f aca="false">AC62*'Unit Economics'!$F$54</f>
        <v>15.7930729906651</v>
      </c>
      <c r="AD65" s="8" t="n">
        <f aca="false">AD62*'Unit Economics'!$F$54</f>
        <v>14.9156800467393</v>
      </c>
      <c r="AE65" s="8" t="n">
        <f aca="false">AE62*'Unit Economics'!$F$54</f>
        <v>10.9540754263253</v>
      </c>
      <c r="AF65" s="8" t="n">
        <f aca="false">AF62*'Unit Economics'!$F$54</f>
        <v>12.414618816502</v>
      </c>
      <c r="AG65" s="8" t="n">
        <f aca="false">AG62*'Unit Economics'!$F$54</f>
        <v>13.2960567524737</v>
      </c>
      <c r="AH65" s="8" t="n">
        <f aca="false">AH62*'Unit Economics'!$F$54</f>
        <v>12.2703609458543</v>
      </c>
      <c r="AI65" s="8" t="n">
        <f aca="false">AI62*'Unit Economics'!$F$54</f>
        <v>13.1744928050225</v>
      </c>
      <c r="AJ65" s="8" t="n">
        <f aca="false">AJ62*'Unit Economics'!$F$54</f>
        <v>12.7660835280668</v>
      </c>
      <c r="AK65" s="8" t="n">
        <f aca="false">AK62*'Unit Economics'!$F$54</f>
        <v>11.6507309671936</v>
      </c>
      <c r="AL65" s="8" t="n">
        <f aca="false">AL62*'Unit Economics'!$F$54</f>
        <v>11.8837455865374</v>
      </c>
      <c r="AM65" s="45" t="n">
        <f aca="false">SUMIF($C$6:$AL$6,1,C65:AL65)</f>
        <v>33.7823278152521</v>
      </c>
      <c r="AN65" s="45" t="n">
        <f aca="false">SUMIF($C$6:$AL$6,2,C65:AL65)</f>
        <v>109.58951682994</v>
      </c>
      <c r="AO65" s="45" t="n">
        <f aca="false">SUMIF($C$6:$AL$6,3,C65:AL65)</f>
        <v>154.710950934395</v>
      </c>
      <c r="AP65" s="45" t="n">
        <f aca="false">SUM(C65:AL65)</f>
        <v>298.082795579587</v>
      </c>
    </row>
    <row r="66" customFormat="false" ht="15" hidden="false" customHeight="false" outlineLevel="0" collapsed="false">
      <c r="A66" s="5" t="s">
        <v>576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</row>
    <row r="67" customFormat="false" ht="15" hidden="false" customHeight="false" outlineLevel="0" collapsed="false">
      <c r="A67" s="7" t="s">
        <v>755</v>
      </c>
      <c r="B67" s="9" t="s">
        <v>319</v>
      </c>
      <c r="C67" s="38" t="n">
        <f aca="false">IF(AND(Assumptions!$C$140=1,C$4&gt;=Assumptions!$C$141),1,0)</f>
        <v>0</v>
      </c>
      <c r="D67" s="38" t="n">
        <f aca="false">IF(AND(Assumptions!$C$140=1,D$4&gt;=Assumptions!$C$141),1,0)</f>
        <v>0</v>
      </c>
      <c r="E67" s="38" t="n">
        <f aca="false">IF(AND(Assumptions!$C$140=1,E$4&gt;=Assumptions!$C$141),1,0)</f>
        <v>0</v>
      </c>
      <c r="F67" s="38" t="n">
        <f aca="false">IF(AND(Assumptions!$C$140=1,F$4&gt;=Assumptions!$C$141),1,0)</f>
        <v>1</v>
      </c>
      <c r="G67" s="38" t="n">
        <f aca="false">IF(AND(Assumptions!$C$140=1,G$4&gt;=Assumptions!$C$141),1,0)</f>
        <v>1</v>
      </c>
      <c r="H67" s="38" t="n">
        <f aca="false">IF(AND(Assumptions!$C$140=1,H$4&gt;=Assumptions!$C$141),1,0)</f>
        <v>1</v>
      </c>
      <c r="I67" s="38" t="n">
        <f aca="false">IF(AND(Assumptions!$C$140=1,I$4&gt;=Assumptions!$C$141),1,0)</f>
        <v>1</v>
      </c>
      <c r="J67" s="38" t="n">
        <f aca="false">IF(AND(Assumptions!$C$140=1,J$4&gt;=Assumptions!$C$141),1,0)</f>
        <v>1</v>
      </c>
      <c r="K67" s="38" t="n">
        <f aca="false">IF(AND(Assumptions!$C$140=1,K$4&gt;=Assumptions!$C$141),1,0)</f>
        <v>1</v>
      </c>
      <c r="L67" s="38" t="n">
        <f aca="false">IF(AND(Assumptions!$C$140=1,L$4&gt;=Assumptions!$C$141),1,0)</f>
        <v>1</v>
      </c>
      <c r="M67" s="38" t="n">
        <f aca="false">IF(AND(Assumptions!$C$140=1,M$4&gt;=Assumptions!$C$141),1,0)</f>
        <v>1</v>
      </c>
      <c r="N67" s="38" t="n">
        <f aca="false">IF(AND(Assumptions!$C$140=1,N$4&gt;=Assumptions!$C$141),1,0)</f>
        <v>1</v>
      </c>
      <c r="O67" s="38" t="n">
        <f aca="false">IF(AND(Assumptions!$C$140=1,O$4&gt;=Assumptions!$C$141),1,0)</f>
        <v>1</v>
      </c>
      <c r="P67" s="38" t="n">
        <f aca="false">IF(AND(Assumptions!$C$140=1,P$4&gt;=Assumptions!$C$141),1,0)</f>
        <v>1</v>
      </c>
      <c r="Q67" s="38" t="n">
        <f aca="false">IF(AND(Assumptions!$C$140=1,Q$4&gt;=Assumptions!$C$141),1,0)</f>
        <v>1</v>
      </c>
      <c r="R67" s="38" t="n">
        <f aca="false">IF(AND(Assumptions!$C$140=1,R$4&gt;=Assumptions!$C$141),1,0)</f>
        <v>1</v>
      </c>
      <c r="S67" s="38" t="n">
        <f aca="false">IF(AND(Assumptions!$C$140=1,S$4&gt;=Assumptions!$C$141),1,0)</f>
        <v>1</v>
      </c>
      <c r="T67" s="38" t="n">
        <f aca="false">IF(AND(Assumptions!$C$140=1,T$4&gt;=Assumptions!$C$141),1,0)</f>
        <v>1</v>
      </c>
      <c r="U67" s="38" t="n">
        <f aca="false">IF(AND(Assumptions!$C$140=1,U$4&gt;=Assumptions!$C$141),1,0)</f>
        <v>1</v>
      </c>
      <c r="V67" s="38" t="n">
        <f aca="false">IF(AND(Assumptions!$C$140=1,V$4&gt;=Assumptions!$C$141),1,0)</f>
        <v>1</v>
      </c>
      <c r="W67" s="38" t="n">
        <f aca="false">IF(AND(Assumptions!$C$140=1,W$4&gt;=Assumptions!$C$141),1,0)</f>
        <v>1</v>
      </c>
      <c r="X67" s="38" t="n">
        <f aca="false">IF(AND(Assumptions!$C$140=1,X$4&gt;=Assumptions!$C$141),1,0)</f>
        <v>1</v>
      </c>
      <c r="Y67" s="38" t="n">
        <f aca="false">IF(AND(Assumptions!$C$140=1,Y$4&gt;=Assumptions!$C$141),1,0)</f>
        <v>1</v>
      </c>
      <c r="Z67" s="38" t="n">
        <f aca="false">IF(AND(Assumptions!$C$140=1,Z$4&gt;=Assumptions!$C$141),1,0)</f>
        <v>1</v>
      </c>
      <c r="AA67" s="38" t="n">
        <f aca="false">IF(AND(Assumptions!$C$140=1,AA$4&gt;=Assumptions!$C$141),1,0)</f>
        <v>1</v>
      </c>
      <c r="AB67" s="38" t="n">
        <f aca="false">IF(AND(Assumptions!$C$140=1,AB$4&gt;=Assumptions!$C$141),1,0)</f>
        <v>1</v>
      </c>
      <c r="AC67" s="38" t="n">
        <f aca="false">IF(AND(Assumptions!$C$140=1,AC$4&gt;=Assumptions!$C$141),1,0)</f>
        <v>1</v>
      </c>
      <c r="AD67" s="38" t="n">
        <f aca="false">IF(AND(Assumptions!$C$140=1,AD$4&gt;=Assumptions!$C$141),1,0)</f>
        <v>1</v>
      </c>
      <c r="AE67" s="38" t="n">
        <f aca="false">IF(AND(Assumptions!$C$140=1,AE$4&gt;=Assumptions!$C$141),1,0)</f>
        <v>1</v>
      </c>
      <c r="AF67" s="38" t="n">
        <f aca="false">IF(AND(Assumptions!$C$140=1,AF$4&gt;=Assumptions!$C$141),1,0)</f>
        <v>1</v>
      </c>
      <c r="AG67" s="38" t="n">
        <f aca="false">IF(AND(Assumptions!$C$140=1,AG$4&gt;=Assumptions!$C$141),1,0)</f>
        <v>1</v>
      </c>
      <c r="AH67" s="38" t="n">
        <f aca="false">IF(AND(Assumptions!$C$140=1,AH$4&gt;=Assumptions!$C$141),1,0)</f>
        <v>1</v>
      </c>
      <c r="AI67" s="38" t="n">
        <f aca="false">IF(AND(Assumptions!$C$140=1,AI$4&gt;=Assumptions!$C$141),1,0)</f>
        <v>1</v>
      </c>
      <c r="AJ67" s="38" t="n">
        <f aca="false">IF(AND(Assumptions!$C$140=1,AJ$4&gt;=Assumptions!$C$141),1,0)</f>
        <v>1</v>
      </c>
      <c r="AK67" s="38" t="n">
        <f aca="false">IF(AND(Assumptions!$C$140=1,AK$4&gt;=Assumptions!$C$141),1,0)</f>
        <v>1</v>
      </c>
      <c r="AL67" s="38" t="n">
        <f aca="false">IF(AND(Assumptions!$C$140=1,AL$4&gt;=Assumptions!$C$141),1,0)</f>
        <v>1</v>
      </c>
    </row>
    <row r="68" customFormat="false" ht="15" hidden="false" customHeight="false" outlineLevel="0" collapsed="false">
      <c r="A68" s="7" t="s">
        <v>770</v>
      </c>
      <c r="B68" s="9" t="s">
        <v>771</v>
      </c>
      <c r="C68" s="14" t="n">
        <f aca="false">IF(C67=0,0,0*Assumptions!$C$144)</f>
        <v>0</v>
      </c>
      <c r="D68" s="14" t="n">
        <f aca="false">IF(D67=0,0,C109*Assumptions!$C$144)</f>
        <v>0</v>
      </c>
      <c r="E68" s="14" t="n">
        <f aca="false">IF(E67=0,0,D109*Assumptions!$C$144)</f>
        <v>0</v>
      </c>
      <c r="F68" s="14" t="n">
        <f aca="false">IF(F67=0,0,E109*Assumptions!$C$144)</f>
        <v>2.48216563333333</v>
      </c>
      <c r="G68" s="14" t="n">
        <f aca="false">IF(G67=0,0,F109*Assumptions!$C$144)</f>
        <v>3.51887955133333</v>
      </c>
      <c r="H68" s="14" t="n">
        <f aca="false">IF(H67=0,0,G109*Assumptions!$C$144)</f>
        <v>4.32889361094347</v>
      </c>
      <c r="I68" s="14" t="n">
        <f aca="false">IF(I67=0,0,H109*Assumptions!$C$144)</f>
        <v>5.3402823230399</v>
      </c>
      <c r="J68" s="14" t="n">
        <f aca="false">IF(J67=0,0,I109*Assumptions!$C$144)</f>
        <v>6.50605494677132</v>
      </c>
      <c r="K68" s="14" t="n">
        <f aca="false">IF(K67=0,0,J109*Assumptions!$C$144)</f>
        <v>7.62476989657453</v>
      </c>
      <c r="L68" s="14" t="n">
        <f aca="false">IF(L67=0,0,K109*Assumptions!$C$144)</f>
        <v>8.89329985402179</v>
      </c>
      <c r="M68" s="14" t="n">
        <f aca="false">IF(M67=0,0,L109*Assumptions!$C$144)</f>
        <v>10.1733738231038</v>
      </c>
      <c r="N68" s="14" t="n">
        <f aca="false">IF(N67=0,0,M109*Assumptions!$C$144)</f>
        <v>11.374472595415</v>
      </c>
      <c r="O68" s="14" t="n">
        <f aca="false">IF(O67=0,0,N109*Assumptions!$C$144)</f>
        <v>12.6594311933712</v>
      </c>
      <c r="P68" s="14" t="n">
        <f aca="false">IF(P67=0,0,O109*Assumptions!$C$144)</f>
        <v>14.1607203917165</v>
      </c>
      <c r="Q68" s="14" t="n">
        <f aca="false">IF(Q67=0,0,P109*Assumptions!$C$144)</f>
        <v>16.3694578302211</v>
      </c>
      <c r="R68" s="14" t="n">
        <f aca="false">IF(R67=0,0,Q109*Assumptions!$C$144)</f>
        <v>18.7281011484651</v>
      </c>
      <c r="S68" s="14" t="n">
        <f aca="false">IF(S67=0,0,R109*Assumptions!$C$144)</f>
        <v>20.9350727391228</v>
      </c>
      <c r="T68" s="14" t="n">
        <f aca="false">IF(T67=0,0,S109*Assumptions!$C$144)</f>
        <v>22.4457147506656</v>
      </c>
      <c r="U68" s="14" t="n">
        <f aca="false">IF(U67=0,0,T109*Assumptions!$C$144)</f>
        <v>24.2220319550515</v>
      </c>
      <c r="V68" s="14" t="n">
        <f aca="false">IF(V67=0,0,U109*Assumptions!$C$144)</f>
        <v>26.1629806036033</v>
      </c>
      <c r="W68" s="14" t="n">
        <f aca="false">IF(W67=0,0,V109*Assumptions!$C$144)</f>
        <v>27.9176564863662</v>
      </c>
      <c r="X68" s="14" t="n">
        <f aca="false">IF(X67=0,0,W109*Assumptions!$C$144)</f>
        <v>29.84845919814</v>
      </c>
      <c r="Y68" s="14" t="n">
        <f aca="false">IF(Y67=0,0,X109*Assumptions!$C$144)</f>
        <v>31.706303402738</v>
      </c>
      <c r="Z68" s="14" t="n">
        <f aca="false">IF(Z67=0,0,Y109*Assumptions!$C$144)</f>
        <v>33.352335753693</v>
      </c>
      <c r="AA68" s="14" t="n">
        <f aca="false">IF(AA67=0,0,Z109*Assumptions!$C$144)</f>
        <v>35.0524324885741</v>
      </c>
      <c r="AB68" s="14" t="n">
        <f aca="false">IF(AB67=0,0,AA109*Assumptions!$C$144)</f>
        <v>37.0457813247063</v>
      </c>
      <c r="AC68" s="14" t="n">
        <f aca="false">IF(AC67=0,0,AB109*Assumptions!$C$144)</f>
        <v>40.0599470735154</v>
      </c>
      <c r="AD68" s="14" t="n">
        <f aca="false">IF(AD67=0,0,AC109*Assumptions!$C$144)</f>
        <v>43.2302356904713</v>
      </c>
      <c r="AE68" s="14" t="n">
        <f aca="false">IF(AE67=0,0,AD109*Assumptions!$C$144)</f>
        <v>46.1108597105337</v>
      </c>
      <c r="AF68" s="14" t="n">
        <f aca="false">IF(AF67=0,0,AE109*Assumptions!$C$144)</f>
        <v>47.9350511786231</v>
      </c>
      <c r="AG68" s="14" t="n">
        <f aca="false">IF(AG67=0,0,AF109*Assumptions!$C$144)</f>
        <v>50.0843597578196</v>
      </c>
      <c r="AH68" s="14" t="n">
        <f aca="false">IF(AH67=0,0,AG109*Assumptions!$C$144)</f>
        <v>52.4064864597469</v>
      </c>
      <c r="AI68" s="14" t="n">
        <f aca="false">IF(AI67=0,0,AH109*Assumptions!$C$144)</f>
        <v>54.4213170033948</v>
      </c>
      <c r="AJ68" s="14" t="n">
        <f aca="false">IF(AJ67=0,0,AI109*Assumptions!$C$144)</f>
        <v>56.6168168774903</v>
      </c>
      <c r="AK68" s="14" t="n">
        <f aca="false">IF(AK67=0,0,AJ109*Assumptions!$C$144)</f>
        <v>58.6620705708717</v>
      </c>
      <c r="AL68" s="14" t="n">
        <f aca="false">IF(AL67=0,0,AK109*Assumptions!$C$144)</f>
        <v>60.3847004371524</v>
      </c>
    </row>
    <row r="69" customFormat="false" ht="15" hidden="false" customHeight="false" outlineLevel="0" collapsed="false">
      <c r="A69" s="7" t="s">
        <v>772</v>
      </c>
      <c r="B69" s="9" t="s">
        <v>327</v>
      </c>
      <c r="C69" s="52" t="n">
        <f aca="false">C68*C$7</f>
        <v>0</v>
      </c>
      <c r="D69" s="52" t="n">
        <f aca="false">D68*D$7</f>
        <v>0</v>
      </c>
      <c r="E69" s="52" t="n">
        <f aca="false">E68*E$7</f>
        <v>0</v>
      </c>
      <c r="F69" s="52" t="n">
        <f aca="false">F68*F$7</f>
        <v>3.10270704166667</v>
      </c>
      <c r="G69" s="52" t="n">
        <f aca="false">G68*G$7</f>
        <v>3.1669915962</v>
      </c>
      <c r="H69" s="52" t="n">
        <f aca="false">H68*H$7</f>
        <v>4.32889361094347</v>
      </c>
      <c r="I69" s="52" t="n">
        <f aca="false">I68*I$7</f>
        <v>5.6072964391919</v>
      </c>
      <c r="J69" s="52" t="n">
        <f aca="false">J68*J$7</f>
        <v>6.18075219943275</v>
      </c>
      <c r="K69" s="52" t="n">
        <f aca="false">K68*K$7</f>
        <v>7.62476989657453</v>
      </c>
      <c r="L69" s="52" t="n">
        <f aca="false">L68*L$7</f>
        <v>8.4486348613207</v>
      </c>
      <c r="M69" s="52" t="n">
        <f aca="false">M68*M$7</f>
        <v>8.64736774963825</v>
      </c>
      <c r="N69" s="52" t="n">
        <f aca="false">N68*N$7</f>
        <v>9.66830170610277</v>
      </c>
      <c r="O69" s="52" t="n">
        <f aca="false">O68*O$7</f>
        <v>12.0264596337026</v>
      </c>
      <c r="P69" s="52" t="n">
        <f aca="false">P68*P$7</f>
        <v>18.4089365092315</v>
      </c>
      <c r="Q69" s="52" t="n">
        <f aca="false">Q68*Q$7</f>
        <v>22.0987680707985</v>
      </c>
      <c r="R69" s="52" t="n">
        <f aca="false">R68*R$7</f>
        <v>23.4101264355814</v>
      </c>
      <c r="S69" s="52" t="n">
        <f aca="false">S68*S$7</f>
        <v>18.8415654652105</v>
      </c>
      <c r="T69" s="52" t="n">
        <f aca="false">T68*T$7</f>
        <v>22.4457147506656</v>
      </c>
      <c r="U69" s="52" t="n">
        <f aca="false">U68*U$7</f>
        <v>25.4331335528041</v>
      </c>
      <c r="V69" s="52" t="n">
        <f aca="false">V68*V$7</f>
        <v>24.8548315734232</v>
      </c>
      <c r="W69" s="52" t="n">
        <f aca="false">W68*W$7</f>
        <v>27.9176564863662</v>
      </c>
      <c r="X69" s="52" t="n">
        <f aca="false">X68*X$7</f>
        <v>28.356036238233</v>
      </c>
      <c r="Y69" s="52" t="n">
        <f aca="false">Y68*Y$7</f>
        <v>26.9503578923273</v>
      </c>
      <c r="Z69" s="52" t="n">
        <f aca="false">Z68*Z$7</f>
        <v>28.349485390639</v>
      </c>
      <c r="AA69" s="52" t="n">
        <f aca="false">AA68*AA$7</f>
        <v>33.2998108641454</v>
      </c>
      <c r="AB69" s="52" t="n">
        <f aca="false">AB68*AB$7</f>
        <v>48.1595157221182</v>
      </c>
      <c r="AC69" s="52" t="n">
        <f aca="false">AC68*AC$7</f>
        <v>54.0809285492458</v>
      </c>
      <c r="AD69" s="52" t="n">
        <f aca="false">AD68*AD$7</f>
        <v>54.0377946130891</v>
      </c>
      <c r="AE69" s="52" t="n">
        <f aca="false">AE68*AE$7</f>
        <v>41.4997737394804</v>
      </c>
      <c r="AF69" s="52" t="n">
        <f aca="false">AF68*AF$7</f>
        <v>47.9350511786231</v>
      </c>
      <c r="AG69" s="52" t="n">
        <f aca="false">AG68*AG$7</f>
        <v>52.5885777457106</v>
      </c>
      <c r="AH69" s="52" t="n">
        <f aca="false">AH68*AH$7</f>
        <v>49.7861621367595</v>
      </c>
      <c r="AI69" s="52" t="n">
        <f aca="false">AI68*AI$7</f>
        <v>54.4213170033948</v>
      </c>
      <c r="AJ69" s="52" t="n">
        <f aca="false">AJ68*AJ$7</f>
        <v>53.7859760336158</v>
      </c>
      <c r="AK69" s="52" t="n">
        <f aca="false">AK68*AK$7</f>
        <v>49.862759985241</v>
      </c>
      <c r="AL69" s="52" t="n">
        <f aca="false">AL68*AL$7</f>
        <v>51.3269953715796</v>
      </c>
      <c r="AM69" s="53" t="n">
        <f aca="false">SUMIF($C$6:$AL$6,1,C69:AL69)</f>
        <v>56.775715101071</v>
      </c>
      <c r="AN69" s="53" t="n">
        <f aca="false">SUMIF($C$6:$AL$6,2,C69:AL69)</f>
        <v>279.093071998983</v>
      </c>
      <c r="AO69" s="53" t="n">
        <f aca="false">SUMIF($C$6:$AL$6,3,C69:AL69)</f>
        <v>590.784662943003</v>
      </c>
      <c r="AP69" s="53" t="n">
        <f aca="false">SUM(C69:AL69)</f>
        <v>926.653450043057</v>
      </c>
    </row>
    <row r="70" customFormat="false" ht="15" hidden="false" customHeight="false" outlineLevel="0" collapsed="false">
      <c r="A70" s="7" t="s">
        <v>758</v>
      </c>
      <c r="B70" s="9" t="s">
        <v>96</v>
      </c>
      <c r="C70" s="54" t="n">
        <f aca="false">Assumptions!$C$142*MIN(1,(C$4-Assumptions!$C$141+1)/Assumptions!$C$10)*C67</f>
        <v>-0</v>
      </c>
      <c r="D70" s="54" t="n">
        <f aca="false">Assumptions!$C$142*MIN(1,(D$4-Assumptions!$C$141+1)/Assumptions!$C$10)*D67</f>
        <v>-0</v>
      </c>
      <c r="E70" s="54" t="n">
        <f aca="false">Assumptions!$C$142*MIN(1,(E$4-Assumptions!$C$141+1)/Assumptions!$C$10)*E67</f>
        <v>0</v>
      </c>
      <c r="F70" s="54" t="n">
        <f aca="false">Assumptions!$C$142*MIN(1,(F$4-Assumptions!$C$141+1)/Assumptions!$C$10)*F67</f>
        <v>0.00166666666666667</v>
      </c>
      <c r="G70" s="54" t="n">
        <f aca="false">Assumptions!$C$142*MIN(1,(G$4-Assumptions!$C$141+1)/Assumptions!$C$10)*G67</f>
        <v>0.00333333333333333</v>
      </c>
      <c r="H70" s="54" t="n">
        <f aca="false">Assumptions!$C$142*MIN(1,(H$4-Assumptions!$C$141+1)/Assumptions!$C$10)*H67</f>
        <v>0.005</v>
      </c>
      <c r="I70" s="54" t="n">
        <f aca="false">Assumptions!$C$142*MIN(1,(I$4-Assumptions!$C$141+1)/Assumptions!$C$10)*I67</f>
        <v>0.00666666666666667</v>
      </c>
      <c r="J70" s="54" t="n">
        <f aca="false">Assumptions!$C$142*MIN(1,(J$4-Assumptions!$C$141+1)/Assumptions!$C$10)*J67</f>
        <v>0.00833333333333333</v>
      </c>
      <c r="K70" s="54" t="n">
        <f aca="false">Assumptions!$C$142*MIN(1,(K$4-Assumptions!$C$141+1)/Assumptions!$C$10)*K67</f>
        <v>0.01</v>
      </c>
      <c r="L70" s="54" t="n">
        <f aca="false">Assumptions!$C$142*MIN(1,(L$4-Assumptions!$C$141+1)/Assumptions!$C$10)*L67</f>
        <v>0.01</v>
      </c>
      <c r="M70" s="54" t="n">
        <f aca="false">Assumptions!$C$142*MIN(1,(M$4-Assumptions!$C$141+1)/Assumptions!$C$10)*M67</f>
        <v>0.01</v>
      </c>
      <c r="N70" s="54" t="n">
        <f aca="false">Assumptions!$C$142*MIN(1,(N$4-Assumptions!$C$141+1)/Assumptions!$C$10)*N67</f>
        <v>0.01</v>
      </c>
      <c r="O70" s="54" t="n">
        <f aca="false">Assumptions!$C$142*MIN(1,(O$4-Assumptions!$C$141+1)/Assumptions!$C$10)*O67</f>
        <v>0.01</v>
      </c>
      <c r="P70" s="54" t="n">
        <f aca="false">Assumptions!$C$142*MIN(1,(P$4-Assumptions!$C$141+1)/Assumptions!$C$10)*P67</f>
        <v>0.01</v>
      </c>
      <c r="Q70" s="54" t="n">
        <f aca="false">Assumptions!$C$142*MIN(1,(Q$4-Assumptions!$C$141+1)/Assumptions!$C$10)*Q67</f>
        <v>0.01</v>
      </c>
      <c r="R70" s="54" t="n">
        <f aca="false">Assumptions!$C$142*MIN(1,(R$4-Assumptions!$C$141+1)/Assumptions!$C$10)*R67</f>
        <v>0.01</v>
      </c>
      <c r="S70" s="54" t="n">
        <f aca="false">Assumptions!$C$142*MIN(1,(S$4-Assumptions!$C$141+1)/Assumptions!$C$10)*S67</f>
        <v>0.01</v>
      </c>
      <c r="T70" s="54" t="n">
        <f aca="false">Assumptions!$C$142*MIN(1,(T$4-Assumptions!$C$141+1)/Assumptions!$C$10)*T67</f>
        <v>0.01</v>
      </c>
      <c r="U70" s="54" t="n">
        <f aca="false">Assumptions!$C$142*MIN(1,(U$4-Assumptions!$C$141+1)/Assumptions!$C$10)*U67</f>
        <v>0.01</v>
      </c>
      <c r="V70" s="54" t="n">
        <f aca="false">Assumptions!$C$142*MIN(1,(V$4-Assumptions!$C$141+1)/Assumptions!$C$10)*V67</f>
        <v>0.01</v>
      </c>
      <c r="W70" s="54" t="n">
        <f aca="false">Assumptions!$C$142*MIN(1,(W$4-Assumptions!$C$141+1)/Assumptions!$C$10)*W67</f>
        <v>0.01</v>
      </c>
      <c r="X70" s="54" t="n">
        <f aca="false">Assumptions!$C$142*MIN(1,(X$4-Assumptions!$C$141+1)/Assumptions!$C$10)*X67</f>
        <v>0.01</v>
      </c>
      <c r="Y70" s="54" t="n">
        <f aca="false">Assumptions!$C$142*MIN(1,(Y$4-Assumptions!$C$141+1)/Assumptions!$C$10)*Y67</f>
        <v>0.01</v>
      </c>
      <c r="Z70" s="54" t="n">
        <f aca="false">Assumptions!$C$142*MIN(1,(Z$4-Assumptions!$C$141+1)/Assumptions!$C$10)*Z67</f>
        <v>0.01</v>
      </c>
      <c r="AA70" s="54" t="n">
        <f aca="false">Assumptions!$C$142*MIN(1,(AA$4-Assumptions!$C$141+1)/Assumptions!$C$10)*AA67</f>
        <v>0.01</v>
      </c>
      <c r="AB70" s="54" t="n">
        <f aca="false">Assumptions!$C$142*MIN(1,(AB$4-Assumptions!$C$141+1)/Assumptions!$C$10)*AB67</f>
        <v>0.01</v>
      </c>
      <c r="AC70" s="54" t="n">
        <f aca="false">Assumptions!$C$142*MIN(1,(AC$4-Assumptions!$C$141+1)/Assumptions!$C$10)*AC67</f>
        <v>0.01</v>
      </c>
      <c r="AD70" s="54" t="n">
        <f aca="false">Assumptions!$C$142*MIN(1,(AD$4-Assumptions!$C$141+1)/Assumptions!$C$10)*AD67</f>
        <v>0.01</v>
      </c>
      <c r="AE70" s="54" t="n">
        <f aca="false">Assumptions!$C$142*MIN(1,(AE$4-Assumptions!$C$141+1)/Assumptions!$C$10)*AE67</f>
        <v>0.01</v>
      </c>
      <c r="AF70" s="54" t="n">
        <f aca="false">Assumptions!$C$142*MIN(1,(AF$4-Assumptions!$C$141+1)/Assumptions!$C$10)*AF67</f>
        <v>0.01</v>
      </c>
      <c r="AG70" s="54" t="n">
        <f aca="false">Assumptions!$C$142*MIN(1,(AG$4-Assumptions!$C$141+1)/Assumptions!$C$10)*AG67</f>
        <v>0.01</v>
      </c>
      <c r="AH70" s="54" t="n">
        <f aca="false">Assumptions!$C$142*MIN(1,(AH$4-Assumptions!$C$141+1)/Assumptions!$C$10)*AH67</f>
        <v>0.01</v>
      </c>
      <c r="AI70" s="54" t="n">
        <f aca="false">Assumptions!$C$142*MIN(1,(AI$4-Assumptions!$C$141+1)/Assumptions!$C$10)*AI67</f>
        <v>0.01</v>
      </c>
      <c r="AJ70" s="54" t="n">
        <f aca="false">Assumptions!$C$142*MIN(1,(AJ$4-Assumptions!$C$141+1)/Assumptions!$C$10)*AJ67</f>
        <v>0.01</v>
      </c>
      <c r="AK70" s="54" t="n">
        <f aca="false">Assumptions!$C$142*MIN(1,(AK$4-Assumptions!$C$141+1)/Assumptions!$C$10)*AK67</f>
        <v>0.01</v>
      </c>
      <c r="AL70" s="54" t="n">
        <f aca="false">Assumptions!$C$142*MIN(1,(AL$4-Assumptions!$C$141+1)/Assumptions!$C$10)*AL67</f>
        <v>0.01</v>
      </c>
    </row>
    <row r="71" customFormat="false" ht="15" hidden="false" customHeight="false" outlineLevel="0" collapsed="false">
      <c r="A71" s="7" t="s">
        <v>766</v>
      </c>
      <c r="B71" s="9" t="s">
        <v>760</v>
      </c>
      <c r="C71" s="55" t="n">
        <f aca="false">C69*C70</f>
        <v>-0</v>
      </c>
      <c r="D71" s="55" t="n">
        <f aca="false">D69*D70</f>
        <v>-0</v>
      </c>
      <c r="E71" s="55" t="n">
        <f aca="false">E69*E70</f>
        <v>0</v>
      </c>
      <c r="F71" s="55" t="n">
        <f aca="false">F69*F70</f>
        <v>0.00517117840277778</v>
      </c>
      <c r="G71" s="55" t="n">
        <f aca="false">G69*G70</f>
        <v>0.010556638654</v>
      </c>
      <c r="H71" s="55" t="n">
        <f aca="false">H69*H70</f>
        <v>0.0216444680547173</v>
      </c>
      <c r="I71" s="55" t="n">
        <f aca="false">I69*I70</f>
        <v>0.0373819762612793</v>
      </c>
      <c r="J71" s="55" t="n">
        <f aca="false">J69*J70</f>
        <v>0.0515062683286063</v>
      </c>
      <c r="K71" s="55" t="n">
        <f aca="false">K69*K70</f>
        <v>0.0762476989657454</v>
      </c>
      <c r="L71" s="55" t="n">
        <f aca="false">L69*L70</f>
        <v>0.084486348613207</v>
      </c>
      <c r="M71" s="55" t="n">
        <f aca="false">M69*M70</f>
        <v>0.0864736774963825</v>
      </c>
      <c r="N71" s="55" t="n">
        <f aca="false">N69*N70</f>
        <v>0.0966830170610277</v>
      </c>
      <c r="O71" s="55" t="n">
        <f aca="false">O69*O70</f>
        <v>0.120264596337026</v>
      </c>
      <c r="P71" s="55" t="n">
        <f aca="false">P69*P70</f>
        <v>0.184089365092315</v>
      </c>
      <c r="Q71" s="55" t="n">
        <f aca="false">Q69*Q70</f>
        <v>0.220987680707985</v>
      </c>
      <c r="R71" s="55" t="n">
        <f aca="false">R69*R70</f>
        <v>0.234101264355814</v>
      </c>
      <c r="S71" s="55" t="n">
        <f aca="false">S69*S70</f>
        <v>0.188415654652105</v>
      </c>
      <c r="T71" s="55" t="n">
        <f aca="false">T69*T70</f>
        <v>0.224457147506656</v>
      </c>
      <c r="U71" s="55" t="n">
        <f aca="false">U69*U70</f>
        <v>0.254331335528041</v>
      </c>
      <c r="V71" s="55" t="n">
        <f aca="false">V69*V70</f>
        <v>0.248548315734232</v>
      </c>
      <c r="W71" s="55" t="n">
        <f aca="false">W69*W70</f>
        <v>0.279176564863662</v>
      </c>
      <c r="X71" s="55" t="n">
        <f aca="false">X69*X70</f>
        <v>0.28356036238233</v>
      </c>
      <c r="Y71" s="55" t="n">
        <f aca="false">Y69*Y70</f>
        <v>0.269503578923273</v>
      </c>
      <c r="Z71" s="55" t="n">
        <f aca="false">Z69*Z70</f>
        <v>0.28349485390639</v>
      </c>
      <c r="AA71" s="55" t="n">
        <f aca="false">AA69*AA70</f>
        <v>0.332998108641454</v>
      </c>
      <c r="AB71" s="55" t="n">
        <f aca="false">AB69*AB70</f>
        <v>0.481595157221182</v>
      </c>
      <c r="AC71" s="55" t="n">
        <f aca="false">AC69*AC70</f>
        <v>0.540809285492458</v>
      </c>
      <c r="AD71" s="55" t="n">
        <f aca="false">AD69*AD70</f>
        <v>0.540377946130891</v>
      </c>
      <c r="AE71" s="55" t="n">
        <f aca="false">AE69*AE70</f>
        <v>0.414997737394804</v>
      </c>
      <c r="AF71" s="55" t="n">
        <f aca="false">AF69*AF70</f>
        <v>0.479350511786231</v>
      </c>
      <c r="AG71" s="55" t="n">
        <f aca="false">AG69*AG70</f>
        <v>0.525885777457106</v>
      </c>
      <c r="AH71" s="55" t="n">
        <f aca="false">AH69*AH70</f>
        <v>0.497861621367595</v>
      </c>
      <c r="AI71" s="55" t="n">
        <f aca="false">AI69*AI70</f>
        <v>0.544213170033948</v>
      </c>
      <c r="AJ71" s="55" t="n">
        <f aca="false">AJ69*AJ70</f>
        <v>0.537859760336158</v>
      </c>
      <c r="AK71" s="55" t="n">
        <f aca="false">AK69*AK70</f>
        <v>0.49862759985241</v>
      </c>
      <c r="AL71" s="55" t="n">
        <f aca="false">AL69*AL70</f>
        <v>0.513269953715796</v>
      </c>
      <c r="AM71" s="53" t="n">
        <f aca="false">SUMIF($C$6:$AL$6,1,C71:AL71)</f>
        <v>0.470151271837743</v>
      </c>
      <c r="AN71" s="53" t="n">
        <f aca="false">SUMIF($C$6:$AL$6,2,C71:AL71)</f>
        <v>2.79093071998983</v>
      </c>
      <c r="AO71" s="53" t="n">
        <f aca="false">SUMIF($C$6:$AL$6,3,C71:AL71)</f>
        <v>5.90784662943003</v>
      </c>
      <c r="AP71" s="53" t="n">
        <f aca="false">SUM(C71:AL71)</f>
        <v>9.16892862125761</v>
      </c>
    </row>
    <row r="72" customFormat="false" ht="15" hidden="false" customHeight="false" outlineLevel="0" collapsed="false">
      <c r="A72" s="7" t="s">
        <v>761</v>
      </c>
      <c r="B72" s="9" t="s">
        <v>342</v>
      </c>
      <c r="C72" s="56" t="n">
        <f aca="false">C71*Assumptions!$C$143</f>
        <v>-0</v>
      </c>
      <c r="D72" s="56" t="n">
        <f aca="false">D71*Assumptions!$C$143</f>
        <v>-0</v>
      </c>
      <c r="E72" s="56" t="n">
        <f aca="false">E71*Assumptions!$C$143</f>
        <v>0</v>
      </c>
      <c r="F72" s="56" t="n">
        <f aca="false">F71*Assumptions!$C$143</f>
        <v>0.00517117840277778</v>
      </c>
      <c r="G72" s="56" t="n">
        <f aca="false">G71*Assumptions!$C$143</f>
        <v>0.010556638654</v>
      </c>
      <c r="H72" s="56" t="n">
        <f aca="false">H71*Assumptions!$C$143</f>
        <v>0.0216444680547173</v>
      </c>
      <c r="I72" s="56" t="n">
        <f aca="false">I71*Assumptions!$C$143</f>
        <v>0.0373819762612793</v>
      </c>
      <c r="J72" s="56" t="n">
        <f aca="false">J71*Assumptions!$C$143</f>
        <v>0.0515062683286063</v>
      </c>
      <c r="K72" s="56" t="n">
        <f aca="false">K71*Assumptions!$C$143</f>
        <v>0.0762476989657454</v>
      </c>
      <c r="L72" s="56" t="n">
        <f aca="false">L71*Assumptions!$C$143</f>
        <v>0.084486348613207</v>
      </c>
      <c r="M72" s="56" t="n">
        <f aca="false">M71*Assumptions!$C$143</f>
        <v>0.0864736774963825</v>
      </c>
      <c r="N72" s="56" t="n">
        <f aca="false">N71*Assumptions!$C$143</f>
        <v>0.0966830170610277</v>
      </c>
      <c r="O72" s="56" t="n">
        <f aca="false">O71*Assumptions!$C$143</f>
        <v>0.120264596337026</v>
      </c>
      <c r="P72" s="56" t="n">
        <f aca="false">P71*Assumptions!$C$143</f>
        <v>0.184089365092315</v>
      </c>
      <c r="Q72" s="56" t="n">
        <f aca="false">Q71*Assumptions!$C$143</f>
        <v>0.220987680707985</v>
      </c>
      <c r="R72" s="56" t="n">
        <f aca="false">R71*Assumptions!$C$143</f>
        <v>0.234101264355814</v>
      </c>
      <c r="S72" s="56" t="n">
        <f aca="false">S71*Assumptions!$C$143</f>
        <v>0.188415654652105</v>
      </c>
      <c r="T72" s="56" t="n">
        <f aca="false">T71*Assumptions!$C$143</f>
        <v>0.224457147506656</v>
      </c>
      <c r="U72" s="56" t="n">
        <f aca="false">U71*Assumptions!$C$143</f>
        <v>0.254331335528041</v>
      </c>
      <c r="V72" s="56" t="n">
        <f aca="false">V71*Assumptions!$C$143</f>
        <v>0.248548315734232</v>
      </c>
      <c r="W72" s="56" t="n">
        <f aca="false">W71*Assumptions!$C$143</f>
        <v>0.279176564863662</v>
      </c>
      <c r="X72" s="56" t="n">
        <f aca="false">X71*Assumptions!$C$143</f>
        <v>0.28356036238233</v>
      </c>
      <c r="Y72" s="56" t="n">
        <f aca="false">Y71*Assumptions!$C$143</f>
        <v>0.269503578923273</v>
      </c>
      <c r="Z72" s="56" t="n">
        <f aca="false">Z71*Assumptions!$C$143</f>
        <v>0.28349485390639</v>
      </c>
      <c r="AA72" s="56" t="n">
        <f aca="false">AA71*Assumptions!$C$143</f>
        <v>0.332998108641454</v>
      </c>
      <c r="AB72" s="56" t="n">
        <f aca="false">AB71*Assumptions!$C$143</f>
        <v>0.481595157221182</v>
      </c>
      <c r="AC72" s="56" t="n">
        <f aca="false">AC71*Assumptions!$C$143</f>
        <v>0.540809285492458</v>
      </c>
      <c r="AD72" s="56" t="n">
        <f aca="false">AD71*Assumptions!$C$143</f>
        <v>0.540377946130891</v>
      </c>
      <c r="AE72" s="56" t="n">
        <f aca="false">AE71*Assumptions!$C$143</f>
        <v>0.414997737394804</v>
      </c>
      <c r="AF72" s="56" t="n">
        <f aca="false">AF71*Assumptions!$C$143</f>
        <v>0.479350511786231</v>
      </c>
      <c r="AG72" s="56" t="n">
        <f aca="false">AG71*Assumptions!$C$143</f>
        <v>0.525885777457106</v>
      </c>
      <c r="AH72" s="56" t="n">
        <f aca="false">AH71*Assumptions!$C$143</f>
        <v>0.497861621367595</v>
      </c>
      <c r="AI72" s="56" t="n">
        <f aca="false">AI71*Assumptions!$C$143</f>
        <v>0.544213170033948</v>
      </c>
      <c r="AJ72" s="56" t="n">
        <f aca="false">AJ71*Assumptions!$C$143</f>
        <v>0.537859760336158</v>
      </c>
      <c r="AK72" s="56" t="n">
        <f aca="false">AK71*Assumptions!$C$143</f>
        <v>0.49862759985241</v>
      </c>
      <c r="AL72" s="56" t="n">
        <f aca="false">AL71*Assumptions!$C$143</f>
        <v>0.513269953715796</v>
      </c>
      <c r="AM72" s="53" t="n">
        <f aca="false">SUMIF($C$6:$AL$6,1,C72:AL72)</f>
        <v>0.470151271837743</v>
      </c>
      <c r="AN72" s="53" t="n">
        <f aca="false">SUMIF($C$6:$AL$6,2,C72:AL72)</f>
        <v>2.79093071998983</v>
      </c>
      <c r="AO72" s="53" t="n">
        <f aca="false">SUMIF($C$6:$AL$6,3,C72:AL72)</f>
        <v>5.90784662943003</v>
      </c>
      <c r="AP72" s="53" t="n">
        <f aca="false">SUM(C72:AL72)</f>
        <v>9.16892862125761</v>
      </c>
    </row>
    <row r="73" customFormat="false" ht="15" hidden="false" customHeight="false" outlineLevel="0" collapsed="false">
      <c r="A73" s="7" t="s">
        <v>762</v>
      </c>
      <c r="B73" s="9" t="s">
        <v>101</v>
      </c>
      <c r="C73" s="15" t="n">
        <f aca="false">'Unit Economics'!$E$55*Assumptions!$C$143*C67</f>
        <v>0</v>
      </c>
      <c r="D73" s="15" t="n">
        <f aca="false">'Unit Economics'!$E$55*Assumptions!$C$143*D67</f>
        <v>0</v>
      </c>
      <c r="E73" s="15" t="n">
        <f aca="false">'Unit Economics'!$E$55*Assumptions!$C$143*E67</f>
        <v>0</v>
      </c>
      <c r="F73" s="15" t="n">
        <f aca="false">'Unit Economics'!$E$55*Assumptions!$C$143*F67</f>
        <v>33.6</v>
      </c>
      <c r="G73" s="15" t="n">
        <f aca="false">'Unit Economics'!$E$55*Assumptions!$C$143*G67</f>
        <v>33.6</v>
      </c>
      <c r="H73" s="15" t="n">
        <f aca="false">'Unit Economics'!$E$55*Assumptions!$C$143*H67</f>
        <v>33.6</v>
      </c>
      <c r="I73" s="15" t="n">
        <f aca="false">'Unit Economics'!$E$55*Assumptions!$C$143*I67</f>
        <v>33.6</v>
      </c>
      <c r="J73" s="15" t="n">
        <f aca="false">'Unit Economics'!$E$55*Assumptions!$C$143*J67</f>
        <v>33.6</v>
      </c>
      <c r="K73" s="15" t="n">
        <f aca="false">'Unit Economics'!$E$55*Assumptions!$C$143*K67</f>
        <v>33.6</v>
      </c>
      <c r="L73" s="15" t="n">
        <f aca="false">'Unit Economics'!$E$55*Assumptions!$C$143*L67</f>
        <v>33.6</v>
      </c>
      <c r="M73" s="15" t="n">
        <f aca="false">'Unit Economics'!$E$55*Assumptions!$C$143*M67</f>
        <v>33.6</v>
      </c>
      <c r="N73" s="15" t="n">
        <f aca="false">'Unit Economics'!$E$55*Assumptions!$C$143*N67</f>
        <v>33.6</v>
      </c>
      <c r="O73" s="15" t="n">
        <f aca="false">'Unit Economics'!$E$55*Assumptions!$C$143*O67</f>
        <v>33.6</v>
      </c>
      <c r="P73" s="15" t="n">
        <f aca="false">'Unit Economics'!$E$55*Assumptions!$C$143*P67</f>
        <v>33.6</v>
      </c>
      <c r="Q73" s="15" t="n">
        <f aca="false">'Unit Economics'!$E$55*Assumptions!$C$143*Q67</f>
        <v>33.6</v>
      </c>
      <c r="R73" s="15" t="n">
        <f aca="false">'Unit Economics'!$E$55*Assumptions!$C$143*R67</f>
        <v>33.6</v>
      </c>
      <c r="S73" s="15" t="n">
        <f aca="false">'Unit Economics'!$E$55*Assumptions!$C$143*S67</f>
        <v>33.6</v>
      </c>
      <c r="T73" s="15" t="n">
        <f aca="false">'Unit Economics'!$E$55*Assumptions!$C$143*T67</f>
        <v>33.6</v>
      </c>
      <c r="U73" s="15" t="n">
        <f aca="false">'Unit Economics'!$E$55*Assumptions!$C$143*U67</f>
        <v>33.6</v>
      </c>
      <c r="V73" s="15" t="n">
        <f aca="false">'Unit Economics'!$E$55*Assumptions!$C$143*V67</f>
        <v>33.6</v>
      </c>
      <c r="W73" s="15" t="n">
        <f aca="false">'Unit Economics'!$E$55*Assumptions!$C$143*W67</f>
        <v>33.6</v>
      </c>
      <c r="X73" s="15" t="n">
        <f aca="false">'Unit Economics'!$E$55*Assumptions!$C$143*X67</f>
        <v>33.6</v>
      </c>
      <c r="Y73" s="15" t="n">
        <f aca="false">'Unit Economics'!$E$55*Assumptions!$C$143*Y67</f>
        <v>33.6</v>
      </c>
      <c r="Z73" s="15" t="n">
        <f aca="false">'Unit Economics'!$E$55*Assumptions!$C$143*Z67</f>
        <v>33.6</v>
      </c>
      <c r="AA73" s="15" t="n">
        <f aca="false">'Unit Economics'!$E$55*Assumptions!$C$143*AA67</f>
        <v>33.6</v>
      </c>
      <c r="AB73" s="15" t="n">
        <f aca="false">'Unit Economics'!$E$55*Assumptions!$C$143*AB67</f>
        <v>33.6</v>
      </c>
      <c r="AC73" s="15" t="n">
        <f aca="false">'Unit Economics'!$E$55*Assumptions!$C$143*AC67</f>
        <v>33.6</v>
      </c>
      <c r="AD73" s="15" t="n">
        <f aca="false">'Unit Economics'!$E$55*Assumptions!$C$143*AD67</f>
        <v>33.6</v>
      </c>
      <c r="AE73" s="15" t="n">
        <f aca="false">'Unit Economics'!$E$55*Assumptions!$C$143*AE67</f>
        <v>33.6</v>
      </c>
      <c r="AF73" s="15" t="n">
        <f aca="false">'Unit Economics'!$E$55*Assumptions!$C$143*AF67</f>
        <v>33.6</v>
      </c>
      <c r="AG73" s="15" t="n">
        <f aca="false">'Unit Economics'!$E$55*Assumptions!$C$143*AG67</f>
        <v>33.6</v>
      </c>
      <c r="AH73" s="15" t="n">
        <f aca="false">'Unit Economics'!$E$55*Assumptions!$C$143*AH67</f>
        <v>33.6</v>
      </c>
      <c r="AI73" s="15" t="n">
        <f aca="false">'Unit Economics'!$E$55*Assumptions!$C$143*AI67</f>
        <v>33.6</v>
      </c>
      <c r="AJ73" s="15" t="n">
        <f aca="false">'Unit Economics'!$E$55*Assumptions!$C$143*AJ67</f>
        <v>33.6</v>
      </c>
      <c r="AK73" s="15" t="n">
        <f aca="false">'Unit Economics'!$E$55*Assumptions!$C$143*AK67</f>
        <v>33.6</v>
      </c>
      <c r="AL73" s="15" t="n">
        <f aca="false">'Unit Economics'!$E$55*Assumptions!$C$143*AL67</f>
        <v>33.6</v>
      </c>
    </row>
    <row r="74" customFormat="false" ht="15" hidden="false" customHeight="false" outlineLevel="0" collapsed="false">
      <c r="A74" s="7" t="s">
        <v>763</v>
      </c>
      <c r="B74" s="9" t="s">
        <v>101</v>
      </c>
      <c r="C74" s="8" t="n">
        <f aca="false">C72*'Unit Economics'!$E$55</f>
        <v>-0</v>
      </c>
      <c r="D74" s="8" t="n">
        <f aca="false">D72*'Unit Economics'!$E$55</f>
        <v>-0</v>
      </c>
      <c r="E74" s="8" t="n">
        <f aca="false">E72*'Unit Economics'!$E$55</f>
        <v>0</v>
      </c>
      <c r="F74" s="8" t="n">
        <f aca="false">F72*'Unit Economics'!$E$55</f>
        <v>0.173751594333333</v>
      </c>
      <c r="G74" s="8" t="n">
        <f aca="false">G72*'Unit Economics'!$E$55</f>
        <v>0.3547030587744</v>
      </c>
      <c r="H74" s="8" t="n">
        <f aca="false">H72*'Unit Economics'!$E$55</f>
        <v>0.727254126638502</v>
      </c>
      <c r="I74" s="8" t="n">
        <f aca="false">I72*'Unit Economics'!$E$55</f>
        <v>1.25603440237899</v>
      </c>
      <c r="J74" s="8" t="n">
        <f aca="false">J72*'Unit Economics'!$E$55</f>
        <v>1.73061061584117</v>
      </c>
      <c r="K74" s="8" t="n">
        <f aca="false">K72*'Unit Economics'!$E$55</f>
        <v>2.56192268524904</v>
      </c>
      <c r="L74" s="8" t="n">
        <f aca="false">L72*'Unit Economics'!$E$55</f>
        <v>2.83874131340376</v>
      </c>
      <c r="M74" s="8" t="n">
        <f aca="false">M72*'Unit Economics'!$E$55</f>
        <v>2.90551556387845</v>
      </c>
      <c r="N74" s="8" t="n">
        <f aca="false">N72*'Unit Economics'!$E$55</f>
        <v>3.24854937325053</v>
      </c>
      <c r="O74" s="8" t="n">
        <f aca="false">O72*'Unit Economics'!$E$55</f>
        <v>4.04089043692407</v>
      </c>
      <c r="P74" s="8" t="n">
        <f aca="false">P72*'Unit Economics'!$E$55</f>
        <v>6.18540266710177</v>
      </c>
      <c r="Q74" s="8" t="n">
        <f aca="false">Q72*'Unit Economics'!$E$55</f>
        <v>7.42518607178828</v>
      </c>
      <c r="R74" s="8" t="n">
        <f aca="false">R72*'Unit Economics'!$E$55</f>
        <v>7.86580248235535</v>
      </c>
      <c r="S74" s="8" t="n">
        <f aca="false">S72*'Unit Economics'!$E$55</f>
        <v>6.33076599631073</v>
      </c>
      <c r="T74" s="8" t="n">
        <f aca="false">T72*'Unit Economics'!$E$55</f>
        <v>7.54176015622364</v>
      </c>
      <c r="U74" s="8" t="n">
        <f aca="false">U72*'Unit Economics'!$E$55</f>
        <v>8.54553287374217</v>
      </c>
      <c r="V74" s="8" t="n">
        <f aca="false">V72*'Unit Economics'!$E$55</f>
        <v>8.35122340867018</v>
      </c>
      <c r="W74" s="8" t="n">
        <f aca="false">W72*'Unit Economics'!$E$55</f>
        <v>9.38033257941906</v>
      </c>
      <c r="X74" s="8" t="n">
        <f aca="false">X72*'Unit Economics'!$E$55</f>
        <v>9.5276281760463</v>
      </c>
      <c r="Y74" s="8" t="n">
        <f aca="false">Y72*'Unit Economics'!$E$55</f>
        <v>9.05532025182198</v>
      </c>
      <c r="Z74" s="8" t="n">
        <f aca="false">Z72*'Unit Economics'!$E$55</f>
        <v>9.52542709125471</v>
      </c>
      <c r="AA74" s="8" t="n">
        <f aca="false">AA72*'Unit Economics'!$E$55</f>
        <v>11.1887364503529</v>
      </c>
      <c r="AB74" s="8" t="n">
        <f aca="false">AB72*'Unit Economics'!$E$55</f>
        <v>16.1815972826317</v>
      </c>
      <c r="AC74" s="8" t="n">
        <f aca="false">AC72*'Unit Economics'!$E$55</f>
        <v>18.1711919925466</v>
      </c>
      <c r="AD74" s="8" t="n">
        <f aca="false">AD72*'Unit Economics'!$E$55</f>
        <v>18.1566989899979</v>
      </c>
      <c r="AE74" s="8" t="n">
        <f aca="false">AE72*'Unit Economics'!$E$55</f>
        <v>13.9439239764654</v>
      </c>
      <c r="AF74" s="8" t="n">
        <f aca="false">AF72*'Unit Economics'!$E$55</f>
        <v>16.1061771960174</v>
      </c>
      <c r="AG74" s="8" t="n">
        <f aca="false">AG72*'Unit Economics'!$E$55</f>
        <v>17.6697621225588</v>
      </c>
      <c r="AH74" s="8" t="n">
        <f aca="false">AH72*'Unit Economics'!$E$55</f>
        <v>16.7281504779512</v>
      </c>
      <c r="AI74" s="8" t="n">
        <f aca="false">AI72*'Unit Economics'!$E$55</f>
        <v>18.2855625131407</v>
      </c>
      <c r="AJ74" s="8" t="n">
        <f aca="false">AJ72*'Unit Economics'!$E$55</f>
        <v>18.0720879472949</v>
      </c>
      <c r="AK74" s="8" t="n">
        <f aca="false">AK72*'Unit Economics'!$E$55</f>
        <v>16.753887355041</v>
      </c>
      <c r="AL74" s="8" t="n">
        <f aca="false">AL72*'Unit Economics'!$E$55</f>
        <v>17.2458704448507</v>
      </c>
      <c r="AM74" s="45" t="n">
        <f aca="false">SUMIF($C$6:$AL$6,1,C74:AL74)</f>
        <v>15.7970827337482</v>
      </c>
      <c r="AN74" s="45" t="n">
        <f aca="false">SUMIF($C$6:$AL$6,2,C74:AL74)</f>
        <v>93.7752721916583</v>
      </c>
      <c r="AO74" s="45" t="n">
        <f aca="false">SUMIF($C$6:$AL$6,3,C74:AL74)</f>
        <v>198.503646748849</v>
      </c>
      <c r="AP74" s="45" t="n">
        <f aca="false">SUM(C74:AL74)</f>
        <v>308.076001674256</v>
      </c>
    </row>
    <row r="75" customFormat="false" ht="15" hidden="false" customHeight="false" outlineLevel="0" collapsed="false">
      <c r="A75" s="7" t="s">
        <v>764</v>
      </c>
      <c r="B75" s="9" t="s">
        <v>101</v>
      </c>
      <c r="C75" s="8" t="n">
        <f aca="false">C72*'Unit Economics'!$F$55</f>
        <v>-0</v>
      </c>
      <c r="D75" s="8" t="n">
        <f aca="false">D72*'Unit Economics'!$F$55</f>
        <v>-0</v>
      </c>
      <c r="E75" s="8" t="n">
        <f aca="false">E72*'Unit Economics'!$F$55</f>
        <v>0</v>
      </c>
      <c r="F75" s="8" t="n">
        <f aca="false">F72*'Unit Economics'!$F$55</f>
        <v>0.158473864860167</v>
      </c>
      <c r="G75" s="8" t="n">
        <f aca="false">G72*'Unit Economics'!$F$55</f>
        <v>0.323514525535022</v>
      </c>
      <c r="H75" s="8" t="n">
        <f aca="false">H72*'Unit Economics'!$F$55</f>
        <v>0.663307710217646</v>
      </c>
      <c r="I75" s="8" t="n">
        <f aca="false">I72*'Unit Economics'!$F$55</f>
        <v>1.14559309171266</v>
      </c>
      <c r="J75" s="8" t="n">
        <f aca="false">J72*'Unit Economics'!$F$55</f>
        <v>1.57844049669114</v>
      </c>
      <c r="K75" s="8" t="n">
        <f aca="false">K72*'Unit Economics'!$F$55</f>
        <v>2.33665648342465</v>
      </c>
      <c r="L75" s="8" t="n">
        <f aca="false">L72*'Unit Economics'!$F$55</f>
        <v>2.5891348450609</v>
      </c>
      <c r="M75" s="8" t="n">
        <f aca="false">M72*'Unit Economics'!$F$55</f>
        <v>2.65003773108314</v>
      </c>
      <c r="N75" s="8" t="n">
        <f aca="false">N72*'Unit Economics'!$F$55</f>
        <v>2.96290906764543</v>
      </c>
      <c r="O75" s="8" t="n">
        <f aca="false">O72*'Unit Economics'!$F$55</f>
        <v>3.68558071350596</v>
      </c>
      <c r="P75" s="8" t="n">
        <f aca="false">P72*'Unit Economics'!$F$55</f>
        <v>5.64152904687303</v>
      </c>
      <c r="Q75" s="8" t="n">
        <f aca="false">Q72*'Unit Economics'!$F$55</f>
        <v>6.77230006790461</v>
      </c>
      <c r="R75" s="8" t="n">
        <f aca="false">R72*'Unit Economics'!$F$55</f>
        <v>7.17417370694254</v>
      </c>
      <c r="S75" s="8" t="n">
        <f aca="false">S72*'Unit Economics'!$F$55</f>
        <v>5.77411078620655</v>
      </c>
      <c r="T75" s="8" t="n">
        <f aca="false">T72*'Unit Economics'!$F$55</f>
        <v>6.87862395962997</v>
      </c>
      <c r="U75" s="8" t="n">
        <f aca="false">U72*'Unit Economics'!$F$55</f>
        <v>7.79413637605813</v>
      </c>
      <c r="V75" s="8" t="n">
        <f aca="false">V72*'Unit Economics'!$F$55</f>
        <v>7.61691226466497</v>
      </c>
      <c r="W75" s="8" t="n">
        <f aca="false">W72*'Unit Economics'!$F$55</f>
        <v>8.55553333618585</v>
      </c>
      <c r="X75" s="8" t="n">
        <f aca="false">X72*'Unit Economics'!$F$55</f>
        <v>8.68987744142394</v>
      </c>
      <c r="Y75" s="8" t="n">
        <f aca="false">Y72*'Unit Economics'!$F$55</f>
        <v>8.25909887825106</v>
      </c>
      <c r="Z75" s="8" t="n">
        <f aca="false">Z72*'Unit Economics'!$F$55</f>
        <v>8.68786989487367</v>
      </c>
      <c r="AA75" s="8" t="n">
        <f aca="false">AA72*'Unit Economics'!$F$55</f>
        <v>10.2049268381826</v>
      </c>
      <c r="AB75" s="8" t="n">
        <f aca="false">AB72*'Unit Economics'!$F$55</f>
        <v>14.7587725501375</v>
      </c>
      <c r="AC75" s="8" t="n">
        <f aca="false">AC72*'Unit Economics'!$F$55</f>
        <v>16.5734250394877</v>
      </c>
      <c r="AD75" s="8" t="n">
        <f aca="false">AD72*'Unit Economics'!$F$55</f>
        <v>16.5602063859488</v>
      </c>
      <c r="AE75" s="8" t="n">
        <f aca="false">AE72*'Unit Economics'!$F$55</f>
        <v>12.7178546611062</v>
      </c>
      <c r="AF75" s="8" t="n">
        <f aca="false">AF72*'Unit Economics'!$F$55</f>
        <v>14.6899840439961</v>
      </c>
      <c r="AG75" s="8" t="n">
        <f aca="false">AG72*'Unit Economics'!$F$55</f>
        <v>16.1160851816395</v>
      </c>
      <c r="AH75" s="8" t="n">
        <f aca="false">AH72*'Unit Economics'!$F$55</f>
        <v>15.2572681037828</v>
      </c>
      <c r="AI75" s="8" t="n">
        <f aca="false">AI72*'Unit Economics'!$F$55</f>
        <v>16.6777391235924</v>
      </c>
      <c r="AJ75" s="8" t="n">
        <f aca="false">AJ72*'Unit Economics'!$F$55</f>
        <v>16.4830350713578</v>
      </c>
      <c r="AK75" s="8" t="n">
        <f aca="false">AK72*'Unit Economics'!$F$55</f>
        <v>15.280741974037</v>
      </c>
      <c r="AL75" s="8" t="n">
        <f aca="false">AL72*'Unit Economics'!$F$55</f>
        <v>15.7294656935928</v>
      </c>
      <c r="AM75" s="45" t="n">
        <f aca="false">SUMIF($C$6:$AL$6,1,C75:AL75)</f>
        <v>14.4080678162307</v>
      </c>
      <c r="AN75" s="45" t="n">
        <f aca="false">SUMIF($C$6:$AL$6,2,C75:AL75)</f>
        <v>85.5297464725203</v>
      </c>
      <c r="AO75" s="45" t="n">
        <f aca="false">SUMIF($C$6:$AL$6,3,C75:AL75)</f>
        <v>181.049504666861</v>
      </c>
      <c r="AP75" s="45" t="n">
        <f aca="false">SUM(C75:AL75)</f>
        <v>280.987318955612</v>
      </c>
    </row>
    <row r="76" customFormat="false" ht="15" hidden="false" customHeight="false" outlineLevel="0" collapsed="false">
      <c r="A76" s="5" t="s">
        <v>577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customFormat="false" ht="15" hidden="false" customHeight="false" outlineLevel="0" collapsed="false">
      <c r="A77" s="7" t="s">
        <v>755</v>
      </c>
      <c r="B77" s="9" t="s">
        <v>319</v>
      </c>
      <c r="C77" s="38" t="n">
        <f aca="false">IF(AND(Assumptions!$C$146=1,C$4&gt;=Assumptions!$C$147),1,0)</f>
        <v>0</v>
      </c>
      <c r="D77" s="38" t="n">
        <f aca="false">IF(AND(Assumptions!$C$146=1,D$4&gt;=Assumptions!$C$147),1,0)</f>
        <v>0</v>
      </c>
      <c r="E77" s="38" t="n">
        <f aca="false">IF(AND(Assumptions!$C$146=1,E$4&gt;=Assumptions!$C$147),1,0)</f>
        <v>0</v>
      </c>
      <c r="F77" s="38" t="n">
        <f aca="false">IF(AND(Assumptions!$C$146=1,F$4&gt;=Assumptions!$C$147),1,0)</f>
        <v>0</v>
      </c>
      <c r="G77" s="38" t="n">
        <f aca="false">IF(AND(Assumptions!$C$146=1,G$4&gt;=Assumptions!$C$147),1,0)</f>
        <v>1</v>
      </c>
      <c r="H77" s="38" t="n">
        <f aca="false">IF(AND(Assumptions!$C$146=1,H$4&gt;=Assumptions!$C$147),1,0)</f>
        <v>1</v>
      </c>
      <c r="I77" s="38" t="n">
        <f aca="false">IF(AND(Assumptions!$C$146=1,I$4&gt;=Assumptions!$C$147),1,0)</f>
        <v>1</v>
      </c>
      <c r="J77" s="38" t="n">
        <f aca="false">IF(AND(Assumptions!$C$146=1,J$4&gt;=Assumptions!$C$147),1,0)</f>
        <v>1</v>
      </c>
      <c r="K77" s="38" t="n">
        <f aca="false">IF(AND(Assumptions!$C$146=1,K$4&gt;=Assumptions!$C$147),1,0)</f>
        <v>1</v>
      </c>
      <c r="L77" s="38" t="n">
        <f aca="false">IF(AND(Assumptions!$C$146=1,L$4&gt;=Assumptions!$C$147),1,0)</f>
        <v>1</v>
      </c>
      <c r="M77" s="38" t="n">
        <f aca="false">IF(AND(Assumptions!$C$146=1,M$4&gt;=Assumptions!$C$147),1,0)</f>
        <v>1</v>
      </c>
      <c r="N77" s="38" t="n">
        <f aca="false">IF(AND(Assumptions!$C$146=1,N$4&gt;=Assumptions!$C$147),1,0)</f>
        <v>1</v>
      </c>
      <c r="O77" s="38" t="n">
        <f aca="false">IF(AND(Assumptions!$C$146=1,O$4&gt;=Assumptions!$C$147),1,0)</f>
        <v>1</v>
      </c>
      <c r="P77" s="38" t="n">
        <f aca="false">IF(AND(Assumptions!$C$146=1,P$4&gt;=Assumptions!$C$147),1,0)</f>
        <v>1</v>
      </c>
      <c r="Q77" s="38" t="n">
        <f aca="false">IF(AND(Assumptions!$C$146=1,Q$4&gt;=Assumptions!$C$147),1,0)</f>
        <v>1</v>
      </c>
      <c r="R77" s="38" t="n">
        <f aca="false">IF(AND(Assumptions!$C$146=1,R$4&gt;=Assumptions!$C$147),1,0)</f>
        <v>1</v>
      </c>
      <c r="S77" s="38" t="n">
        <f aca="false">IF(AND(Assumptions!$C$146=1,S$4&gt;=Assumptions!$C$147),1,0)</f>
        <v>1</v>
      </c>
      <c r="T77" s="38" t="n">
        <f aca="false">IF(AND(Assumptions!$C$146=1,T$4&gt;=Assumptions!$C$147),1,0)</f>
        <v>1</v>
      </c>
      <c r="U77" s="38" t="n">
        <f aca="false">IF(AND(Assumptions!$C$146=1,U$4&gt;=Assumptions!$C$147),1,0)</f>
        <v>1</v>
      </c>
      <c r="V77" s="38" t="n">
        <f aca="false">IF(AND(Assumptions!$C$146=1,V$4&gt;=Assumptions!$C$147),1,0)</f>
        <v>1</v>
      </c>
      <c r="W77" s="38" t="n">
        <f aca="false">IF(AND(Assumptions!$C$146=1,W$4&gt;=Assumptions!$C$147),1,0)</f>
        <v>1</v>
      </c>
      <c r="X77" s="38" t="n">
        <f aca="false">IF(AND(Assumptions!$C$146=1,X$4&gt;=Assumptions!$C$147),1,0)</f>
        <v>1</v>
      </c>
      <c r="Y77" s="38" t="n">
        <f aca="false">IF(AND(Assumptions!$C$146=1,Y$4&gt;=Assumptions!$C$147),1,0)</f>
        <v>1</v>
      </c>
      <c r="Z77" s="38" t="n">
        <f aca="false">IF(AND(Assumptions!$C$146=1,Z$4&gt;=Assumptions!$C$147),1,0)</f>
        <v>1</v>
      </c>
      <c r="AA77" s="38" t="n">
        <f aca="false">IF(AND(Assumptions!$C$146=1,AA$4&gt;=Assumptions!$C$147),1,0)</f>
        <v>1</v>
      </c>
      <c r="AB77" s="38" t="n">
        <f aca="false">IF(AND(Assumptions!$C$146=1,AB$4&gt;=Assumptions!$C$147),1,0)</f>
        <v>1</v>
      </c>
      <c r="AC77" s="38" t="n">
        <f aca="false">IF(AND(Assumptions!$C$146=1,AC$4&gt;=Assumptions!$C$147),1,0)</f>
        <v>1</v>
      </c>
      <c r="AD77" s="38" t="n">
        <f aca="false">IF(AND(Assumptions!$C$146=1,AD$4&gt;=Assumptions!$C$147),1,0)</f>
        <v>1</v>
      </c>
      <c r="AE77" s="38" t="n">
        <f aca="false">IF(AND(Assumptions!$C$146=1,AE$4&gt;=Assumptions!$C$147),1,0)</f>
        <v>1</v>
      </c>
      <c r="AF77" s="38" t="n">
        <f aca="false">IF(AND(Assumptions!$C$146=1,AF$4&gt;=Assumptions!$C$147),1,0)</f>
        <v>1</v>
      </c>
      <c r="AG77" s="38" t="n">
        <f aca="false">IF(AND(Assumptions!$C$146=1,AG$4&gt;=Assumptions!$C$147),1,0)</f>
        <v>1</v>
      </c>
      <c r="AH77" s="38" t="n">
        <f aca="false">IF(AND(Assumptions!$C$146=1,AH$4&gt;=Assumptions!$C$147),1,0)</f>
        <v>1</v>
      </c>
      <c r="AI77" s="38" t="n">
        <f aca="false">IF(AND(Assumptions!$C$146=1,AI$4&gt;=Assumptions!$C$147),1,0)</f>
        <v>1</v>
      </c>
      <c r="AJ77" s="38" t="n">
        <f aca="false">IF(AND(Assumptions!$C$146=1,AJ$4&gt;=Assumptions!$C$147),1,0)</f>
        <v>1</v>
      </c>
      <c r="AK77" s="38" t="n">
        <f aca="false">IF(AND(Assumptions!$C$146=1,AK$4&gt;=Assumptions!$C$147),1,0)</f>
        <v>1</v>
      </c>
      <c r="AL77" s="38" t="n">
        <f aca="false">IF(AND(Assumptions!$C$146=1,AL$4&gt;=Assumptions!$C$147),1,0)</f>
        <v>1</v>
      </c>
    </row>
    <row r="78" customFormat="false" ht="15" hidden="false" customHeight="false" outlineLevel="0" collapsed="false">
      <c r="A78" s="7" t="s">
        <v>756</v>
      </c>
      <c r="B78" s="9" t="s">
        <v>327</v>
      </c>
      <c r="C78" s="14" t="n">
        <f aca="false">IF(C77=0,0,Assumptions!$C$148)</f>
        <v>0</v>
      </c>
      <c r="D78" s="14" t="n">
        <f aca="false">IF(D77=0,0,IF(D$4=Assumptions!$C$147,Assumptions!$C$148,C78*(1+CHOOSE(D$6,Assumptions!$C$149,Assumptions!$C$150,Assumptions!$C$151))))</f>
        <v>0</v>
      </c>
      <c r="E78" s="14" t="n">
        <f aca="false">IF(E77=0,0,IF(E$4=Assumptions!$C$147,Assumptions!$C$148,D78*(1+CHOOSE(E$6,Assumptions!$C$149,Assumptions!$C$150,Assumptions!$C$151))))</f>
        <v>0</v>
      </c>
      <c r="F78" s="14" t="n">
        <f aca="false">IF(F77=0,0,IF(F$4=Assumptions!$C$147,Assumptions!$C$148,E78*(1+CHOOSE(F$6,Assumptions!$C$149,Assumptions!$C$150,Assumptions!$C$151))))</f>
        <v>0</v>
      </c>
      <c r="G78" s="14" t="n">
        <f aca="false">IF(G77=0,0,IF(G$4=Assumptions!$C$147,Assumptions!$C$148,F78*(1+CHOOSE(G$6,Assumptions!$C$149,Assumptions!$C$150,Assumptions!$C$151))))</f>
        <v>150</v>
      </c>
      <c r="H78" s="14" t="n">
        <f aca="false">IF(H77=0,0,IF(H$4=Assumptions!$C$147,Assumptions!$C$148,G78*(1+CHOOSE(H$6,Assumptions!$C$149,Assumptions!$C$150,Assumptions!$C$151))))</f>
        <v>156</v>
      </c>
      <c r="I78" s="14" t="n">
        <f aca="false">IF(I77=0,0,IF(I$4=Assumptions!$C$147,Assumptions!$C$148,H78*(1+CHOOSE(I$6,Assumptions!$C$149,Assumptions!$C$150,Assumptions!$C$151))))</f>
        <v>162.24</v>
      </c>
      <c r="J78" s="14" t="n">
        <f aca="false">IF(J77=0,0,IF(J$4=Assumptions!$C$147,Assumptions!$C$148,I78*(1+CHOOSE(J$6,Assumptions!$C$149,Assumptions!$C$150,Assumptions!$C$151))))</f>
        <v>168.7296</v>
      </c>
      <c r="K78" s="14" t="n">
        <f aca="false">IF(K77=0,0,IF(K$4=Assumptions!$C$147,Assumptions!$C$148,J78*(1+CHOOSE(K$6,Assumptions!$C$149,Assumptions!$C$150,Assumptions!$C$151))))</f>
        <v>175.478784</v>
      </c>
      <c r="L78" s="14" t="n">
        <f aca="false">IF(L77=0,0,IF(L$4=Assumptions!$C$147,Assumptions!$C$148,K78*(1+CHOOSE(L$6,Assumptions!$C$149,Assumptions!$C$150,Assumptions!$C$151))))</f>
        <v>182.49793536</v>
      </c>
      <c r="M78" s="14" t="n">
        <f aca="false">IF(M77=0,0,IF(M$4=Assumptions!$C$147,Assumptions!$C$148,L78*(1+CHOOSE(M$6,Assumptions!$C$149,Assumptions!$C$150,Assumptions!$C$151))))</f>
        <v>189.7978527744</v>
      </c>
      <c r="N78" s="14" t="n">
        <f aca="false">IF(N77=0,0,IF(N$4=Assumptions!$C$147,Assumptions!$C$148,M78*(1+CHOOSE(N$6,Assumptions!$C$149,Assumptions!$C$150,Assumptions!$C$151))))</f>
        <v>197.389766885376</v>
      </c>
      <c r="O78" s="14" t="n">
        <f aca="false">IF(O77=0,0,IF(O$4=Assumptions!$C$147,Assumptions!$C$148,N78*(1+CHOOSE(O$6,Assumptions!$C$149,Assumptions!$C$150,Assumptions!$C$151))))</f>
        <v>201.337562223084</v>
      </c>
      <c r="P78" s="14" t="n">
        <f aca="false">IF(P77=0,0,IF(P$4=Assumptions!$C$147,Assumptions!$C$148,O78*(1+CHOOSE(P$6,Assumptions!$C$149,Assumptions!$C$150,Assumptions!$C$151))))</f>
        <v>205.364313467545</v>
      </c>
      <c r="Q78" s="14" t="n">
        <f aca="false">IF(Q77=0,0,IF(Q$4=Assumptions!$C$147,Assumptions!$C$148,P78*(1+CHOOSE(Q$6,Assumptions!$C$149,Assumptions!$C$150,Assumptions!$C$151))))</f>
        <v>209.471599736896</v>
      </c>
      <c r="R78" s="14" t="n">
        <f aca="false">IF(R77=0,0,IF(R$4=Assumptions!$C$147,Assumptions!$C$148,Q78*(1+CHOOSE(R$6,Assumptions!$C$149,Assumptions!$C$150,Assumptions!$C$151))))</f>
        <v>213.661031731634</v>
      </c>
      <c r="S78" s="14" t="n">
        <f aca="false">IF(S77=0,0,IF(S$4=Assumptions!$C$147,Assumptions!$C$148,R78*(1+CHOOSE(S$6,Assumptions!$C$149,Assumptions!$C$150,Assumptions!$C$151))))</f>
        <v>217.934252366267</v>
      </c>
      <c r="T78" s="14" t="n">
        <f aca="false">IF(T77=0,0,IF(T$4=Assumptions!$C$147,Assumptions!$C$148,S78*(1+CHOOSE(T$6,Assumptions!$C$149,Assumptions!$C$150,Assumptions!$C$151))))</f>
        <v>222.292937413592</v>
      </c>
      <c r="U78" s="14" t="n">
        <f aca="false">IF(U77=0,0,IF(U$4=Assumptions!$C$147,Assumptions!$C$148,T78*(1+CHOOSE(U$6,Assumptions!$C$149,Assumptions!$C$150,Assumptions!$C$151))))</f>
        <v>226.738796161864</v>
      </c>
      <c r="V78" s="14" t="n">
        <f aca="false">IF(V77=0,0,IF(V$4=Assumptions!$C$147,Assumptions!$C$148,U78*(1+CHOOSE(V$6,Assumptions!$C$149,Assumptions!$C$150,Assumptions!$C$151))))</f>
        <v>231.273572085101</v>
      </c>
      <c r="W78" s="14" t="n">
        <f aca="false">IF(W77=0,0,IF(W$4=Assumptions!$C$147,Assumptions!$C$148,V78*(1+CHOOSE(W$6,Assumptions!$C$149,Assumptions!$C$150,Assumptions!$C$151))))</f>
        <v>235.899043526803</v>
      </c>
      <c r="X78" s="14" t="n">
        <f aca="false">IF(X77=0,0,IF(X$4=Assumptions!$C$147,Assumptions!$C$148,W78*(1+CHOOSE(X$6,Assumptions!$C$149,Assumptions!$C$150,Assumptions!$C$151))))</f>
        <v>240.617024397339</v>
      </c>
      <c r="Y78" s="14" t="n">
        <f aca="false">IF(Y77=0,0,IF(Y$4=Assumptions!$C$147,Assumptions!$C$148,X78*(1+CHOOSE(Y$6,Assumptions!$C$149,Assumptions!$C$150,Assumptions!$C$151))))</f>
        <v>245.429364885286</v>
      </c>
      <c r="Z78" s="14" t="n">
        <f aca="false">IF(Z77=0,0,IF(Z$4=Assumptions!$C$147,Assumptions!$C$148,Y78*(1+CHOOSE(Z$6,Assumptions!$C$149,Assumptions!$C$150,Assumptions!$C$151))))</f>
        <v>250.337952182992</v>
      </c>
      <c r="AA78" s="14" t="n">
        <f aca="false">IF(AA77=0,0,IF(AA$4=Assumptions!$C$147,Assumptions!$C$148,Z78*(1+CHOOSE(AA$6,Assumptions!$C$149,Assumptions!$C$150,Assumptions!$C$151))))</f>
        <v>252.841331704822</v>
      </c>
      <c r="AB78" s="14" t="n">
        <f aca="false">IF(AB77=0,0,IF(AB$4=Assumptions!$C$147,Assumptions!$C$148,AA78*(1+CHOOSE(AB$6,Assumptions!$C$149,Assumptions!$C$150,Assumptions!$C$151))))</f>
        <v>255.36974502187</v>
      </c>
      <c r="AC78" s="14" t="n">
        <f aca="false">IF(AC77=0,0,IF(AC$4=Assumptions!$C$147,Assumptions!$C$148,AB78*(1+CHOOSE(AC$6,Assumptions!$C$149,Assumptions!$C$150,Assumptions!$C$151))))</f>
        <v>257.923442472089</v>
      </c>
      <c r="AD78" s="14" t="n">
        <f aca="false">IF(AD77=0,0,IF(AD$4=Assumptions!$C$147,Assumptions!$C$148,AC78*(1+CHOOSE(AD$6,Assumptions!$C$149,Assumptions!$C$150,Assumptions!$C$151))))</f>
        <v>260.50267689681</v>
      </c>
      <c r="AE78" s="14" t="n">
        <f aca="false">IF(AE77=0,0,IF(AE$4=Assumptions!$C$147,Assumptions!$C$148,AD78*(1+CHOOSE(AE$6,Assumptions!$C$149,Assumptions!$C$150,Assumptions!$C$151))))</f>
        <v>263.107703665778</v>
      </c>
      <c r="AF78" s="14" t="n">
        <f aca="false">IF(AF77=0,0,IF(AF$4=Assumptions!$C$147,Assumptions!$C$148,AE78*(1+CHOOSE(AF$6,Assumptions!$C$149,Assumptions!$C$150,Assumptions!$C$151))))</f>
        <v>265.738780702435</v>
      </c>
      <c r="AG78" s="14" t="n">
        <f aca="false">IF(AG77=0,0,IF(AG$4=Assumptions!$C$147,Assumptions!$C$148,AF78*(1+CHOOSE(AG$6,Assumptions!$C$149,Assumptions!$C$150,Assumptions!$C$151))))</f>
        <v>268.39616850946</v>
      </c>
      <c r="AH78" s="14" t="n">
        <f aca="false">IF(AH77=0,0,IF(AH$4=Assumptions!$C$147,Assumptions!$C$148,AG78*(1+CHOOSE(AH$6,Assumptions!$C$149,Assumptions!$C$150,Assumptions!$C$151))))</f>
        <v>271.080130194554</v>
      </c>
      <c r="AI78" s="14" t="n">
        <f aca="false">IF(AI77=0,0,IF(AI$4=Assumptions!$C$147,Assumptions!$C$148,AH78*(1+CHOOSE(AI$6,Assumptions!$C$149,Assumptions!$C$150,Assumptions!$C$151))))</f>
        <v>273.7909314965</v>
      </c>
      <c r="AJ78" s="14" t="n">
        <f aca="false">IF(AJ77=0,0,IF(AJ$4=Assumptions!$C$147,Assumptions!$C$148,AI78*(1+CHOOSE(AJ$6,Assumptions!$C$149,Assumptions!$C$150,Assumptions!$C$151))))</f>
        <v>276.528840811465</v>
      </c>
      <c r="AK78" s="14" t="n">
        <f aca="false">IF(AK77=0,0,IF(AK$4=Assumptions!$C$147,Assumptions!$C$148,AJ78*(1+CHOOSE(AK$6,Assumptions!$C$149,Assumptions!$C$150,Assumptions!$C$151))))</f>
        <v>279.29412921958</v>
      </c>
      <c r="AL78" s="14" t="n">
        <f aca="false">IF(AL77=0,0,IF(AL$4=Assumptions!$C$147,Assumptions!$C$148,AK78*(1+CHOOSE(AL$6,Assumptions!$C$149,Assumptions!$C$150,Assumptions!$C$151))))</f>
        <v>282.087070511775</v>
      </c>
    </row>
    <row r="79" customFormat="false" ht="15" hidden="false" customHeight="false" outlineLevel="0" collapsed="false">
      <c r="A79" s="7" t="s">
        <v>773</v>
      </c>
      <c r="B79" s="9" t="s">
        <v>327</v>
      </c>
      <c r="C79" s="52" t="n">
        <f aca="false">C78*C$7</f>
        <v>0</v>
      </c>
      <c r="D79" s="52" t="n">
        <f aca="false">D78*D$7</f>
        <v>0</v>
      </c>
      <c r="E79" s="52" t="n">
        <f aca="false">E78*E$7</f>
        <v>0</v>
      </c>
      <c r="F79" s="52" t="n">
        <f aca="false">F78*F$7</f>
        <v>0</v>
      </c>
      <c r="G79" s="52" t="n">
        <f aca="false">G78*G$7</f>
        <v>135</v>
      </c>
      <c r="H79" s="52" t="n">
        <f aca="false">H78*H$7</f>
        <v>156</v>
      </c>
      <c r="I79" s="52" t="n">
        <f aca="false">I78*I$7</f>
        <v>170.352</v>
      </c>
      <c r="J79" s="52" t="n">
        <f aca="false">J78*J$7</f>
        <v>160.29312</v>
      </c>
      <c r="K79" s="52" t="n">
        <f aca="false">K78*K$7</f>
        <v>175.478784</v>
      </c>
      <c r="L79" s="52" t="n">
        <f aca="false">L78*L$7</f>
        <v>173.373038592</v>
      </c>
      <c r="M79" s="52" t="n">
        <f aca="false">M78*M$7</f>
        <v>161.32817485824</v>
      </c>
      <c r="N79" s="52" t="n">
        <f aca="false">N78*N$7</f>
        <v>167.78130185257</v>
      </c>
      <c r="O79" s="52" t="n">
        <f aca="false">O78*O$7</f>
        <v>191.270684111929</v>
      </c>
      <c r="P79" s="52" t="n">
        <f aca="false">P78*P$7</f>
        <v>266.973607507809</v>
      </c>
      <c r="Q79" s="52" t="n">
        <f aca="false">Q78*Q$7</f>
        <v>282.78665964481</v>
      </c>
      <c r="R79" s="52" t="n">
        <f aca="false">R78*R$7</f>
        <v>267.076289664543</v>
      </c>
      <c r="S79" s="52" t="n">
        <f aca="false">S78*S$7</f>
        <v>196.14082712964</v>
      </c>
      <c r="T79" s="52" t="n">
        <f aca="false">T78*T$7</f>
        <v>222.292937413592</v>
      </c>
      <c r="U79" s="52" t="n">
        <f aca="false">U78*U$7</f>
        <v>238.075735969957</v>
      </c>
      <c r="V79" s="52" t="n">
        <f aca="false">V78*V$7</f>
        <v>219.709893480846</v>
      </c>
      <c r="W79" s="52" t="n">
        <f aca="false">W78*W$7</f>
        <v>235.899043526803</v>
      </c>
      <c r="X79" s="52" t="n">
        <f aca="false">X78*X$7</f>
        <v>228.586173177472</v>
      </c>
      <c r="Y79" s="52" t="n">
        <f aca="false">Y78*Y$7</f>
        <v>208.614960152493</v>
      </c>
      <c r="Z79" s="52" t="n">
        <f aca="false">Z78*Z$7</f>
        <v>212.787259355543</v>
      </c>
      <c r="AA79" s="52" t="n">
        <f aca="false">AA78*AA$7</f>
        <v>240.199265119581</v>
      </c>
      <c r="AB79" s="52" t="n">
        <f aca="false">AB78*AB$7</f>
        <v>331.980668528431</v>
      </c>
      <c r="AC79" s="52" t="n">
        <f aca="false">AC78*AC$7</f>
        <v>348.19664733732</v>
      </c>
      <c r="AD79" s="52" t="n">
        <f aca="false">AD78*AD$7</f>
        <v>325.628346121012</v>
      </c>
      <c r="AE79" s="52" t="n">
        <f aca="false">AE78*AE$7</f>
        <v>236.7969332992</v>
      </c>
      <c r="AF79" s="52" t="n">
        <f aca="false">AF78*AF$7</f>
        <v>265.738780702435</v>
      </c>
      <c r="AG79" s="52" t="n">
        <f aca="false">AG78*AG$7</f>
        <v>281.815976934933</v>
      </c>
      <c r="AH79" s="52" t="n">
        <f aca="false">AH78*AH$7</f>
        <v>257.526123684827</v>
      </c>
      <c r="AI79" s="52" t="n">
        <f aca="false">AI78*AI$7</f>
        <v>273.7909314965</v>
      </c>
      <c r="AJ79" s="52" t="n">
        <f aca="false">AJ78*AJ$7</f>
        <v>262.702398770892</v>
      </c>
      <c r="AK79" s="52" t="n">
        <f aca="false">AK78*AK$7</f>
        <v>237.400009836643</v>
      </c>
      <c r="AL79" s="52" t="n">
        <f aca="false">AL78*AL$7</f>
        <v>239.774009935009</v>
      </c>
      <c r="AM79" s="53" t="n">
        <f aca="false">SUMIF($C$6:$AL$6,1,C79:AL79)</f>
        <v>1299.60641930281</v>
      </c>
      <c r="AN79" s="53" t="n">
        <f aca="false">SUMIF($C$6:$AL$6,2,C79:AL79)</f>
        <v>2770.21407113544</v>
      </c>
      <c r="AO79" s="53" t="n">
        <f aca="false">SUMIF($C$6:$AL$6,3,C79:AL79)</f>
        <v>3301.55009176678</v>
      </c>
      <c r="AP79" s="53" t="n">
        <f aca="false">SUM(C79:AL79)</f>
        <v>7371.37058220503</v>
      </c>
    </row>
    <row r="80" customFormat="false" ht="15" hidden="false" customHeight="false" outlineLevel="0" collapsed="false">
      <c r="A80" s="7" t="s">
        <v>758</v>
      </c>
      <c r="B80" s="9" t="s">
        <v>96</v>
      </c>
      <c r="C80" s="54" t="n">
        <f aca="false">Assumptions!$C$152*MIN(1,(C$4-Assumptions!$C$147+1)/Assumptions!$C$10)*C77</f>
        <v>-0</v>
      </c>
      <c r="D80" s="54" t="n">
        <f aca="false">Assumptions!$C$152*MIN(1,(D$4-Assumptions!$C$147+1)/Assumptions!$C$10)*D77</f>
        <v>-0</v>
      </c>
      <c r="E80" s="54" t="n">
        <f aca="false">Assumptions!$C$152*MIN(1,(E$4-Assumptions!$C$147+1)/Assumptions!$C$10)*E77</f>
        <v>-0</v>
      </c>
      <c r="F80" s="54" t="n">
        <f aca="false">Assumptions!$C$152*MIN(1,(F$4-Assumptions!$C$147+1)/Assumptions!$C$10)*F77</f>
        <v>0</v>
      </c>
      <c r="G80" s="54" t="n">
        <f aca="false">Assumptions!$C$152*MIN(1,(G$4-Assumptions!$C$147+1)/Assumptions!$C$10)*G77</f>
        <v>0.0025</v>
      </c>
      <c r="H80" s="54" t="n">
        <f aca="false">Assumptions!$C$152*MIN(1,(H$4-Assumptions!$C$147+1)/Assumptions!$C$10)*H77</f>
        <v>0.005</v>
      </c>
      <c r="I80" s="54" t="n">
        <f aca="false">Assumptions!$C$152*MIN(1,(I$4-Assumptions!$C$147+1)/Assumptions!$C$10)*I77</f>
        <v>0.0075</v>
      </c>
      <c r="J80" s="54" t="n">
        <f aca="false">Assumptions!$C$152*MIN(1,(J$4-Assumptions!$C$147+1)/Assumptions!$C$10)*J77</f>
        <v>0.01</v>
      </c>
      <c r="K80" s="54" t="n">
        <f aca="false">Assumptions!$C$152*MIN(1,(K$4-Assumptions!$C$147+1)/Assumptions!$C$10)*K77</f>
        <v>0.0125</v>
      </c>
      <c r="L80" s="54" t="n">
        <f aca="false">Assumptions!$C$152*MIN(1,(L$4-Assumptions!$C$147+1)/Assumptions!$C$10)*L77</f>
        <v>0.015</v>
      </c>
      <c r="M80" s="54" t="n">
        <f aca="false">Assumptions!$C$152*MIN(1,(M$4-Assumptions!$C$147+1)/Assumptions!$C$10)*M77</f>
        <v>0.015</v>
      </c>
      <c r="N80" s="54" t="n">
        <f aca="false">Assumptions!$C$152*MIN(1,(N$4-Assumptions!$C$147+1)/Assumptions!$C$10)*N77</f>
        <v>0.015</v>
      </c>
      <c r="O80" s="54" t="n">
        <f aca="false">Assumptions!$C$152*MIN(1,(O$4-Assumptions!$C$147+1)/Assumptions!$C$10)*O77</f>
        <v>0.015</v>
      </c>
      <c r="P80" s="54" t="n">
        <f aca="false">Assumptions!$C$152*MIN(1,(P$4-Assumptions!$C$147+1)/Assumptions!$C$10)*P77</f>
        <v>0.015</v>
      </c>
      <c r="Q80" s="54" t="n">
        <f aca="false">Assumptions!$C$152*MIN(1,(Q$4-Assumptions!$C$147+1)/Assumptions!$C$10)*Q77</f>
        <v>0.015</v>
      </c>
      <c r="R80" s="54" t="n">
        <f aca="false">Assumptions!$C$152*MIN(1,(R$4-Assumptions!$C$147+1)/Assumptions!$C$10)*R77</f>
        <v>0.015</v>
      </c>
      <c r="S80" s="54" t="n">
        <f aca="false">Assumptions!$C$152*MIN(1,(S$4-Assumptions!$C$147+1)/Assumptions!$C$10)*S77</f>
        <v>0.015</v>
      </c>
      <c r="T80" s="54" t="n">
        <f aca="false">Assumptions!$C$152*MIN(1,(T$4-Assumptions!$C$147+1)/Assumptions!$C$10)*T77</f>
        <v>0.015</v>
      </c>
      <c r="U80" s="54" t="n">
        <f aca="false">Assumptions!$C$152*MIN(1,(U$4-Assumptions!$C$147+1)/Assumptions!$C$10)*U77</f>
        <v>0.015</v>
      </c>
      <c r="V80" s="54" t="n">
        <f aca="false">Assumptions!$C$152*MIN(1,(V$4-Assumptions!$C$147+1)/Assumptions!$C$10)*V77</f>
        <v>0.015</v>
      </c>
      <c r="W80" s="54" t="n">
        <f aca="false">Assumptions!$C$152*MIN(1,(W$4-Assumptions!$C$147+1)/Assumptions!$C$10)*W77</f>
        <v>0.015</v>
      </c>
      <c r="X80" s="54" t="n">
        <f aca="false">Assumptions!$C$152*MIN(1,(X$4-Assumptions!$C$147+1)/Assumptions!$C$10)*X77</f>
        <v>0.015</v>
      </c>
      <c r="Y80" s="54" t="n">
        <f aca="false">Assumptions!$C$152*MIN(1,(Y$4-Assumptions!$C$147+1)/Assumptions!$C$10)*Y77</f>
        <v>0.015</v>
      </c>
      <c r="Z80" s="54" t="n">
        <f aca="false">Assumptions!$C$152*MIN(1,(Z$4-Assumptions!$C$147+1)/Assumptions!$C$10)*Z77</f>
        <v>0.015</v>
      </c>
      <c r="AA80" s="54" t="n">
        <f aca="false">Assumptions!$C$152*MIN(1,(AA$4-Assumptions!$C$147+1)/Assumptions!$C$10)*AA77</f>
        <v>0.015</v>
      </c>
      <c r="AB80" s="54" t="n">
        <f aca="false">Assumptions!$C$152*MIN(1,(AB$4-Assumptions!$C$147+1)/Assumptions!$C$10)*AB77</f>
        <v>0.015</v>
      </c>
      <c r="AC80" s="54" t="n">
        <f aca="false">Assumptions!$C$152*MIN(1,(AC$4-Assumptions!$C$147+1)/Assumptions!$C$10)*AC77</f>
        <v>0.015</v>
      </c>
      <c r="AD80" s="54" t="n">
        <f aca="false">Assumptions!$C$152*MIN(1,(AD$4-Assumptions!$C$147+1)/Assumptions!$C$10)*AD77</f>
        <v>0.015</v>
      </c>
      <c r="AE80" s="54" t="n">
        <f aca="false">Assumptions!$C$152*MIN(1,(AE$4-Assumptions!$C$147+1)/Assumptions!$C$10)*AE77</f>
        <v>0.015</v>
      </c>
      <c r="AF80" s="54" t="n">
        <f aca="false">Assumptions!$C$152*MIN(1,(AF$4-Assumptions!$C$147+1)/Assumptions!$C$10)*AF77</f>
        <v>0.015</v>
      </c>
      <c r="AG80" s="54" t="n">
        <f aca="false">Assumptions!$C$152*MIN(1,(AG$4-Assumptions!$C$147+1)/Assumptions!$C$10)*AG77</f>
        <v>0.015</v>
      </c>
      <c r="AH80" s="54" t="n">
        <f aca="false">Assumptions!$C$152*MIN(1,(AH$4-Assumptions!$C$147+1)/Assumptions!$C$10)*AH77</f>
        <v>0.015</v>
      </c>
      <c r="AI80" s="54" t="n">
        <f aca="false">Assumptions!$C$152*MIN(1,(AI$4-Assumptions!$C$147+1)/Assumptions!$C$10)*AI77</f>
        <v>0.015</v>
      </c>
      <c r="AJ80" s="54" t="n">
        <f aca="false">Assumptions!$C$152*MIN(1,(AJ$4-Assumptions!$C$147+1)/Assumptions!$C$10)*AJ77</f>
        <v>0.015</v>
      </c>
      <c r="AK80" s="54" t="n">
        <f aca="false">Assumptions!$C$152*MIN(1,(AK$4-Assumptions!$C$147+1)/Assumptions!$C$10)*AK77</f>
        <v>0.015</v>
      </c>
      <c r="AL80" s="54" t="n">
        <f aca="false">Assumptions!$C$152*MIN(1,(AL$4-Assumptions!$C$147+1)/Assumptions!$C$10)*AL77</f>
        <v>0.015</v>
      </c>
    </row>
    <row r="81" customFormat="false" ht="15" hidden="false" customHeight="false" outlineLevel="0" collapsed="false">
      <c r="A81" s="7" t="s">
        <v>766</v>
      </c>
      <c r="B81" s="9" t="s">
        <v>760</v>
      </c>
      <c r="C81" s="55" t="n">
        <f aca="false">C79*C80</f>
        <v>-0</v>
      </c>
      <c r="D81" s="55" t="n">
        <f aca="false">D79*D80</f>
        <v>-0</v>
      </c>
      <c r="E81" s="55" t="n">
        <f aca="false">E79*E80</f>
        <v>-0</v>
      </c>
      <c r="F81" s="55" t="n">
        <f aca="false">F79*F80</f>
        <v>0</v>
      </c>
      <c r="G81" s="55" t="n">
        <f aca="false">G79*G80</f>
        <v>0.3375</v>
      </c>
      <c r="H81" s="55" t="n">
        <f aca="false">H79*H80</f>
        <v>0.78</v>
      </c>
      <c r="I81" s="55" t="n">
        <f aca="false">I79*I80</f>
        <v>1.27764</v>
      </c>
      <c r="J81" s="55" t="n">
        <f aca="false">J79*J80</f>
        <v>1.6029312</v>
      </c>
      <c r="K81" s="55" t="n">
        <f aca="false">K79*K80</f>
        <v>2.1934848</v>
      </c>
      <c r="L81" s="55" t="n">
        <f aca="false">L79*L80</f>
        <v>2.60059557888</v>
      </c>
      <c r="M81" s="55" t="n">
        <f aca="false">M79*M80</f>
        <v>2.4199226228736</v>
      </c>
      <c r="N81" s="55" t="n">
        <f aca="false">N79*N80</f>
        <v>2.51671952778854</v>
      </c>
      <c r="O81" s="55" t="n">
        <f aca="false">O79*O80</f>
        <v>2.86906026167894</v>
      </c>
      <c r="P81" s="55" t="n">
        <f aca="false">P79*P80</f>
        <v>4.00460411261713</v>
      </c>
      <c r="Q81" s="55" t="n">
        <f aca="false">Q79*Q80</f>
        <v>4.24179989467215</v>
      </c>
      <c r="R81" s="55" t="n">
        <f aca="false">R79*R80</f>
        <v>4.00614434496814</v>
      </c>
      <c r="S81" s="55" t="n">
        <f aca="false">S79*S80</f>
        <v>2.9421124069446</v>
      </c>
      <c r="T81" s="55" t="n">
        <f aca="false">T79*T80</f>
        <v>3.33439406120388</v>
      </c>
      <c r="U81" s="55" t="n">
        <f aca="false">U79*U80</f>
        <v>3.57113603954936</v>
      </c>
      <c r="V81" s="55" t="n">
        <f aca="false">V79*V80</f>
        <v>3.29564840221269</v>
      </c>
      <c r="W81" s="55" t="n">
        <f aca="false">W79*W80</f>
        <v>3.53848565290205</v>
      </c>
      <c r="X81" s="55" t="n">
        <f aca="false">X79*X80</f>
        <v>3.42879259766208</v>
      </c>
      <c r="Y81" s="55" t="n">
        <f aca="false">Y79*Y80</f>
        <v>3.1292244022874</v>
      </c>
      <c r="Z81" s="55" t="n">
        <f aca="false">Z79*Z80</f>
        <v>3.19180889033315</v>
      </c>
      <c r="AA81" s="55" t="n">
        <f aca="false">AA79*AA80</f>
        <v>3.60298897679371</v>
      </c>
      <c r="AB81" s="55" t="n">
        <f aca="false">AB79*AB80</f>
        <v>4.97971002792646</v>
      </c>
      <c r="AC81" s="55" t="n">
        <f aca="false">AC79*AC80</f>
        <v>5.2229497100598</v>
      </c>
      <c r="AD81" s="55" t="n">
        <f aca="false">AD79*AD80</f>
        <v>4.88442519181518</v>
      </c>
      <c r="AE81" s="55" t="n">
        <f aca="false">AE79*AE80</f>
        <v>3.551953999488</v>
      </c>
      <c r="AF81" s="55" t="n">
        <f aca="false">AF79*AF80</f>
        <v>3.98608171053653</v>
      </c>
      <c r="AG81" s="55" t="n">
        <f aca="false">AG79*AG80</f>
        <v>4.22723965402399</v>
      </c>
      <c r="AH81" s="55" t="n">
        <f aca="false">AH79*AH80</f>
        <v>3.8628918552724</v>
      </c>
      <c r="AI81" s="55" t="n">
        <f aca="false">AI79*AI80</f>
        <v>4.1068639724475</v>
      </c>
      <c r="AJ81" s="55" t="n">
        <f aca="false">AJ79*AJ80</f>
        <v>3.94053598156337</v>
      </c>
      <c r="AK81" s="55" t="n">
        <f aca="false">AK79*AK80</f>
        <v>3.56100014754964</v>
      </c>
      <c r="AL81" s="55" t="n">
        <f aca="false">AL79*AL80</f>
        <v>3.59661014902514</v>
      </c>
      <c r="AM81" s="53" t="n">
        <f aca="false">SUMIF($C$6:$AL$6,1,C81:AL81)</f>
        <v>13.7287937295421</v>
      </c>
      <c r="AN81" s="53" t="n">
        <f aca="false">SUMIF($C$6:$AL$6,2,C81:AL81)</f>
        <v>41.5532110670316</v>
      </c>
      <c r="AO81" s="53" t="n">
        <f aca="false">SUMIF($C$6:$AL$6,3,C81:AL81)</f>
        <v>49.5232513765017</v>
      </c>
      <c r="AP81" s="53" t="n">
        <f aca="false">SUM(C81:AL81)</f>
        <v>104.805256173075</v>
      </c>
    </row>
    <row r="82" customFormat="false" ht="15" hidden="false" customHeight="false" outlineLevel="0" collapsed="false">
      <c r="A82" s="7" t="s">
        <v>761</v>
      </c>
      <c r="B82" s="9" t="s">
        <v>342</v>
      </c>
      <c r="C82" s="56" t="n">
        <f aca="false">C81*Assumptions!$C$153</f>
        <v>-0</v>
      </c>
      <c r="D82" s="56" t="n">
        <f aca="false">D81*Assumptions!$C$153</f>
        <v>-0</v>
      </c>
      <c r="E82" s="56" t="n">
        <f aca="false">E81*Assumptions!$C$153</f>
        <v>-0</v>
      </c>
      <c r="F82" s="56" t="n">
        <f aca="false">F81*Assumptions!$C$153</f>
        <v>0</v>
      </c>
      <c r="G82" s="56" t="n">
        <f aca="false">G81*Assumptions!$C$153</f>
        <v>0.37125</v>
      </c>
      <c r="H82" s="56" t="n">
        <f aca="false">H81*Assumptions!$C$153</f>
        <v>0.858</v>
      </c>
      <c r="I82" s="56" t="n">
        <f aca="false">I81*Assumptions!$C$153</f>
        <v>1.405404</v>
      </c>
      <c r="J82" s="56" t="n">
        <f aca="false">J81*Assumptions!$C$153</f>
        <v>1.76322432</v>
      </c>
      <c r="K82" s="56" t="n">
        <f aca="false">K81*Assumptions!$C$153</f>
        <v>2.41283328</v>
      </c>
      <c r="L82" s="56" t="n">
        <f aca="false">L81*Assumptions!$C$153</f>
        <v>2.860655136768</v>
      </c>
      <c r="M82" s="56" t="n">
        <f aca="false">M81*Assumptions!$C$153</f>
        <v>2.66191488516096</v>
      </c>
      <c r="N82" s="56" t="n">
        <f aca="false">N81*Assumptions!$C$153</f>
        <v>2.7683914805674</v>
      </c>
      <c r="O82" s="56" t="n">
        <f aca="false">O81*Assumptions!$C$153</f>
        <v>3.15596628784683</v>
      </c>
      <c r="P82" s="56" t="n">
        <f aca="false">P81*Assumptions!$C$153</f>
        <v>4.40506452387885</v>
      </c>
      <c r="Q82" s="56" t="n">
        <f aca="false">Q81*Assumptions!$C$153</f>
        <v>4.66597988413936</v>
      </c>
      <c r="R82" s="56" t="n">
        <f aca="false">R81*Assumptions!$C$153</f>
        <v>4.40675877946495</v>
      </c>
      <c r="S82" s="56" t="n">
        <f aca="false">S81*Assumptions!$C$153</f>
        <v>3.23632364763906</v>
      </c>
      <c r="T82" s="56" t="n">
        <f aca="false">T81*Assumptions!$C$153</f>
        <v>3.66783346732427</v>
      </c>
      <c r="U82" s="56" t="n">
        <f aca="false">U81*Assumptions!$C$153</f>
        <v>3.92824964350429</v>
      </c>
      <c r="V82" s="56" t="n">
        <f aca="false">V81*Assumptions!$C$153</f>
        <v>3.62521324243396</v>
      </c>
      <c r="W82" s="56" t="n">
        <f aca="false">W81*Assumptions!$C$153</f>
        <v>3.89233421819225</v>
      </c>
      <c r="X82" s="56" t="n">
        <f aca="false">X81*Assumptions!$C$153</f>
        <v>3.77167185742829</v>
      </c>
      <c r="Y82" s="56" t="n">
        <f aca="false">Y81*Assumptions!$C$153</f>
        <v>3.44214684251614</v>
      </c>
      <c r="Z82" s="56" t="n">
        <f aca="false">Z81*Assumptions!$C$153</f>
        <v>3.51098977936646</v>
      </c>
      <c r="AA82" s="56" t="n">
        <f aca="false">AA81*Assumptions!$C$153</f>
        <v>3.96328787447308</v>
      </c>
      <c r="AB82" s="56" t="n">
        <f aca="false">AB81*Assumptions!$C$153</f>
        <v>5.47768103071911</v>
      </c>
      <c r="AC82" s="56" t="n">
        <f aca="false">AC81*Assumptions!$C$153</f>
        <v>5.74524468106578</v>
      </c>
      <c r="AD82" s="56" t="n">
        <f aca="false">AD81*Assumptions!$C$153</f>
        <v>5.3728677109967</v>
      </c>
      <c r="AE82" s="56" t="n">
        <f aca="false">AE81*Assumptions!$C$153</f>
        <v>3.9071493994368</v>
      </c>
      <c r="AF82" s="56" t="n">
        <f aca="false">AF81*Assumptions!$C$153</f>
        <v>4.38468988159019</v>
      </c>
      <c r="AG82" s="56" t="n">
        <f aca="false">AG81*Assumptions!$C$153</f>
        <v>4.64996361942639</v>
      </c>
      <c r="AH82" s="56" t="n">
        <f aca="false">AH81*Assumptions!$C$153</f>
        <v>4.24918104079964</v>
      </c>
      <c r="AI82" s="56" t="n">
        <f aca="false">AI81*Assumptions!$C$153</f>
        <v>4.51755036969225</v>
      </c>
      <c r="AJ82" s="56" t="n">
        <f aca="false">AJ81*Assumptions!$C$153</f>
        <v>4.33458957971971</v>
      </c>
      <c r="AK82" s="56" t="n">
        <f aca="false">AK81*Assumptions!$C$153</f>
        <v>3.9171001623046</v>
      </c>
      <c r="AL82" s="56" t="n">
        <f aca="false">AL81*Assumptions!$C$153</f>
        <v>3.95627116392765</v>
      </c>
      <c r="AM82" s="53" t="n">
        <f aca="false">SUMIF($C$6:$AL$6,1,C82:AL82)</f>
        <v>15.1016731024964</v>
      </c>
      <c r="AN82" s="53" t="n">
        <f aca="false">SUMIF($C$6:$AL$6,2,C82:AL82)</f>
        <v>45.7085321737347</v>
      </c>
      <c r="AO82" s="53" t="n">
        <f aca="false">SUMIF($C$6:$AL$6,3,C82:AL82)</f>
        <v>54.4755765141519</v>
      </c>
      <c r="AP82" s="53" t="n">
        <f aca="false">SUM(C82:AL82)</f>
        <v>115.285781790383</v>
      </c>
    </row>
    <row r="83" customFormat="false" ht="15" hidden="false" customHeight="false" outlineLevel="0" collapsed="false">
      <c r="A83" s="7" t="s">
        <v>762</v>
      </c>
      <c r="B83" s="9" t="s">
        <v>101</v>
      </c>
      <c r="C83" s="15" t="n">
        <f aca="false">'Unit Economics'!$E$56*Assumptions!$C$153*C77</f>
        <v>0</v>
      </c>
      <c r="D83" s="15" t="n">
        <f aca="false">'Unit Economics'!$E$56*Assumptions!$C$153*D77</f>
        <v>0</v>
      </c>
      <c r="E83" s="15" t="n">
        <f aca="false">'Unit Economics'!$E$56*Assumptions!$C$153*E77</f>
        <v>0</v>
      </c>
      <c r="F83" s="15" t="n">
        <f aca="false">'Unit Economics'!$E$56*Assumptions!$C$153*F77</f>
        <v>0</v>
      </c>
      <c r="G83" s="15" t="n">
        <f aca="false">'Unit Economics'!$E$56*Assumptions!$C$153*G77</f>
        <v>14.289</v>
      </c>
      <c r="H83" s="15" t="n">
        <f aca="false">'Unit Economics'!$E$56*Assumptions!$C$153*H77</f>
        <v>14.289</v>
      </c>
      <c r="I83" s="15" t="n">
        <f aca="false">'Unit Economics'!$E$56*Assumptions!$C$153*I77</f>
        <v>14.289</v>
      </c>
      <c r="J83" s="15" t="n">
        <f aca="false">'Unit Economics'!$E$56*Assumptions!$C$153*J77</f>
        <v>14.289</v>
      </c>
      <c r="K83" s="15" t="n">
        <f aca="false">'Unit Economics'!$E$56*Assumptions!$C$153*K77</f>
        <v>14.289</v>
      </c>
      <c r="L83" s="15" t="n">
        <f aca="false">'Unit Economics'!$E$56*Assumptions!$C$153*L77</f>
        <v>14.289</v>
      </c>
      <c r="M83" s="15" t="n">
        <f aca="false">'Unit Economics'!$E$56*Assumptions!$C$153*M77</f>
        <v>14.289</v>
      </c>
      <c r="N83" s="15" t="n">
        <f aca="false">'Unit Economics'!$E$56*Assumptions!$C$153*N77</f>
        <v>14.289</v>
      </c>
      <c r="O83" s="15" t="n">
        <f aca="false">'Unit Economics'!$E$56*Assumptions!$C$153*O77</f>
        <v>14.289</v>
      </c>
      <c r="P83" s="15" t="n">
        <f aca="false">'Unit Economics'!$E$56*Assumptions!$C$153*P77</f>
        <v>14.289</v>
      </c>
      <c r="Q83" s="15" t="n">
        <f aca="false">'Unit Economics'!$E$56*Assumptions!$C$153*Q77</f>
        <v>14.289</v>
      </c>
      <c r="R83" s="15" t="n">
        <f aca="false">'Unit Economics'!$E$56*Assumptions!$C$153*R77</f>
        <v>14.289</v>
      </c>
      <c r="S83" s="15" t="n">
        <f aca="false">'Unit Economics'!$E$56*Assumptions!$C$153*S77</f>
        <v>14.289</v>
      </c>
      <c r="T83" s="15" t="n">
        <f aca="false">'Unit Economics'!$E$56*Assumptions!$C$153*T77</f>
        <v>14.289</v>
      </c>
      <c r="U83" s="15" t="n">
        <f aca="false">'Unit Economics'!$E$56*Assumptions!$C$153*U77</f>
        <v>14.289</v>
      </c>
      <c r="V83" s="15" t="n">
        <f aca="false">'Unit Economics'!$E$56*Assumptions!$C$153*V77</f>
        <v>14.289</v>
      </c>
      <c r="W83" s="15" t="n">
        <f aca="false">'Unit Economics'!$E$56*Assumptions!$C$153*W77</f>
        <v>14.289</v>
      </c>
      <c r="X83" s="15" t="n">
        <f aca="false">'Unit Economics'!$E$56*Assumptions!$C$153*X77</f>
        <v>14.289</v>
      </c>
      <c r="Y83" s="15" t="n">
        <f aca="false">'Unit Economics'!$E$56*Assumptions!$C$153*Y77</f>
        <v>14.289</v>
      </c>
      <c r="Z83" s="15" t="n">
        <f aca="false">'Unit Economics'!$E$56*Assumptions!$C$153*Z77</f>
        <v>14.289</v>
      </c>
      <c r="AA83" s="15" t="n">
        <f aca="false">'Unit Economics'!$E$56*Assumptions!$C$153*AA77</f>
        <v>14.289</v>
      </c>
      <c r="AB83" s="15" t="n">
        <f aca="false">'Unit Economics'!$E$56*Assumptions!$C$153*AB77</f>
        <v>14.289</v>
      </c>
      <c r="AC83" s="15" t="n">
        <f aca="false">'Unit Economics'!$E$56*Assumptions!$C$153*AC77</f>
        <v>14.289</v>
      </c>
      <c r="AD83" s="15" t="n">
        <f aca="false">'Unit Economics'!$E$56*Assumptions!$C$153*AD77</f>
        <v>14.289</v>
      </c>
      <c r="AE83" s="15" t="n">
        <f aca="false">'Unit Economics'!$E$56*Assumptions!$C$153*AE77</f>
        <v>14.289</v>
      </c>
      <c r="AF83" s="15" t="n">
        <f aca="false">'Unit Economics'!$E$56*Assumptions!$C$153*AF77</f>
        <v>14.289</v>
      </c>
      <c r="AG83" s="15" t="n">
        <f aca="false">'Unit Economics'!$E$56*Assumptions!$C$153*AG77</f>
        <v>14.289</v>
      </c>
      <c r="AH83" s="15" t="n">
        <f aca="false">'Unit Economics'!$E$56*Assumptions!$C$153*AH77</f>
        <v>14.289</v>
      </c>
      <c r="AI83" s="15" t="n">
        <f aca="false">'Unit Economics'!$E$56*Assumptions!$C$153*AI77</f>
        <v>14.289</v>
      </c>
      <c r="AJ83" s="15" t="n">
        <f aca="false">'Unit Economics'!$E$56*Assumptions!$C$153*AJ77</f>
        <v>14.289</v>
      </c>
      <c r="AK83" s="15" t="n">
        <f aca="false">'Unit Economics'!$E$56*Assumptions!$C$153*AK77</f>
        <v>14.289</v>
      </c>
      <c r="AL83" s="15" t="n">
        <f aca="false">'Unit Economics'!$E$56*Assumptions!$C$153*AL77</f>
        <v>14.289</v>
      </c>
    </row>
    <row r="84" customFormat="false" ht="15" hidden="false" customHeight="false" outlineLevel="0" collapsed="false">
      <c r="A84" s="7" t="s">
        <v>763</v>
      </c>
      <c r="B84" s="9" t="s">
        <v>101</v>
      </c>
      <c r="C84" s="8" t="n">
        <f aca="false">C82*'Unit Economics'!$E$56</f>
        <v>-0</v>
      </c>
      <c r="D84" s="8" t="n">
        <f aca="false">D82*'Unit Economics'!$E$56</f>
        <v>-0</v>
      </c>
      <c r="E84" s="8" t="n">
        <f aca="false">E82*'Unit Economics'!$E$56</f>
        <v>-0</v>
      </c>
      <c r="F84" s="8" t="n">
        <f aca="false">F82*'Unit Economics'!$E$56</f>
        <v>0</v>
      </c>
      <c r="G84" s="8" t="n">
        <f aca="false">G82*'Unit Economics'!$E$56</f>
        <v>4.8225375</v>
      </c>
      <c r="H84" s="8" t="n">
        <f aca="false">H82*'Unit Economics'!$E$56</f>
        <v>11.14542</v>
      </c>
      <c r="I84" s="8" t="n">
        <f aca="false">I82*'Unit Economics'!$E$56</f>
        <v>18.25619796</v>
      </c>
      <c r="J84" s="8" t="n">
        <f aca="false">J82*'Unit Economics'!$E$56</f>
        <v>22.9042839168</v>
      </c>
      <c r="K84" s="8" t="n">
        <f aca="false">K82*'Unit Economics'!$E$56</f>
        <v>31.3427043072</v>
      </c>
      <c r="L84" s="8" t="n">
        <f aca="false">L82*'Unit Economics'!$E$56</f>
        <v>37.1599102266163</v>
      </c>
      <c r="M84" s="8" t="n">
        <f aca="false">M82*'Unit Economics'!$E$56</f>
        <v>34.5782743582409</v>
      </c>
      <c r="N84" s="8" t="n">
        <f aca="false">N82*'Unit Economics'!$E$56</f>
        <v>35.9614053325705</v>
      </c>
      <c r="O84" s="8" t="n">
        <f aca="false">O82*'Unit Economics'!$E$56</f>
        <v>40.9960020791304</v>
      </c>
      <c r="P84" s="8" t="n">
        <f aca="false">P82*'Unit Economics'!$E$56</f>
        <v>57.2217881651862</v>
      </c>
      <c r="Q84" s="8" t="n">
        <f aca="false">Q82*'Unit Economics'!$E$56</f>
        <v>60.6110786949703</v>
      </c>
      <c r="R84" s="8" t="n">
        <f aca="false">R82*'Unit Economics'!$E$56</f>
        <v>57.2437965452497</v>
      </c>
      <c r="S84" s="8" t="n">
        <f aca="false">S82*'Unit Economics'!$E$56</f>
        <v>42.0398441828314</v>
      </c>
      <c r="T84" s="8" t="n">
        <f aca="false">T82*'Unit Economics'!$E$56</f>
        <v>47.6451567405423</v>
      </c>
      <c r="U84" s="8" t="n">
        <f aca="false">U82*'Unit Economics'!$E$56</f>
        <v>51.0279628691208</v>
      </c>
      <c r="V84" s="8" t="n">
        <f aca="false">V82*'Unit Economics'!$E$56</f>
        <v>47.0915200192172</v>
      </c>
      <c r="W84" s="8" t="n">
        <f aca="false">W82*'Unit Economics'!$E$56</f>
        <v>50.5614214943174</v>
      </c>
      <c r="X84" s="8" t="n">
        <f aca="false">X82*'Unit Economics'!$E$56</f>
        <v>48.9940174279935</v>
      </c>
      <c r="Y84" s="8" t="n">
        <f aca="false">Y82*'Unit Economics'!$E$56</f>
        <v>44.7134874842846</v>
      </c>
      <c r="Z84" s="8" t="n">
        <f aca="false">Z82*'Unit Economics'!$E$56</f>
        <v>45.6077572339703</v>
      </c>
      <c r="AA84" s="8" t="n">
        <f aca="false">AA82*'Unit Economics'!$E$56</f>
        <v>51.4831094894053</v>
      </c>
      <c r="AB84" s="8" t="n">
        <f aca="false">AB82*'Unit Economics'!$E$56</f>
        <v>71.1550765890413</v>
      </c>
      <c r="AC84" s="8" t="n">
        <f aca="false">AC82*'Unit Economics'!$E$56</f>
        <v>74.6307284070444</v>
      </c>
      <c r="AD84" s="8" t="n">
        <f aca="false">AD82*'Unit Economics'!$E$56</f>
        <v>69.7935515658471</v>
      </c>
      <c r="AE84" s="8" t="n">
        <f aca="false">AE82*'Unit Economics'!$E$56</f>
        <v>50.753870698684</v>
      </c>
      <c r="AF84" s="8" t="n">
        <f aca="false">AF82*'Unit Economics'!$E$56</f>
        <v>56.9571215618565</v>
      </c>
      <c r="AG84" s="8" t="n">
        <f aca="false">AG82*'Unit Economics'!$E$56</f>
        <v>60.4030274163488</v>
      </c>
      <c r="AH84" s="8" t="n">
        <f aca="false">AH82*'Unit Economics'!$E$56</f>
        <v>55.1968617199873</v>
      </c>
      <c r="AI84" s="8" t="n">
        <f aca="false">AI82*'Unit Economics'!$E$56</f>
        <v>58.6829793023023</v>
      </c>
      <c r="AJ84" s="8" t="n">
        <f aca="false">AJ82*'Unit Economics'!$E$56</f>
        <v>56.3063186405591</v>
      </c>
      <c r="AK84" s="8" t="n">
        <f aca="false">AK82*'Unit Economics'!$E$56</f>
        <v>50.8831311083368</v>
      </c>
      <c r="AL84" s="8" t="n">
        <f aca="false">AL82*'Unit Economics'!$E$56</f>
        <v>51.3919624194202</v>
      </c>
      <c r="AM84" s="45" t="n">
        <f aca="false">SUMIF($C$6:$AL$6,1,C84:AL84)</f>
        <v>196.170733601428</v>
      </c>
      <c r="AN84" s="45" t="n">
        <f aca="false">SUMIF($C$6:$AL$6,2,C84:AL84)</f>
        <v>593.753832936814</v>
      </c>
      <c r="AO84" s="45" t="n">
        <f aca="false">SUMIF($C$6:$AL$6,3,C84:AL84)</f>
        <v>707.637738918833</v>
      </c>
      <c r="AP84" s="45" t="n">
        <f aca="false">SUM(C84:AL84)</f>
        <v>1497.56230545708</v>
      </c>
    </row>
    <row r="85" customFormat="false" ht="15" hidden="false" customHeight="false" outlineLevel="0" collapsed="false">
      <c r="A85" s="7" t="s">
        <v>764</v>
      </c>
      <c r="B85" s="9" t="s">
        <v>101</v>
      </c>
      <c r="C85" s="8" t="n">
        <f aca="false">C82*'Unit Economics'!$F$56</f>
        <v>-0</v>
      </c>
      <c r="D85" s="8" t="n">
        <f aca="false">D82*'Unit Economics'!$F$56</f>
        <v>-0</v>
      </c>
      <c r="E85" s="8" t="n">
        <f aca="false">E82*'Unit Economics'!$F$56</f>
        <v>-0</v>
      </c>
      <c r="F85" s="8" t="n">
        <f aca="false">F82*'Unit Economics'!$F$56</f>
        <v>0</v>
      </c>
      <c r="G85" s="8" t="n">
        <f aca="false">G82*'Unit Economics'!$F$56</f>
        <v>1.6794213975</v>
      </c>
      <c r="H85" s="8" t="n">
        <f aca="false">H82*'Unit Economics'!$F$56</f>
        <v>3.881329452</v>
      </c>
      <c r="I85" s="8" t="n">
        <f aca="false">I82*'Unit Economics'!$F$56</f>
        <v>6.357617642376</v>
      </c>
      <c r="J85" s="8" t="n">
        <f aca="false">J82*'Unit Economics'!$F$56</f>
        <v>7.97628727703808</v>
      </c>
      <c r="K85" s="8" t="n">
        <f aca="false">K82*'Unit Economics'!$F$56</f>
        <v>10.9149194317363</v>
      </c>
      <c r="L85" s="8" t="n">
        <f aca="false">L82*'Unit Economics'!$F$56</f>
        <v>12.9407284782666</v>
      </c>
      <c r="M85" s="8" t="n">
        <f aca="false">M82*'Unit Economics'!$F$56</f>
        <v>12.0416883945133</v>
      </c>
      <c r="N85" s="8" t="n">
        <f aca="false">N82*'Unit Economics'!$F$56</f>
        <v>12.5233559302939</v>
      </c>
      <c r="O85" s="8" t="n">
        <f aca="false">O82*'Unit Economics'!$F$56</f>
        <v>14.276625760535</v>
      </c>
      <c r="P85" s="8" t="n">
        <f aca="false">P82*'Unit Economics'!$F$56</f>
        <v>19.9271639562836</v>
      </c>
      <c r="Q85" s="8" t="n">
        <f aca="false">Q82*'Unit Economics'!$F$56</f>
        <v>21.1074652060019</v>
      </c>
      <c r="R85" s="8" t="n">
        <f aca="false">R82*'Unit Economics'!$F$56</f>
        <v>19.9348282501129</v>
      </c>
      <c r="S85" s="8" t="n">
        <f aca="false">S82*'Unit Economics'!$F$56</f>
        <v>14.6401378668829</v>
      </c>
      <c r="T85" s="8" t="n">
        <f aca="false">T82*'Unit Economics'!$F$56</f>
        <v>16.592156249134</v>
      </c>
      <c r="U85" s="8" t="n">
        <f aca="false">U82*'Unit Economics'!$F$56</f>
        <v>17.7701993428225</v>
      </c>
      <c r="V85" s="8" t="n">
        <f aca="false">V82*'Unit Economics'!$F$56</f>
        <v>16.3993553935191</v>
      </c>
      <c r="W85" s="8" t="n">
        <f aca="false">W82*'Unit Economics'!$F$56</f>
        <v>17.607728948831</v>
      </c>
      <c r="X85" s="8" t="n">
        <f aca="false">X82*'Unit Economics'!$F$56</f>
        <v>17.0618893514172</v>
      </c>
      <c r="Y85" s="8" t="n">
        <f aca="false">Y82*'Unit Economics'!$F$56</f>
        <v>15.5712190186092</v>
      </c>
      <c r="Z85" s="8" t="n">
        <f aca="false">Z82*'Unit Economics'!$F$56</f>
        <v>15.8826433989814</v>
      </c>
      <c r="AA85" s="8" t="n">
        <f aca="false">AA82*'Unit Economics'!$F$56</f>
        <v>17.9287015780266</v>
      </c>
      <c r="AB85" s="8" t="n">
        <f aca="false">AB82*'Unit Economics'!$F$56</f>
        <v>24.7793528125779</v>
      </c>
      <c r="AC85" s="8" t="n">
        <f aca="false">AC82*'Unit Economics'!$F$56</f>
        <v>25.9897288922692</v>
      </c>
      <c r="AD85" s="8" t="n">
        <f aca="false">AD82*'Unit Economics'!$F$56</f>
        <v>24.3052094270295</v>
      </c>
      <c r="AE85" s="8" t="n">
        <f aca="false">AE82*'Unit Economics'!$F$56</f>
        <v>17.6747482953358</v>
      </c>
      <c r="AF85" s="8" t="n">
        <f aca="false">AF82*'Unit Economics'!$F$56</f>
        <v>19.8349953092102</v>
      </c>
      <c r="AG85" s="8" t="n">
        <f aca="false">AG82*'Unit Economics'!$F$56</f>
        <v>21.0350125254174</v>
      </c>
      <c r="AH85" s="8" t="n">
        <f aca="false">AH82*'Unit Economics'!$F$56</f>
        <v>19.2219947791791</v>
      </c>
      <c r="AI85" s="8" t="n">
        <f aca="false">AI82*'Unit Economics'!$F$56</f>
        <v>20.4360155020746</v>
      </c>
      <c r="AJ85" s="8" t="n">
        <f aca="false">AJ82*'Unit Economics'!$F$56</f>
        <v>19.6083568742406</v>
      </c>
      <c r="AK85" s="8" t="n">
        <f aca="false">AK82*'Unit Economics'!$F$56</f>
        <v>17.7197625016164</v>
      </c>
      <c r="AL85" s="8" t="n">
        <f aca="false">AL82*'Unit Economics'!$F$56</f>
        <v>17.8969601266325</v>
      </c>
      <c r="AM85" s="45" t="n">
        <f aca="false">SUMIF($C$6:$AL$6,1,C85:AL85)</f>
        <v>68.3153480037242</v>
      </c>
      <c r="AN85" s="45" t="n">
        <f aca="false">SUMIF($C$6:$AL$6,2,C85:AL85)</f>
        <v>206.771412743131</v>
      </c>
      <c r="AO85" s="45" t="n">
        <f aca="false">SUMIF($C$6:$AL$6,3,C85:AL85)</f>
        <v>246.43083862361</v>
      </c>
      <c r="AP85" s="45" t="n">
        <f aca="false">SUM(C85:AL85)</f>
        <v>521.517599370465</v>
      </c>
    </row>
    <row r="86" customFormat="false" ht="15" hidden="false" customHeight="false" outlineLevel="0" collapsed="false">
      <c r="A86" s="5" t="s">
        <v>578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customFormat="false" ht="15" hidden="false" customHeight="false" outlineLevel="0" collapsed="false">
      <c r="A87" s="7" t="s">
        <v>755</v>
      </c>
      <c r="B87" s="9" t="s">
        <v>319</v>
      </c>
      <c r="C87" s="38" t="n">
        <f aca="false">IF(AND(Assumptions!$C$155=1,C$4&gt;=Assumptions!$C$156),1,0)</f>
        <v>0</v>
      </c>
      <c r="D87" s="38" t="n">
        <f aca="false">IF(AND(Assumptions!$C$155=1,D$4&gt;=Assumptions!$C$156),1,0)</f>
        <v>0</v>
      </c>
      <c r="E87" s="38" t="n">
        <f aca="false">IF(AND(Assumptions!$C$155=1,E$4&gt;=Assumptions!$C$156),1,0)</f>
        <v>0</v>
      </c>
      <c r="F87" s="38" t="n">
        <f aca="false">IF(AND(Assumptions!$C$155=1,F$4&gt;=Assumptions!$C$156),1,0)</f>
        <v>0</v>
      </c>
      <c r="G87" s="38" t="n">
        <f aca="false">IF(AND(Assumptions!$C$155=1,G$4&gt;=Assumptions!$C$156),1,0)</f>
        <v>0</v>
      </c>
      <c r="H87" s="38" t="n">
        <f aca="false">IF(AND(Assumptions!$C$155=1,H$4&gt;=Assumptions!$C$156),1,0)</f>
        <v>0</v>
      </c>
      <c r="I87" s="38" t="n">
        <f aca="false">IF(AND(Assumptions!$C$155=1,I$4&gt;=Assumptions!$C$156),1,0)</f>
        <v>0</v>
      </c>
      <c r="J87" s="38" t="n">
        <f aca="false">IF(AND(Assumptions!$C$155=1,J$4&gt;=Assumptions!$C$156),1,0)</f>
        <v>0</v>
      </c>
      <c r="K87" s="38" t="n">
        <f aca="false">IF(AND(Assumptions!$C$155=1,K$4&gt;=Assumptions!$C$156),1,0)</f>
        <v>0</v>
      </c>
      <c r="L87" s="38" t="n">
        <f aca="false">IF(AND(Assumptions!$C$155=1,L$4&gt;=Assumptions!$C$156),1,0)</f>
        <v>0</v>
      </c>
      <c r="M87" s="38" t="n">
        <f aca="false">IF(AND(Assumptions!$C$155=1,M$4&gt;=Assumptions!$C$156),1,0)</f>
        <v>0</v>
      </c>
      <c r="N87" s="38" t="n">
        <f aca="false">IF(AND(Assumptions!$C$155=1,N$4&gt;=Assumptions!$C$156),1,0)</f>
        <v>0</v>
      </c>
      <c r="O87" s="38" t="n">
        <f aca="false">IF(AND(Assumptions!$C$155=1,O$4&gt;=Assumptions!$C$156),1,0)</f>
        <v>0</v>
      </c>
      <c r="P87" s="38" t="n">
        <f aca="false">IF(AND(Assumptions!$C$155=1,P$4&gt;=Assumptions!$C$156),1,0)</f>
        <v>0</v>
      </c>
      <c r="Q87" s="38" t="n">
        <f aca="false">IF(AND(Assumptions!$C$155=1,Q$4&gt;=Assumptions!$C$156),1,0)</f>
        <v>0</v>
      </c>
      <c r="R87" s="38" t="n">
        <f aca="false">IF(AND(Assumptions!$C$155=1,R$4&gt;=Assumptions!$C$156),1,0)</f>
        <v>0</v>
      </c>
      <c r="S87" s="38" t="n">
        <f aca="false">IF(AND(Assumptions!$C$155=1,S$4&gt;=Assumptions!$C$156),1,0)</f>
        <v>0</v>
      </c>
      <c r="T87" s="38" t="n">
        <f aca="false">IF(AND(Assumptions!$C$155=1,T$4&gt;=Assumptions!$C$156),1,0)</f>
        <v>0</v>
      </c>
      <c r="U87" s="38" t="n">
        <f aca="false">IF(AND(Assumptions!$C$155=1,U$4&gt;=Assumptions!$C$156),1,0)</f>
        <v>0</v>
      </c>
      <c r="V87" s="38" t="n">
        <f aca="false">IF(AND(Assumptions!$C$155=1,V$4&gt;=Assumptions!$C$156),1,0)</f>
        <v>0</v>
      </c>
      <c r="W87" s="38" t="n">
        <f aca="false">IF(AND(Assumptions!$C$155=1,W$4&gt;=Assumptions!$C$156),1,0)</f>
        <v>0</v>
      </c>
      <c r="X87" s="38" t="n">
        <f aca="false">IF(AND(Assumptions!$C$155=1,X$4&gt;=Assumptions!$C$156),1,0)</f>
        <v>0</v>
      </c>
      <c r="Y87" s="38" t="n">
        <f aca="false">IF(AND(Assumptions!$C$155=1,Y$4&gt;=Assumptions!$C$156),1,0)</f>
        <v>0</v>
      </c>
      <c r="Z87" s="38" t="n">
        <f aca="false">IF(AND(Assumptions!$C$155=1,Z$4&gt;=Assumptions!$C$156),1,0)</f>
        <v>0</v>
      </c>
      <c r="AA87" s="38" t="n">
        <f aca="false">IF(AND(Assumptions!$C$155=1,AA$4&gt;=Assumptions!$C$156),1,0)</f>
        <v>0</v>
      </c>
      <c r="AB87" s="38" t="n">
        <f aca="false">IF(AND(Assumptions!$C$155=1,AB$4&gt;=Assumptions!$C$156),1,0)</f>
        <v>0</v>
      </c>
      <c r="AC87" s="38" t="n">
        <f aca="false">IF(AND(Assumptions!$C$155=1,AC$4&gt;=Assumptions!$C$156),1,0)</f>
        <v>0</v>
      </c>
      <c r="AD87" s="38" t="n">
        <f aca="false">IF(AND(Assumptions!$C$155=1,AD$4&gt;=Assumptions!$C$156),1,0)</f>
        <v>0</v>
      </c>
      <c r="AE87" s="38" t="n">
        <f aca="false">IF(AND(Assumptions!$C$155=1,AE$4&gt;=Assumptions!$C$156),1,0)</f>
        <v>0</v>
      </c>
      <c r="AF87" s="38" t="n">
        <f aca="false">IF(AND(Assumptions!$C$155=1,AF$4&gt;=Assumptions!$C$156),1,0)</f>
        <v>0</v>
      </c>
      <c r="AG87" s="38" t="n">
        <f aca="false">IF(AND(Assumptions!$C$155=1,AG$4&gt;=Assumptions!$C$156),1,0)</f>
        <v>0</v>
      </c>
      <c r="AH87" s="38" t="n">
        <f aca="false">IF(AND(Assumptions!$C$155=1,AH$4&gt;=Assumptions!$C$156),1,0)</f>
        <v>0</v>
      </c>
      <c r="AI87" s="38" t="n">
        <f aca="false">IF(AND(Assumptions!$C$155=1,AI$4&gt;=Assumptions!$C$156),1,0)</f>
        <v>0</v>
      </c>
      <c r="AJ87" s="38" t="n">
        <f aca="false">IF(AND(Assumptions!$C$155=1,AJ$4&gt;=Assumptions!$C$156),1,0)</f>
        <v>0</v>
      </c>
      <c r="AK87" s="38" t="n">
        <f aca="false">IF(AND(Assumptions!$C$155=1,AK$4&gt;=Assumptions!$C$156),1,0)</f>
        <v>0</v>
      </c>
      <c r="AL87" s="38" t="n">
        <f aca="false">IF(AND(Assumptions!$C$155=1,AL$4&gt;=Assumptions!$C$156),1,0)</f>
        <v>0</v>
      </c>
    </row>
    <row r="88" customFormat="false" ht="15" hidden="false" customHeight="false" outlineLevel="0" collapsed="false">
      <c r="A88" s="7" t="s">
        <v>756</v>
      </c>
      <c r="B88" s="9" t="s">
        <v>327</v>
      </c>
      <c r="C88" s="14" t="n">
        <f aca="false">IF(C87=0,0,Assumptions!$C$157)</f>
        <v>0</v>
      </c>
      <c r="D88" s="14" t="n">
        <f aca="false">IF(D87=0,0,IF(D$4=Assumptions!$C$156,Assumptions!$C$157,C88*(1+CHOOSE(D$6,Assumptions!$C$158,Assumptions!$C$159,Assumptions!$C$160))))</f>
        <v>0</v>
      </c>
      <c r="E88" s="14" t="n">
        <f aca="false">IF(E87=0,0,IF(E$4=Assumptions!$C$156,Assumptions!$C$157,D88*(1+CHOOSE(E$6,Assumptions!$C$158,Assumptions!$C$159,Assumptions!$C$160))))</f>
        <v>0</v>
      </c>
      <c r="F88" s="14" t="n">
        <f aca="false">IF(F87=0,0,IF(F$4=Assumptions!$C$156,Assumptions!$C$157,E88*(1+CHOOSE(F$6,Assumptions!$C$158,Assumptions!$C$159,Assumptions!$C$160))))</f>
        <v>0</v>
      </c>
      <c r="G88" s="14" t="n">
        <f aca="false">IF(G87=0,0,IF(G$4=Assumptions!$C$156,Assumptions!$C$157,F88*(1+CHOOSE(G$6,Assumptions!$C$158,Assumptions!$C$159,Assumptions!$C$160))))</f>
        <v>0</v>
      </c>
      <c r="H88" s="14" t="n">
        <f aca="false">IF(H87=0,0,IF(H$4=Assumptions!$C$156,Assumptions!$C$157,G88*(1+CHOOSE(H$6,Assumptions!$C$158,Assumptions!$C$159,Assumptions!$C$160))))</f>
        <v>0</v>
      </c>
      <c r="I88" s="14" t="n">
        <f aca="false">IF(I87=0,0,IF(I$4=Assumptions!$C$156,Assumptions!$C$157,H88*(1+CHOOSE(I$6,Assumptions!$C$158,Assumptions!$C$159,Assumptions!$C$160))))</f>
        <v>0</v>
      </c>
      <c r="J88" s="14" t="n">
        <f aca="false">IF(J87=0,0,IF(J$4=Assumptions!$C$156,Assumptions!$C$157,I88*(1+CHOOSE(J$6,Assumptions!$C$158,Assumptions!$C$159,Assumptions!$C$160))))</f>
        <v>0</v>
      </c>
      <c r="K88" s="14" t="n">
        <f aca="false">IF(K87=0,0,IF(K$4=Assumptions!$C$156,Assumptions!$C$157,J88*(1+CHOOSE(K$6,Assumptions!$C$158,Assumptions!$C$159,Assumptions!$C$160))))</f>
        <v>0</v>
      </c>
      <c r="L88" s="14" t="n">
        <f aca="false">IF(L87=0,0,IF(L$4=Assumptions!$C$156,Assumptions!$C$157,K88*(1+CHOOSE(L$6,Assumptions!$C$158,Assumptions!$C$159,Assumptions!$C$160))))</f>
        <v>0</v>
      </c>
      <c r="M88" s="14" t="n">
        <f aca="false">IF(M87=0,0,IF(M$4=Assumptions!$C$156,Assumptions!$C$157,L88*(1+CHOOSE(M$6,Assumptions!$C$158,Assumptions!$C$159,Assumptions!$C$160))))</f>
        <v>0</v>
      </c>
      <c r="N88" s="14" t="n">
        <f aca="false">IF(N87=0,0,IF(N$4=Assumptions!$C$156,Assumptions!$C$157,M88*(1+CHOOSE(N$6,Assumptions!$C$158,Assumptions!$C$159,Assumptions!$C$160))))</f>
        <v>0</v>
      </c>
      <c r="O88" s="14" t="n">
        <f aca="false">IF(O87=0,0,IF(O$4=Assumptions!$C$156,Assumptions!$C$157,N88*(1+CHOOSE(O$6,Assumptions!$C$158,Assumptions!$C$159,Assumptions!$C$160))))</f>
        <v>0</v>
      </c>
      <c r="P88" s="14" t="n">
        <f aca="false">IF(P87=0,0,IF(P$4=Assumptions!$C$156,Assumptions!$C$157,O88*(1+CHOOSE(P$6,Assumptions!$C$158,Assumptions!$C$159,Assumptions!$C$160))))</f>
        <v>0</v>
      </c>
      <c r="Q88" s="14" t="n">
        <f aca="false">IF(Q87=0,0,IF(Q$4=Assumptions!$C$156,Assumptions!$C$157,P88*(1+CHOOSE(Q$6,Assumptions!$C$158,Assumptions!$C$159,Assumptions!$C$160))))</f>
        <v>0</v>
      </c>
      <c r="R88" s="14" t="n">
        <f aca="false">IF(R87=0,0,IF(R$4=Assumptions!$C$156,Assumptions!$C$157,Q88*(1+CHOOSE(R$6,Assumptions!$C$158,Assumptions!$C$159,Assumptions!$C$160))))</f>
        <v>0</v>
      </c>
      <c r="S88" s="14" t="n">
        <f aca="false">IF(S87=0,0,IF(S$4=Assumptions!$C$156,Assumptions!$C$157,R88*(1+CHOOSE(S$6,Assumptions!$C$158,Assumptions!$C$159,Assumptions!$C$160))))</f>
        <v>0</v>
      </c>
      <c r="T88" s="14" t="n">
        <f aca="false">IF(T87=0,0,IF(T$4=Assumptions!$C$156,Assumptions!$C$157,S88*(1+CHOOSE(T$6,Assumptions!$C$158,Assumptions!$C$159,Assumptions!$C$160))))</f>
        <v>0</v>
      </c>
      <c r="U88" s="14" t="n">
        <f aca="false">IF(U87=0,0,IF(U$4=Assumptions!$C$156,Assumptions!$C$157,T88*(1+CHOOSE(U$6,Assumptions!$C$158,Assumptions!$C$159,Assumptions!$C$160))))</f>
        <v>0</v>
      </c>
      <c r="V88" s="14" t="n">
        <f aca="false">IF(V87=0,0,IF(V$4=Assumptions!$C$156,Assumptions!$C$157,U88*(1+CHOOSE(V$6,Assumptions!$C$158,Assumptions!$C$159,Assumptions!$C$160))))</f>
        <v>0</v>
      </c>
      <c r="W88" s="14" t="n">
        <f aca="false">IF(W87=0,0,IF(W$4=Assumptions!$C$156,Assumptions!$C$157,V88*(1+CHOOSE(W$6,Assumptions!$C$158,Assumptions!$C$159,Assumptions!$C$160))))</f>
        <v>0</v>
      </c>
      <c r="X88" s="14" t="n">
        <f aca="false">IF(X87=0,0,IF(X$4=Assumptions!$C$156,Assumptions!$C$157,W88*(1+CHOOSE(X$6,Assumptions!$C$158,Assumptions!$C$159,Assumptions!$C$160))))</f>
        <v>0</v>
      </c>
      <c r="Y88" s="14" t="n">
        <f aca="false">IF(Y87=0,0,IF(Y$4=Assumptions!$C$156,Assumptions!$C$157,X88*(1+CHOOSE(Y$6,Assumptions!$C$158,Assumptions!$C$159,Assumptions!$C$160))))</f>
        <v>0</v>
      </c>
      <c r="Z88" s="14" t="n">
        <f aca="false">IF(Z87=0,0,IF(Z$4=Assumptions!$C$156,Assumptions!$C$157,Y88*(1+CHOOSE(Z$6,Assumptions!$C$158,Assumptions!$C$159,Assumptions!$C$160))))</f>
        <v>0</v>
      </c>
      <c r="AA88" s="14" t="n">
        <f aca="false">IF(AA87=0,0,IF(AA$4=Assumptions!$C$156,Assumptions!$C$157,Z88*(1+CHOOSE(AA$6,Assumptions!$C$158,Assumptions!$C$159,Assumptions!$C$160))))</f>
        <v>0</v>
      </c>
      <c r="AB88" s="14" t="n">
        <f aca="false">IF(AB87=0,0,IF(AB$4=Assumptions!$C$156,Assumptions!$C$157,AA88*(1+CHOOSE(AB$6,Assumptions!$C$158,Assumptions!$C$159,Assumptions!$C$160))))</f>
        <v>0</v>
      </c>
      <c r="AC88" s="14" t="n">
        <f aca="false">IF(AC87=0,0,IF(AC$4=Assumptions!$C$156,Assumptions!$C$157,AB88*(1+CHOOSE(AC$6,Assumptions!$C$158,Assumptions!$C$159,Assumptions!$C$160))))</f>
        <v>0</v>
      </c>
      <c r="AD88" s="14" t="n">
        <f aca="false">IF(AD87=0,0,IF(AD$4=Assumptions!$C$156,Assumptions!$C$157,AC88*(1+CHOOSE(AD$6,Assumptions!$C$158,Assumptions!$C$159,Assumptions!$C$160))))</f>
        <v>0</v>
      </c>
      <c r="AE88" s="14" t="n">
        <f aca="false">IF(AE87=0,0,IF(AE$4=Assumptions!$C$156,Assumptions!$C$157,AD88*(1+CHOOSE(AE$6,Assumptions!$C$158,Assumptions!$C$159,Assumptions!$C$160))))</f>
        <v>0</v>
      </c>
      <c r="AF88" s="14" t="n">
        <f aca="false">IF(AF87=0,0,IF(AF$4=Assumptions!$C$156,Assumptions!$C$157,AE88*(1+CHOOSE(AF$6,Assumptions!$C$158,Assumptions!$C$159,Assumptions!$C$160))))</f>
        <v>0</v>
      </c>
      <c r="AG88" s="14" t="n">
        <f aca="false">IF(AG87=0,0,IF(AG$4=Assumptions!$C$156,Assumptions!$C$157,AF88*(1+CHOOSE(AG$6,Assumptions!$C$158,Assumptions!$C$159,Assumptions!$C$160))))</f>
        <v>0</v>
      </c>
      <c r="AH88" s="14" t="n">
        <f aca="false">IF(AH87=0,0,IF(AH$4=Assumptions!$C$156,Assumptions!$C$157,AG88*(1+CHOOSE(AH$6,Assumptions!$C$158,Assumptions!$C$159,Assumptions!$C$160))))</f>
        <v>0</v>
      </c>
      <c r="AI88" s="14" t="n">
        <f aca="false">IF(AI87=0,0,IF(AI$4=Assumptions!$C$156,Assumptions!$C$157,AH88*(1+CHOOSE(AI$6,Assumptions!$C$158,Assumptions!$C$159,Assumptions!$C$160))))</f>
        <v>0</v>
      </c>
      <c r="AJ88" s="14" t="n">
        <f aca="false">IF(AJ87=0,0,IF(AJ$4=Assumptions!$C$156,Assumptions!$C$157,AI88*(1+CHOOSE(AJ$6,Assumptions!$C$158,Assumptions!$C$159,Assumptions!$C$160))))</f>
        <v>0</v>
      </c>
      <c r="AK88" s="14" t="n">
        <f aca="false">IF(AK87=0,0,IF(AK$4=Assumptions!$C$156,Assumptions!$C$157,AJ88*(1+CHOOSE(AK$6,Assumptions!$C$158,Assumptions!$C$159,Assumptions!$C$160))))</f>
        <v>0</v>
      </c>
      <c r="AL88" s="14" t="n">
        <f aca="false">IF(AL87=0,0,IF(AL$4=Assumptions!$C$156,Assumptions!$C$157,AK88*(1+CHOOSE(AL$6,Assumptions!$C$158,Assumptions!$C$159,Assumptions!$C$160))))</f>
        <v>0</v>
      </c>
    </row>
    <row r="89" customFormat="false" ht="15" hidden="false" customHeight="false" outlineLevel="0" collapsed="false">
      <c r="A89" s="7" t="s">
        <v>774</v>
      </c>
      <c r="B89" s="9" t="s">
        <v>327</v>
      </c>
      <c r="C89" s="52" t="n">
        <f aca="false">C88*C$8</f>
        <v>0</v>
      </c>
      <c r="D89" s="52" t="n">
        <f aca="false">D88*D$8</f>
        <v>0</v>
      </c>
      <c r="E89" s="52" t="n">
        <f aca="false">E88*E$8</f>
        <v>0</v>
      </c>
      <c r="F89" s="52" t="n">
        <f aca="false">F88*F$8</f>
        <v>0</v>
      </c>
      <c r="G89" s="52" t="n">
        <f aca="false">G88*G$8</f>
        <v>0</v>
      </c>
      <c r="H89" s="52" t="n">
        <f aca="false">H88*H$8</f>
        <v>0</v>
      </c>
      <c r="I89" s="52" t="n">
        <f aca="false">I88*I$8</f>
        <v>0</v>
      </c>
      <c r="J89" s="52" t="n">
        <f aca="false">J88*J$8</f>
        <v>0</v>
      </c>
      <c r="K89" s="52" t="n">
        <f aca="false">K88*K$8</f>
        <v>0</v>
      </c>
      <c r="L89" s="52" t="n">
        <f aca="false">L88*L$8</f>
        <v>0</v>
      </c>
      <c r="M89" s="52" t="n">
        <f aca="false">M88*M$8</f>
        <v>0</v>
      </c>
      <c r="N89" s="52" t="n">
        <f aca="false">N88*N$8</f>
        <v>0</v>
      </c>
      <c r="O89" s="52" t="n">
        <f aca="false">O88*O$8</f>
        <v>0</v>
      </c>
      <c r="P89" s="52" t="n">
        <f aca="false">P88*P$8</f>
        <v>0</v>
      </c>
      <c r="Q89" s="52" t="n">
        <f aca="false">Q88*Q$8</f>
        <v>0</v>
      </c>
      <c r="R89" s="52" t="n">
        <f aca="false">R88*R$8</f>
        <v>0</v>
      </c>
      <c r="S89" s="52" t="n">
        <f aca="false">S88*S$8</f>
        <v>0</v>
      </c>
      <c r="T89" s="52" t="n">
        <f aca="false">T88*T$8</f>
        <v>0</v>
      </c>
      <c r="U89" s="52" t="n">
        <f aca="false">U88*U$8</f>
        <v>0</v>
      </c>
      <c r="V89" s="52" t="n">
        <f aca="false">V88*V$8</f>
        <v>0</v>
      </c>
      <c r="W89" s="52" t="n">
        <f aca="false">W88*W$8</f>
        <v>0</v>
      </c>
      <c r="X89" s="52" t="n">
        <f aca="false">X88*X$8</f>
        <v>0</v>
      </c>
      <c r="Y89" s="52" t="n">
        <f aca="false">Y88*Y$8</f>
        <v>0</v>
      </c>
      <c r="Z89" s="52" t="n">
        <f aca="false">Z88*Z$8</f>
        <v>0</v>
      </c>
      <c r="AA89" s="52" t="n">
        <f aca="false">AA88*AA$8</f>
        <v>0</v>
      </c>
      <c r="AB89" s="52" t="n">
        <f aca="false">AB88*AB$8</f>
        <v>0</v>
      </c>
      <c r="AC89" s="52" t="n">
        <f aca="false">AC88*AC$8</f>
        <v>0</v>
      </c>
      <c r="AD89" s="52" t="n">
        <f aca="false">AD88*AD$8</f>
        <v>0</v>
      </c>
      <c r="AE89" s="52" t="n">
        <f aca="false">AE88*AE$8</f>
        <v>0</v>
      </c>
      <c r="AF89" s="52" t="n">
        <f aca="false">AF88*AF$8</f>
        <v>0</v>
      </c>
      <c r="AG89" s="52" t="n">
        <f aca="false">AG88*AG$8</f>
        <v>0</v>
      </c>
      <c r="AH89" s="52" t="n">
        <f aca="false">AH88*AH$8</f>
        <v>0</v>
      </c>
      <c r="AI89" s="52" t="n">
        <f aca="false">AI88*AI$8</f>
        <v>0</v>
      </c>
      <c r="AJ89" s="52" t="n">
        <f aca="false">AJ88*AJ$8</f>
        <v>0</v>
      </c>
      <c r="AK89" s="52" t="n">
        <f aca="false">AK88*AK$8</f>
        <v>0</v>
      </c>
      <c r="AL89" s="52" t="n">
        <f aca="false">AL88*AL$8</f>
        <v>0</v>
      </c>
      <c r="AM89" s="53" t="n">
        <f aca="false">SUMIF($C$6:$AL$6,1,C89:AL89)</f>
        <v>0</v>
      </c>
      <c r="AN89" s="53" t="n">
        <f aca="false">SUMIF($C$6:$AL$6,2,C89:AL89)</f>
        <v>0</v>
      </c>
      <c r="AO89" s="53" t="n">
        <f aca="false">SUMIF($C$6:$AL$6,3,C89:AL89)</f>
        <v>0</v>
      </c>
      <c r="AP89" s="53" t="n">
        <f aca="false">SUM(C89:AL89)</f>
        <v>0</v>
      </c>
    </row>
    <row r="90" customFormat="false" ht="15" hidden="false" customHeight="false" outlineLevel="0" collapsed="false">
      <c r="A90" s="7" t="s">
        <v>758</v>
      </c>
      <c r="B90" s="9" t="s">
        <v>96</v>
      </c>
      <c r="C90" s="54" t="n">
        <f aca="false">Assumptions!$C$161*MIN(1,(C$4-Assumptions!$C$156+1)/Assumptions!$C$10)*C87</f>
        <v>-0</v>
      </c>
      <c r="D90" s="54" t="n">
        <f aca="false">Assumptions!$C$161*MIN(1,(D$4-Assumptions!$C$156+1)/Assumptions!$C$10)*D87</f>
        <v>-0</v>
      </c>
      <c r="E90" s="54" t="n">
        <f aca="false">Assumptions!$C$161*MIN(1,(E$4-Assumptions!$C$156+1)/Assumptions!$C$10)*E87</f>
        <v>-0</v>
      </c>
      <c r="F90" s="54" t="n">
        <f aca="false">Assumptions!$C$161*MIN(1,(F$4-Assumptions!$C$156+1)/Assumptions!$C$10)*F87</f>
        <v>-0</v>
      </c>
      <c r="G90" s="54" t="n">
        <f aca="false">Assumptions!$C$161*MIN(1,(G$4-Assumptions!$C$156+1)/Assumptions!$C$10)*G87</f>
        <v>-0</v>
      </c>
      <c r="H90" s="54" t="n">
        <f aca="false">Assumptions!$C$161*MIN(1,(H$4-Assumptions!$C$156+1)/Assumptions!$C$10)*H87</f>
        <v>-0</v>
      </c>
      <c r="I90" s="54" t="n">
        <f aca="false">Assumptions!$C$161*MIN(1,(I$4-Assumptions!$C$156+1)/Assumptions!$C$10)*I87</f>
        <v>-0</v>
      </c>
      <c r="J90" s="54" t="n">
        <f aca="false">Assumptions!$C$161*MIN(1,(J$4-Assumptions!$C$156+1)/Assumptions!$C$10)*J87</f>
        <v>-0</v>
      </c>
      <c r="K90" s="54" t="n">
        <f aca="false">Assumptions!$C$161*MIN(1,(K$4-Assumptions!$C$156+1)/Assumptions!$C$10)*K87</f>
        <v>-0</v>
      </c>
      <c r="L90" s="54" t="n">
        <f aca="false">Assumptions!$C$161*MIN(1,(L$4-Assumptions!$C$156+1)/Assumptions!$C$10)*L87</f>
        <v>-0</v>
      </c>
      <c r="M90" s="54" t="n">
        <f aca="false">Assumptions!$C$161*MIN(1,(M$4-Assumptions!$C$156+1)/Assumptions!$C$10)*M87</f>
        <v>-0</v>
      </c>
      <c r="N90" s="54" t="n">
        <f aca="false">Assumptions!$C$161*MIN(1,(N$4-Assumptions!$C$156+1)/Assumptions!$C$10)*N87</f>
        <v>0</v>
      </c>
      <c r="O90" s="54" t="n">
        <f aca="false">Assumptions!$C$161*MIN(1,(O$4-Assumptions!$C$156+1)/Assumptions!$C$10)*O87</f>
        <v>0</v>
      </c>
      <c r="P90" s="54" t="n">
        <f aca="false">Assumptions!$C$161*MIN(1,(P$4-Assumptions!$C$156+1)/Assumptions!$C$10)*P87</f>
        <v>0</v>
      </c>
      <c r="Q90" s="54" t="n">
        <f aca="false">Assumptions!$C$161*MIN(1,(Q$4-Assumptions!$C$156+1)/Assumptions!$C$10)*Q87</f>
        <v>0</v>
      </c>
      <c r="R90" s="54" t="n">
        <f aca="false">Assumptions!$C$161*MIN(1,(R$4-Assumptions!$C$156+1)/Assumptions!$C$10)*R87</f>
        <v>0</v>
      </c>
      <c r="S90" s="54" t="n">
        <f aca="false">Assumptions!$C$161*MIN(1,(S$4-Assumptions!$C$156+1)/Assumptions!$C$10)*S87</f>
        <v>0</v>
      </c>
      <c r="T90" s="54" t="n">
        <f aca="false">Assumptions!$C$161*MIN(1,(T$4-Assumptions!$C$156+1)/Assumptions!$C$10)*T87</f>
        <v>0</v>
      </c>
      <c r="U90" s="54" t="n">
        <f aca="false">Assumptions!$C$161*MIN(1,(U$4-Assumptions!$C$156+1)/Assumptions!$C$10)*U87</f>
        <v>0</v>
      </c>
      <c r="V90" s="54" t="n">
        <f aca="false">Assumptions!$C$161*MIN(1,(V$4-Assumptions!$C$156+1)/Assumptions!$C$10)*V87</f>
        <v>0</v>
      </c>
      <c r="W90" s="54" t="n">
        <f aca="false">Assumptions!$C$161*MIN(1,(W$4-Assumptions!$C$156+1)/Assumptions!$C$10)*W87</f>
        <v>0</v>
      </c>
      <c r="X90" s="54" t="n">
        <f aca="false">Assumptions!$C$161*MIN(1,(X$4-Assumptions!$C$156+1)/Assumptions!$C$10)*X87</f>
        <v>0</v>
      </c>
      <c r="Y90" s="54" t="n">
        <f aca="false">Assumptions!$C$161*MIN(1,(Y$4-Assumptions!$C$156+1)/Assumptions!$C$10)*Y87</f>
        <v>0</v>
      </c>
      <c r="Z90" s="54" t="n">
        <f aca="false">Assumptions!$C$161*MIN(1,(Z$4-Assumptions!$C$156+1)/Assumptions!$C$10)*Z87</f>
        <v>0</v>
      </c>
      <c r="AA90" s="54" t="n">
        <f aca="false">Assumptions!$C$161*MIN(1,(AA$4-Assumptions!$C$156+1)/Assumptions!$C$10)*AA87</f>
        <v>0</v>
      </c>
      <c r="AB90" s="54" t="n">
        <f aca="false">Assumptions!$C$161*MIN(1,(AB$4-Assumptions!$C$156+1)/Assumptions!$C$10)*AB87</f>
        <v>0</v>
      </c>
      <c r="AC90" s="54" t="n">
        <f aca="false">Assumptions!$C$161*MIN(1,(AC$4-Assumptions!$C$156+1)/Assumptions!$C$10)*AC87</f>
        <v>0</v>
      </c>
      <c r="AD90" s="54" t="n">
        <f aca="false">Assumptions!$C$161*MIN(1,(AD$4-Assumptions!$C$156+1)/Assumptions!$C$10)*AD87</f>
        <v>0</v>
      </c>
      <c r="AE90" s="54" t="n">
        <f aca="false">Assumptions!$C$161*MIN(1,(AE$4-Assumptions!$C$156+1)/Assumptions!$C$10)*AE87</f>
        <v>0</v>
      </c>
      <c r="AF90" s="54" t="n">
        <f aca="false">Assumptions!$C$161*MIN(1,(AF$4-Assumptions!$C$156+1)/Assumptions!$C$10)*AF87</f>
        <v>0</v>
      </c>
      <c r="AG90" s="54" t="n">
        <f aca="false">Assumptions!$C$161*MIN(1,(AG$4-Assumptions!$C$156+1)/Assumptions!$C$10)*AG87</f>
        <v>0</v>
      </c>
      <c r="AH90" s="54" t="n">
        <f aca="false">Assumptions!$C$161*MIN(1,(AH$4-Assumptions!$C$156+1)/Assumptions!$C$10)*AH87</f>
        <v>0</v>
      </c>
      <c r="AI90" s="54" t="n">
        <f aca="false">Assumptions!$C$161*MIN(1,(AI$4-Assumptions!$C$156+1)/Assumptions!$C$10)*AI87</f>
        <v>0</v>
      </c>
      <c r="AJ90" s="54" t="n">
        <f aca="false">Assumptions!$C$161*MIN(1,(AJ$4-Assumptions!$C$156+1)/Assumptions!$C$10)*AJ87</f>
        <v>0</v>
      </c>
      <c r="AK90" s="54" t="n">
        <f aca="false">Assumptions!$C$161*MIN(1,(AK$4-Assumptions!$C$156+1)/Assumptions!$C$10)*AK87</f>
        <v>0</v>
      </c>
      <c r="AL90" s="54" t="n">
        <f aca="false">Assumptions!$C$161*MIN(1,(AL$4-Assumptions!$C$156+1)/Assumptions!$C$10)*AL87</f>
        <v>0</v>
      </c>
    </row>
    <row r="91" customFormat="false" ht="15" hidden="false" customHeight="false" outlineLevel="0" collapsed="false">
      <c r="A91" s="7" t="s">
        <v>766</v>
      </c>
      <c r="B91" s="9" t="s">
        <v>760</v>
      </c>
      <c r="C91" s="55" t="n">
        <f aca="false">C89*C90</f>
        <v>-0</v>
      </c>
      <c r="D91" s="55" t="n">
        <f aca="false">D89*D90</f>
        <v>-0</v>
      </c>
      <c r="E91" s="55" t="n">
        <f aca="false">E89*E90</f>
        <v>-0</v>
      </c>
      <c r="F91" s="55" t="n">
        <f aca="false">F89*F90</f>
        <v>-0</v>
      </c>
      <c r="G91" s="55" t="n">
        <f aca="false">G89*G90</f>
        <v>-0</v>
      </c>
      <c r="H91" s="55" t="n">
        <f aca="false">H89*H90</f>
        <v>-0</v>
      </c>
      <c r="I91" s="55" t="n">
        <f aca="false">I89*I90</f>
        <v>-0</v>
      </c>
      <c r="J91" s="55" t="n">
        <f aca="false">J89*J90</f>
        <v>-0</v>
      </c>
      <c r="K91" s="55" t="n">
        <f aca="false">K89*K90</f>
        <v>-0</v>
      </c>
      <c r="L91" s="55" t="n">
        <f aca="false">L89*L90</f>
        <v>-0</v>
      </c>
      <c r="M91" s="55" t="n">
        <f aca="false">M89*M90</f>
        <v>-0</v>
      </c>
      <c r="N91" s="55" t="n">
        <f aca="false">N89*N90</f>
        <v>0</v>
      </c>
      <c r="O91" s="55" t="n">
        <f aca="false">O89*O90</f>
        <v>0</v>
      </c>
      <c r="P91" s="55" t="n">
        <f aca="false">P89*P90</f>
        <v>0</v>
      </c>
      <c r="Q91" s="55" t="n">
        <f aca="false">Q89*Q90</f>
        <v>0</v>
      </c>
      <c r="R91" s="55" t="n">
        <f aca="false">R89*R90</f>
        <v>0</v>
      </c>
      <c r="S91" s="55" t="n">
        <f aca="false">S89*S90</f>
        <v>0</v>
      </c>
      <c r="T91" s="55" t="n">
        <f aca="false">T89*T90</f>
        <v>0</v>
      </c>
      <c r="U91" s="55" t="n">
        <f aca="false">U89*U90</f>
        <v>0</v>
      </c>
      <c r="V91" s="55" t="n">
        <f aca="false">V89*V90</f>
        <v>0</v>
      </c>
      <c r="W91" s="55" t="n">
        <f aca="false">W89*W90</f>
        <v>0</v>
      </c>
      <c r="X91" s="55" t="n">
        <f aca="false">X89*X90</f>
        <v>0</v>
      </c>
      <c r="Y91" s="55" t="n">
        <f aca="false">Y89*Y90</f>
        <v>0</v>
      </c>
      <c r="Z91" s="55" t="n">
        <f aca="false">Z89*Z90</f>
        <v>0</v>
      </c>
      <c r="AA91" s="55" t="n">
        <f aca="false">AA89*AA90</f>
        <v>0</v>
      </c>
      <c r="AB91" s="55" t="n">
        <f aca="false">AB89*AB90</f>
        <v>0</v>
      </c>
      <c r="AC91" s="55" t="n">
        <f aca="false">AC89*AC90</f>
        <v>0</v>
      </c>
      <c r="AD91" s="55" t="n">
        <f aca="false">AD89*AD90</f>
        <v>0</v>
      </c>
      <c r="AE91" s="55" t="n">
        <f aca="false">AE89*AE90</f>
        <v>0</v>
      </c>
      <c r="AF91" s="55" t="n">
        <f aca="false">AF89*AF90</f>
        <v>0</v>
      </c>
      <c r="AG91" s="55" t="n">
        <f aca="false">AG89*AG90</f>
        <v>0</v>
      </c>
      <c r="AH91" s="55" t="n">
        <f aca="false">AH89*AH90</f>
        <v>0</v>
      </c>
      <c r="AI91" s="55" t="n">
        <f aca="false">AI89*AI90</f>
        <v>0</v>
      </c>
      <c r="AJ91" s="55" t="n">
        <f aca="false">AJ89*AJ90</f>
        <v>0</v>
      </c>
      <c r="AK91" s="55" t="n">
        <f aca="false">AK89*AK90</f>
        <v>0</v>
      </c>
      <c r="AL91" s="55" t="n">
        <f aca="false">AL89*AL90</f>
        <v>0</v>
      </c>
      <c r="AM91" s="53" t="n">
        <f aca="false">SUMIF($C$6:$AL$6,1,C91:AL91)</f>
        <v>0</v>
      </c>
      <c r="AN91" s="53" t="n">
        <f aca="false">SUMIF($C$6:$AL$6,2,C91:AL91)</f>
        <v>0</v>
      </c>
      <c r="AO91" s="53" t="n">
        <f aca="false">SUMIF($C$6:$AL$6,3,C91:AL91)</f>
        <v>0</v>
      </c>
      <c r="AP91" s="53" t="n">
        <f aca="false">SUM(C91:AL91)</f>
        <v>0</v>
      </c>
    </row>
    <row r="92" customFormat="false" ht="15" hidden="false" customHeight="false" outlineLevel="0" collapsed="false">
      <c r="A92" s="7" t="s">
        <v>761</v>
      </c>
      <c r="B92" s="9" t="s">
        <v>342</v>
      </c>
      <c r="C92" s="56" t="n">
        <f aca="false">C91*Assumptions!$C$162</f>
        <v>-0</v>
      </c>
      <c r="D92" s="56" t="n">
        <f aca="false">D91*Assumptions!$C$162</f>
        <v>-0</v>
      </c>
      <c r="E92" s="56" t="n">
        <f aca="false">E91*Assumptions!$C$162</f>
        <v>-0</v>
      </c>
      <c r="F92" s="56" t="n">
        <f aca="false">F91*Assumptions!$C$162</f>
        <v>-0</v>
      </c>
      <c r="G92" s="56" t="n">
        <f aca="false">G91*Assumptions!$C$162</f>
        <v>-0</v>
      </c>
      <c r="H92" s="56" t="n">
        <f aca="false">H91*Assumptions!$C$162</f>
        <v>-0</v>
      </c>
      <c r="I92" s="56" t="n">
        <f aca="false">I91*Assumptions!$C$162</f>
        <v>-0</v>
      </c>
      <c r="J92" s="56" t="n">
        <f aca="false">J91*Assumptions!$C$162</f>
        <v>-0</v>
      </c>
      <c r="K92" s="56" t="n">
        <f aca="false">K91*Assumptions!$C$162</f>
        <v>-0</v>
      </c>
      <c r="L92" s="56" t="n">
        <f aca="false">L91*Assumptions!$C$162</f>
        <v>-0</v>
      </c>
      <c r="M92" s="56" t="n">
        <f aca="false">M91*Assumptions!$C$162</f>
        <v>-0</v>
      </c>
      <c r="N92" s="56" t="n">
        <f aca="false">N91*Assumptions!$C$162</f>
        <v>0</v>
      </c>
      <c r="O92" s="56" t="n">
        <f aca="false">O91*Assumptions!$C$162</f>
        <v>0</v>
      </c>
      <c r="P92" s="56" t="n">
        <f aca="false">P91*Assumptions!$C$162</f>
        <v>0</v>
      </c>
      <c r="Q92" s="56" t="n">
        <f aca="false">Q91*Assumptions!$C$162</f>
        <v>0</v>
      </c>
      <c r="R92" s="56" t="n">
        <f aca="false">R91*Assumptions!$C$162</f>
        <v>0</v>
      </c>
      <c r="S92" s="56" t="n">
        <f aca="false">S91*Assumptions!$C$162</f>
        <v>0</v>
      </c>
      <c r="T92" s="56" t="n">
        <f aca="false">T91*Assumptions!$C$162</f>
        <v>0</v>
      </c>
      <c r="U92" s="56" t="n">
        <f aca="false">U91*Assumptions!$C$162</f>
        <v>0</v>
      </c>
      <c r="V92" s="56" t="n">
        <f aca="false">V91*Assumptions!$C$162</f>
        <v>0</v>
      </c>
      <c r="W92" s="56" t="n">
        <f aca="false">W91*Assumptions!$C$162</f>
        <v>0</v>
      </c>
      <c r="X92" s="56" t="n">
        <f aca="false">X91*Assumptions!$C$162</f>
        <v>0</v>
      </c>
      <c r="Y92" s="56" t="n">
        <f aca="false">Y91*Assumptions!$C$162</f>
        <v>0</v>
      </c>
      <c r="Z92" s="56" t="n">
        <f aca="false">Z91*Assumptions!$C$162</f>
        <v>0</v>
      </c>
      <c r="AA92" s="56" t="n">
        <f aca="false">AA91*Assumptions!$C$162</f>
        <v>0</v>
      </c>
      <c r="AB92" s="56" t="n">
        <f aca="false">AB91*Assumptions!$C$162</f>
        <v>0</v>
      </c>
      <c r="AC92" s="56" t="n">
        <f aca="false">AC91*Assumptions!$C$162</f>
        <v>0</v>
      </c>
      <c r="AD92" s="56" t="n">
        <f aca="false">AD91*Assumptions!$C$162</f>
        <v>0</v>
      </c>
      <c r="AE92" s="56" t="n">
        <f aca="false">AE91*Assumptions!$C$162</f>
        <v>0</v>
      </c>
      <c r="AF92" s="56" t="n">
        <f aca="false">AF91*Assumptions!$C$162</f>
        <v>0</v>
      </c>
      <c r="AG92" s="56" t="n">
        <f aca="false">AG91*Assumptions!$C$162</f>
        <v>0</v>
      </c>
      <c r="AH92" s="56" t="n">
        <f aca="false">AH91*Assumptions!$C$162</f>
        <v>0</v>
      </c>
      <c r="AI92" s="56" t="n">
        <f aca="false">AI91*Assumptions!$C$162</f>
        <v>0</v>
      </c>
      <c r="AJ92" s="56" t="n">
        <f aca="false">AJ91*Assumptions!$C$162</f>
        <v>0</v>
      </c>
      <c r="AK92" s="56" t="n">
        <f aca="false">AK91*Assumptions!$C$162</f>
        <v>0</v>
      </c>
      <c r="AL92" s="56" t="n">
        <f aca="false">AL91*Assumptions!$C$162</f>
        <v>0</v>
      </c>
      <c r="AM92" s="53" t="n">
        <f aca="false">SUMIF($C$6:$AL$6,1,C92:AL92)</f>
        <v>0</v>
      </c>
      <c r="AN92" s="53" t="n">
        <f aca="false">SUMIF($C$6:$AL$6,2,C92:AL92)</f>
        <v>0</v>
      </c>
      <c r="AO92" s="53" t="n">
        <f aca="false">SUMIF($C$6:$AL$6,3,C92:AL92)</f>
        <v>0</v>
      </c>
      <c r="AP92" s="53" t="n">
        <f aca="false">SUM(C92:AL92)</f>
        <v>0</v>
      </c>
    </row>
    <row r="93" customFormat="false" ht="15" hidden="false" customHeight="false" outlineLevel="0" collapsed="false">
      <c r="A93" s="7" t="s">
        <v>762</v>
      </c>
      <c r="B93" s="9" t="s">
        <v>101</v>
      </c>
      <c r="C93" s="15" t="n">
        <f aca="false">'Unit Economics'!$E$57*Assumptions!$C$162*C87</f>
        <v>0</v>
      </c>
      <c r="D93" s="15" t="n">
        <f aca="false">'Unit Economics'!$E$57*Assumptions!$C$162*D87</f>
        <v>0</v>
      </c>
      <c r="E93" s="15" t="n">
        <f aca="false">'Unit Economics'!$E$57*Assumptions!$C$162*E87</f>
        <v>0</v>
      </c>
      <c r="F93" s="15" t="n">
        <f aca="false">'Unit Economics'!$E$57*Assumptions!$C$162*F87</f>
        <v>0</v>
      </c>
      <c r="G93" s="15" t="n">
        <f aca="false">'Unit Economics'!$E$57*Assumptions!$C$162*G87</f>
        <v>0</v>
      </c>
      <c r="H93" s="15" t="n">
        <f aca="false">'Unit Economics'!$E$57*Assumptions!$C$162*H87</f>
        <v>0</v>
      </c>
      <c r="I93" s="15" t="n">
        <f aca="false">'Unit Economics'!$E$57*Assumptions!$C$162*I87</f>
        <v>0</v>
      </c>
      <c r="J93" s="15" t="n">
        <f aca="false">'Unit Economics'!$E$57*Assumptions!$C$162*J87</f>
        <v>0</v>
      </c>
      <c r="K93" s="15" t="n">
        <f aca="false">'Unit Economics'!$E$57*Assumptions!$C$162*K87</f>
        <v>0</v>
      </c>
      <c r="L93" s="15" t="n">
        <f aca="false">'Unit Economics'!$E$57*Assumptions!$C$162*L87</f>
        <v>0</v>
      </c>
      <c r="M93" s="15" t="n">
        <f aca="false">'Unit Economics'!$E$57*Assumptions!$C$162*M87</f>
        <v>0</v>
      </c>
      <c r="N93" s="15" t="n">
        <f aca="false">'Unit Economics'!$E$57*Assumptions!$C$162*N87</f>
        <v>0</v>
      </c>
      <c r="O93" s="15" t="n">
        <f aca="false">'Unit Economics'!$E$57*Assumptions!$C$162*O87</f>
        <v>0</v>
      </c>
      <c r="P93" s="15" t="n">
        <f aca="false">'Unit Economics'!$E$57*Assumptions!$C$162*P87</f>
        <v>0</v>
      </c>
      <c r="Q93" s="15" t="n">
        <f aca="false">'Unit Economics'!$E$57*Assumptions!$C$162*Q87</f>
        <v>0</v>
      </c>
      <c r="R93" s="15" t="n">
        <f aca="false">'Unit Economics'!$E$57*Assumptions!$C$162*R87</f>
        <v>0</v>
      </c>
      <c r="S93" s="15" t="n">
        <f aca="false">'Unit Economics'!$E$57*Assumptions!$C$162*S87</f>
        <v>0</v>
      </c>
      <c r="T93" s="15" t="n">
        <f aca="false">'Unit Economics'!$E$57*Assumptions!$C$162*T87</f>
        <v>0</v>
      </c>
      <c r="U93" s="15" t="n">
        <f aca="false">'Unit Economics'!$E$57*Assumptions!$C$162*U87</f>
        <v>0</v>
      </c>
      <c r="V93" s="15" t="n">
        <f aca="false">'Unit Economics'!$E$57*Assumptions!$C$162*V87</f>
        <v>0</v>
      </c>
      <c r="W93" s="15" t="n">
        <f aca="false">'Unit Economics'!$E$57*Assumptions!$C$162*W87</f>
        <v>0</v>
      </c>
      <c r="X93" s="15" t="n">
        <f aca="false">'Unit Economics'!$E$57*Assumptions!$C$162*X87</f>
        <v>0</v>
      </c>
      <c r="Y93" s="15" t="n">
        <f aca="false">'Unit Economics'!$E$57*Assumptions!$C$162*Y87</f>
        <v>0</v>
      </c>
      <c r="Z93" s="15" t="n">
        <f aca="false">'Unit Economics'!$E$57*Assumptions!$C$162*Z87</f>
        <v>0</v>
      </c>
      <c r="AA93" s="15" t="n">
        <f aca="false">'Unit Economics'!$E$57*Assumptions!$C$162*AA87</f>
        <v>0</v>
      </c>
      <c r="AB93" s="15" t="n">
        <f aca="false">'Unit Economics'!$E$57*Assumptions!$C$162*AB87</f>
        <v>0</v>
      </c>
      <c r="AC93" s="15" t="n">
        <f aca="false">'Unit Economics'!$E$57*Assumptions!$C$162*AC87</f>
        <v>0</v>
      </c>
      <c r="AD93" s="15" t="n">
        <f aca="false">'Unit Economics'!$E$57*Assumptions!$C$162*AD87</f>
        <v>0</v>
      </c>
      <c r="AE93" s="15" t="n">
        <f aca="false">'Unit Economics'!$E$57*Assumptions!$C$162*AE87</f>
        <v>0</v>
      </c>
      <c r="AF93" s="15" t="n">
        <f aca="false">'Unit Economics'!$E$57*Assumptions!$C$162*AF87</f>
        <v>0</v>
      </c>
      <c r="AG93" s="15" t="n">
        <f aca="false">'Unit Economics'!$E$57*Assumptions!$C$162*AG87</f>
        <v>0</v>
      </c>
      <c r="AH93" s="15" t="n">
        <f aca="false">'Unit Economics'!$E$57*Assumptions!$C$162*AH87</f>
        <v>0</v>
      </c>
      <c r="AI93" s="15" t="n">
        <f aca="false">'Unit Economics'!$E$57*Assumptions!$C$162*AI87</f>
        <v>0</v>
      </c>
      <c r="AJ93" s="15" t="n">
        <f aca="false">'Unit Economics'!$E$57*Assumptions!$C$162*AJ87</f>
        <v>0</v>
      </c>
      <c r="AK93" s="15" t="n">
        <f aca="false">'Unit Economics'!$E$57*Assumptions!$C$162*AK87</f>
        <v>0</v>
      </c>
      <c r="AL93" s="15" t="n">
        <f aca="false">'Unit Economics'!$E$57*Assumptions!$C$162*AL87</f>
        <v>0</v>
      </c>
    </row>
    <row r="94" customFormat="false" ht="15" hidden="false" customHeight="false" outlineLevel="0" collapsed="false">
      <c r="A94" s="7" t="s">
        <v>763</v>
      </c>
      <c r="B94" s="9" t="s">
        <v>101</v>
      </c>
      <c r="C94" s="8" t="n">
        <f aca="false">C92*'Unit Economics'!$E$57</f>
        <v>-0</v>
      </c>
      <c r="D94" s="8" t="n">
        <f aca="false">D92*'Unit Economics'!$E$57</f>
        <v>-0</v>
      </c>
      <c r="E94" s="8" t="n">
        <f aca="false">E92*'Unit Economics'!$E$57</f>
        <v>-0</v>
      </c>
      <c r="F94" s="8" t="n">
        <f aca="false">F92*'Unit Economics'!$E$57</f>
        <v>-0</v>
      </c>
      <c r="G94" s="8" t="n">
        <f aca="false">G92*'Unit Economics'!$E$57</f>
        <v>-0</v>
      </c>
      <c r="H94" s="8" t="n">
        <f aca="false">H92*'Unit Economics'!$E$57</f>
        <v>-0</v>
      </c>
      <c r="I94" s="8" t="n">
        <f aca="false">I92*'Unit Economics'!$E$57</f>
        <v>-0</v>
      </c>
      <c r="J94" s="8" t="n">
        <f aca="false">J92*'Unit Economics'!$E$57</f>
        <v>-0</v>
      </c>
      <c r="K94" s="8" t="n">
        <f aca="false">K92*'Unit Economics'!$E$57</f>
        <v>-0</v>
      </c>
      <c r="L94" s="8" t="n">
        <f aca="false">L92*'Unit Economics'!$E$57</f>
        <v>-0</v>
      </c>
      <c r="M94" s="8" t="n">
        <f aca="false">M92*'Unit Economics'!$E$57</f>
        <v>-0</v>
      </c>
      <c r="N94" s="8" t="n">
        <f aca="false">N92*'Unit Economics'!$E$57</f>
        <v>0</v>
      </c>
      <c r="O94" s="8" t="n">
        <f aca="false">O92*'Unit Economics'!$E$57</f>
        <v>0</v>
      </c>
      <c r="P94" s="8" t="n">
        <f aca="false">P92*'Unit Economics'!$E$57</f>
        <v>0</v>
      </c>
      <c r="Q94" s="8" t="n">
        <f aca="false">Q92*'Unit Economics'!$E$57</f>
        <v>0</v>
      </c>
      <c r="R94" s="8" t="n">
        <f aca="false">R92*'Unit Economics'!$E$57</f>
        <v>0</v>
      </c>
      <c r="S94" s="8" t="n">
        <f aca="false">S92*'Unit Economics'!$E$57</f>
        <v>0</v>
      </c>
      <c r="T94" s="8" t="n">
        <f aca="false">T92*'Unit Economics'!$E$57</f>
        <v>0</v>
      </c>
      <c r="U94" s="8" t="n">
        <f aca="false">U92*'Unit Economics'!$E$57</f>
        <v>0</v>
      </c>
      <c r="V94" s="8" t="n">
        <f aca="false">V92*'Unit Economics'!$E$57</f>
        <v>0</v>
      </c>
      <c r="W94" s="8" t="n">
        <f aca="false">W92*'Unit Economics'!$E$57</f>
        <v>0</v>
      </c>
      <c r="X94" s="8" t="n">
        <f aca="false">X92*'Unit Economics'!$E$57</f>
        <v>0</v>
      </c>
      <c r="Y94" s="8" t="n">
        <f aca="false">Y92*'Unit Economics'!$E$57</f>
        <v>0</v>
      </c>
      <c r="Z94" s="8" t="n">
        <f aca="false">Z92*'Unit Economics'!$E$57</f>
        <v>0</v>
      </c>
      <c r="AA94" s="8" t="n">
        <f aca="false">AA92*'Unit Economics'!$E$57</f>
        <v>0</v>
      </c>
      <c r="AB94" s="8" t="n">
        <f aca="false">AB92*'Unit Economics'!$E$57</f>
        <v>0</v>
      </c>
      <c r="AC94" s="8" t="n">
        <f aca="false">AC92*'Unit Economics'!$E$57</f>
        <v>0</v>
      </c>
      <c r="AD94" s="8" t="n">
        <f aca="false">AD92*'Unit Economics'!$E$57</f>
        <v>0</v>
      </c>
      <c r="AE94" s="8" t="n">
        <f aca="false">AE92*'Unit Economics'!$E$57</f>
        <v>0</v>
      </c>
      <c r="AF94" s="8" t="n">
        <f aca="false">AF92*'Unit Economics'!$E$57</f>
        <v>0</v>
      </c>
      <c r="AG94" s="8" t="n">
        <f aca="false">AG92*'Unit Economics'!$E$57</f>
        <v>0</v>
      </c>
      <c r="AH94" s="8" t="n">
        <f aca="false">AH92*'Unit Economics'!$E$57</f>
        <v>0</v>
      </c>
      <c r="AI94" s="8" t="n">
        <f aca="false">AI92*'Unit Economics'!$E$57</f>
        <v>0</v>
      </c>
      <c r="AJ94" s="8" t="n">
        <f aca="false">AJ92*'Unit Economics'!$E$57</f>
        <v>0</v>
      </c>
      <c r="AK94" s="8" t="n">
        <f aca="false">AK92*'Unit Economics'!$E$57</f>
        <v>0</v>
      </c>
      <c r="AL94" s="8" t="n">
        <f aca="false">AL92*'Unit Economics'!$E$57</f>
        <v>0</v>
      </c>
      <c r="AM94" s="45" t="n">
        <f aca="false">SUMIF($C$6:$AL$6,1,C94:AL94)</f>
        <v>0</v>
      </c>
      <c r="AN94" s="45" t="n">
        <f aca="false">SUMIF($C$6:$AL$6,2,C94:AL94)</f>
        <v>0</v>
      </c>
      <c r="AO94" s="45" t="n">
        <f aca="false">SUMIF($C$6:$AL$6,3,C94:AL94)</f>
        <v>0</v>
      </c>
      <c r="AP94" s="45" t="n">
        <f aca="false">SUM(C94:AL94)</f>
        <v>0</v>
      </c>
    </row>
    <row r="95" customFormat="false" ht="15" hidden="false" customHeight="false" outlineLevel="0" collapsed="false">
      <c r="A95" s="7" t="s">
        <v>764</v>
      </c>
      <c r="B95" s="9" t="s">
        <v>101</v>
      </c>
      <c r="C95" s="8" t="n">
        <f aca="false">C92*'Unit Economics'!$F$57</f>
        <v>-0</v>
      </c>
      <c r="D95" s="8" t="n">
        <f aca="false">D92*'Unit Economics'!$F$57</f>
        <v>-0</v>
      </c>
      <c r="E95" s="8" t="n">
        <f aca="false">E92*'Unit Economics'!$F$57</f>
        <v>-0</v>
      </c>
      <c r="F95" s="8" t="n">
        <f aca="false">F92*'Unit Economics'!$F$57</f>
        <v>-0</v>
      </c>
      <c r="G95" s="8" t="n">
        <f aca="false">G92*'Unit Economics'!$F$57</f>
        <v>-0</v>
      </c>
      <c r="H95" s="8" t="n">
        <f aca="false">H92*'Unit Economics'!$F$57</f>
        <v>-0</v>
      </c>
      <c r="I95" s="8" t="n">
        <f aca="false">I92*'Unit Economics'!$F$57</f>
        <v>-0</v>
      </c>
      <c r="J95" s="8" t="n">
        <f aca="false">J92*'Unit Economics'!$F$57</f>
        <v>-0</v>
      </c>
      <c r="K95" s="8" t="n">
        <f aca="false">K92*'Unit Economics'!$F$57</f>
        <v>-0</v>
      </c>
      <c r="L95" s="8" t="n">
        <f aca="false">L92*'Unit Economics'!$F$57</f>
        <v>-0</v>
      </c>
      <c r="M95" s="8" t="n">
        <f aca="false">M92*'Unit Economics'!$F$57</f>
        <v>-0</v>
      </c>
      <c r="N95" s="8" t="n">
        <f aca="false">N92*'Unit Economics'!$F$57</f>
        <v>0</v>
      </c>
      <c r="O95" s="8" t="n">
        <f aca="false">O92*'Unit Economics'!$F$57</f>
        <v>0</v>
      </c>
      <c r="P95" s="8" t="n">
        <f aca="false">P92*'Unit Economics'!$F$57</f>
        <v>0</v>
      </c>
      <c r="Q95" s="8" t="n">
        <f aca="false">Q92*'Unit Economics'!$F$57</f>
        <v>0</v>
      </c>
      <c r="R95" s="8" t="n">
        <f aca="false">R92*'Unit Economics'!$F$57</f>
        <v>0</v>
      </c>
      <c r="S95" s="8" t="n">
        <f aca="false">S92*'Unit Economics'!$F$57</f>
        <v>0</v>
      </c>
      <c r="T95" s="8" t="n">
        <f aca="false">T92*'Unit Economics'!$F$57</f>
        <v>0</v>
      </c>
      <c r="U95" s="8" t="n">
        <f aca="false">U92*'Unit Economics'!$F$57</f>
        <v>0</v>
      </c>
      <c r="V95" s="8" t="n">
        <f aca="false">V92*'Unit Economics'!$F$57</f>
        <v>0</v>
      </c>
      <c r="W95" s="8" t="n">
        <f aca="false">W92*'Unit Economics'!$F$57</f>
        <v>0</v>
      </c>
      <c r="X95" s="8" t="n">
        <f aca="false">X92*'Unit Economics'!$F$57</f>
        <v>0</v>
      </c>
      <c r="Y95" s="8" t="n">
        <f aca="false">Y92*'Unit Economics'!$F$57</f>
        <v>0</v>
      </c>
      <c r="Z95" s="8" t="n">
        <f aca="false">Z92*'Unit Economics'!$F$57</f>
        <v>0</v>
      </c>
      <c r="AA95" s="8" t="n">
        <f aca="false">AA92*'Unit Economics'!$F$57</f>
        <v>0</v>
      </c>
      <c r="AB95" s="8" t="n">
        <f aca="false">AB92*'Unit Economics'!$F$57</f>
        <v>0</v>
      </c>
      <c r="AC95" s="8" t="n">
        <f aca="false">AC92*'Unit Economics'!$F$57</f>
        <v>0</v>
      </c>
      <c r="AD95" s="8" t="n">
        <f aca="false">AD92*'Unit Economics'!$F$57</f>
        <v>0</v>
      </c>
      <c r="AE95" s="8" t="n">
        <f aca="false">AE92*'Unit Economics'!$F$57</f>
        <v>0</v>
      </c>
      <c r="AF95" s="8" t="n">
        <f aca="false">AF92*'Unit Economics'!$F$57</f>
        <v>0</v>
      </c>
      <c r="AG95" s="8" t="n">
        <f aca="false">AG92*'Unit Economics'!$F$57</f>
        <v>0</v>
      </c>
      <c r="AH95" s="8" t="n">
        <f aca="false">AH92*'Unit Economics'!$F$57</f>
        <v>0</v>
      </c>
      <c r="AI95" s="8" t="n">
        <f aca="false">AI92*'Unit Economics'!$F$57</f>
        <v>0</v>
      </c>
      <c r="AJ95" s="8" t="n">
        <f aca="false">AJ92*'Unit Economics'!$F$57</f>
        <v>0</v>
      </c>
      <c r="AK95" s="8" t="n">
        <f aca="false">AK92*'Unit Economics'!$F$57</f>
        <v>0</v>
      </c>
      <c r="AL95" s="8" t="n">
        <f aca="false">AL92*'Unit Economics'!$F$57</f>
        <v>0</v>
      </c>
      <c r="AM95" s="45" t="n">
        <f aca="false">SUMIF($C$6:$AL$6,1,C95:AL95)</f>
        <v>0</v>
      </c>
      <c r="AN95" s="45" t="n">
        <f aca="false">SUMIF($C$6:$AL$6,2,C95:AL95)</f>
        <v>0</v>
      </c>
      <c r="AO95" s="45" t="n">
        <f aca="false">SUMIF($C$6:$AL$6,3,C95:AL95)</f>
        <v>0</v>
      </c>
      <c r="AP95" s="45" t="n">
        <f aca="false">SUM(C95:AL95)</f>
        <v>0</v>
      </c>
    </row>
    <row r="96" customFormat="false" ht="15" hidden="false" customHeight="false" outlineLevel="0" collapsed="false">
      <c r="A96" s="5" t="s">
        <v>579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customFormat="false" ht="15" hidden="false" customHeight="false" outlineLevel="0" collapsed="false">
      <c r="A97" s="7" t="s">
        <v>755</v>
      </c>
      <c r="B97" s="9" t="s">
        <v>319</v>
      </c>
      <c r="C97" s="38" t="n">
        <f aca="false">IF(AND(Assumptions!$C$164=1,C$4&gt;=Assumptions!$C$165),1,0)</f>
        <v>0</v>
      </c>
      <c r="D97" s="38" t="n">
        <f aca="false">IF(AND(Assumptions!$C$164=1,D$4&gt;=Assumptions!$C$165),1,0)</f>
        <v>0</v>
      </c>
      <c r="E97" s="38" t="n">
        <f aca="false">IF(AND(Assumptions!$C$164=1,E$4&gt;=Assumptions!$C$165),1,0)</f>
        <v>0</v>
      </c>
      <c r="F97" s="38" t="n">
        <f aca="false">IF(AND(Assumptions!$C$164=1,F$4&gt;=Assumptions!$C$165),1,0)</f>
        <v>0</v>
      </c>
      <c r="G97" s="38" t="n">
        <f aca="false">IF(AND(Assumptions!$C$164=1,G$4&gt;=Assumptions!$C$165),1,0)</f>
        <v>0</v>
      </c>
      <c r="H97" s="38" t="n">
        <f aca="false">IF(AND(Assumptions!$C$164=1,H$4&gt;=Assumptions!$C$165),1,0)</f>
        <v>0</v>
      </c>
      <c r="I97" s="38" t="n">
        <f aca="false">IF(AND(Assumptions!$C$164=1,I$4&gt;=Assumptions!$C$165),1,0)</f>
        <v>0</v>
      </c>
      <c r="J97" s="38" t="n">
        <f aca="false">IF(AND(Assumptions!$C$164=1,J$4&gt;=Assumptions!$C$165),1,0)</f>
        <v>0</v>
      </c>
      <c r="K97" s="38" t="n">
        <f aca="false">IF(AND(Assumptions!$C$164=1,K$4&gt;=Assumptions!$C$165),1,0)</f>
        <v>0</v>
      </c>
      <c r="L97" s="38" t="n">
        <f aca="false">IF(AND(Assumptions!$C$164=1,L$4&gt;=Assumptions!$C$165),1,0)</f>
        <v>0</v>
      </c>
      <c r="M97" s="38" t="n">
        <f aca="false">IF(AND(Assumptions!$C$164=1,M$4&gt;=Assumptions!$C$165),1,0)</f>
        <v>0</v>
      </c>
      <c r="N97" s="38" t="n">
        <f aca="false">IF(AND(Assumptions!$C$164=1,N$4&gt;=Assumptions!$C$165),1,0)</f>
        <v>0</v>
      </c>
      <c r="O97" s="38" t="n">
        <f aca="false">IF(AND(Assumptions!$C$164=1,O$4&gt;=Assumptions!$C$165),1,0)</f>
        <v>0</v>
      </c>
      <c r="P97" s="38" t="n">
        <f aca="false">IF(AND(Assumptions!$C$164=1,P$4&gt;=Assumptions!$C$165),1,0)</f>
        <v>0</v>
      </c>
      <c r="Q97" s="38" t="n">
        <f aca="false">IF(AND(Assumptions!$C$164=1,Q$4&gt;=Assumptions!$C$165),1,0)</f>
        <v>0</v>
      </c>
      <c r="R97" s="38" t="n">
        <f aca="false">IF(AND(Assumptions!$C$164=1,R$4&gt;=Assumptions!$C$165),1,0)</f>
        <v>0</v>
      </c>
      <c r="S97" s="38" t="n">
        <f aca="false">IF(AND(Assumptions!$C$164=1,S$4&gt;=Assumptions!$C$165),1,0)</f>
        <v>0</v>
      </c>
      <c r="T97" s="38" t="n">
        <f aca="false">IF(AND(Assumptions!$C$164=1,T$4&gt;=Assumptions!$C$165),1,0)</f>
        <v>0</v>
      </c>
      <c r="U97" s="38" t="n">
        <f aca="false">IF(AND(Assumptions!$C$164=1,U$4&gt;=Assumptions!$C$165),1,0)</f>
        <v>0</v>
      </c>
      <c r="V97" s="38" t="n">
        <f aca="false">IF(AND(Assumptions!$C$164=1,V$4&gt;=Assumptions!$C$165),1,0)</f>
        <v>0</v>
      </c>
      <c r="W97" s="38" t="n">
        <f aca="false">IF(AND(Assumptions!$C$164=1,W$4&gt;=Assumptions!$C$165),1,0)</f>
        <v>0</v>
      </c>
      <c r="X97" s="38" t="n">
        <f aca="false">IF(AND(Assumptions!$C$164=1,X$4&gt;=Assumptions!$C$165),1,0)</f>
        <v>0</v>
      </c>
      <c r="Y97" s="38" t="n">
        <f aca="false">IF(AND(Assumptions!$C$164=1,Y$4&gt;=Assumptions!$C$165),1,0)</f>
        <v>0</v>
      </c>
      <c r="Z97" s="38" t="n">
        <f aca="false">IF(AND(Assumptions!$C$164=1,Z$4&gt;=Assumptions!$C$165),1,0)</f>
        <v>0</v>
      </c>
      <c r="AA97" s="38" t="n">
        <f aca="false">IF(AND(Assumptions!$C$164=1,AA$4&gt;=Assumptions!$C$165),1,0)</f>
        <v>0</v>
      </c>
      <c r="AB97" s="38" t="n">
        <f aca="false">IF(AND(Assumptions!$C$164=1,AB$4&gt;=Assumptions!$C$165),1,0)</f>
        <v>0</v>
      </c>
      <c r="AC97" s="38" t="n">
        <f aca="false">IF(AND(Assumptions!$C$164=1,AC$4&gt;=Assumptions!$C$165),1,0)</f>
        <v>0</v>
      </c>
      <c r="AD97" s="38" t="n">
        <f aca="false">IF(AND(Assumptions!$C$164=1,AD$4&gt;=Assumptions!$C$165),1,0)</f>
        <v>0</v>
      </c>
      <c r="AE97" s="38" t="n">
        <f aca="false">IF(AND(Assumptions!$C$164=1,AE$4&gt;=Assumptions!$C$165),1,0)</f>
        <v>0</v>
      </c>
      <c r="AF97" s="38" t="n">
        <f aca="false">IF(AND(Assumptions!$C$164=1,AF$4&gt;=Assumptions!$C$165),1,0)</f>
        <v>0</v>
      </c>
      <c r="AG97" s="38" t="n">
        <f aca="false">IF(AND(Assumptions!$C$164=1,AG$4&gt;=Assumptions!$C$165),1,0)</f>
        <v>0</v>
      </c>
      <c r="AH97" s="38" t="n">
        <f aca="false">IF(AND(Assumptions!$C$164=1,AH$4&gt;=Assumptions!$C$165),1,0)</f>
        <v>0</v>
      </c>
      <c r="AI97" s="38" t="n">
        <f aca="false">IF(AND(Assumptions!$C$164=1,AI$4&gt;=Assumptions!$C$165),1,0)</f>
        <v>0</v>
      </c>
      <c r="AJ97" s="38" t="n">
        <f aca="false">IF(AND(Assumptions!$C$164=1,AJ$4&gt;=Assumptions!$C$165),1,0)</f>
        <v>0</v>
      </c>
      <c r="AK97" s="38" t="n">
        <f aca="false">IF(AND(Assumptions!$C$164=1,AK$4&gt;=Assumptions!$C$165),1,0)</f>
        <v>0</v>
      </c>
      <c r="AL97" s="38" t="n">
        <f aca="false">IF(AND(Assumptions!$C$164=1,AL$4&gt;=Assumptions!$C$165),1,0)</f>
        <v>0</v>
      </c>
    </row>
    <row r="98" customFormat="false" ht="15" hidden="false" customHeight="false" outlineLevel="0" collapsed="false">
      <c r="A98" s="7" t="s">
        <v>756</v>
      </c>
      <c r="B98" s="9" t="s">
        <v>327</v>
      </c>
      <c r="C98" s="14" t="n">
        <f aca="false">IF(C97=0,0,Assumptions!$C$166)</f>
        <v>0</v>
      </c>
      <c r="D98" s="14" t="n">
        <f aca="false">IF(D97=0,0,IF(D$4=Assumptions!$C$165,Assumptions!$C$166,C98*(1+CHOOSE(D$6,Assumptions!$C$167,Assumptions!$C$168,Assumptions!$C$169))))</f>
        <v>0</v>
      </c>
      <c r="E98" s="14" t="n">
        <f aca="false">IF(E97=0,0,IF(E$4=Assumptions!$C$165,Assumptions!$C$166,D98*(1+CHOOSE(E$6,Assumptions!$C$167,Assumptions!$C$168,Assumptions!$C$169))))</f>
        <v>0</v>
      </c>
      <c r="F98" s="14" t="n">
        <f aca="false">IF(F97=0,0,IF(F$4=Assumptions!$C$165,Assumptions!$C$166,E98*(1+CHOOSE(F$6,Assumptions!$C$167,Assumptions!$C$168,Assumptions!$C$169))))</f>
        <v>0</v>
      </c>
      <c r="G98" s="14" t="n">
        <f aca="false">IF(G97=0,0,IF(G$4=Assumptions!$C$165,Assumptions!$C$166,F98*(1+CHOOSE(G$6,Assumptions!$C$167,Assumptions!$C$168,Assumptions!$C$169))))</f>
        <v>0</v>
      </c>
      <c r="H98" s="14" t="n">
        <f aca="false">IF(H97=0,0,IF(H$4=Assumptions!$C$165,Assumptions!$C$166,G98*(1+CHOOSE(H$6,Assumptions!$C$167,Assumptions!$C$168,Assumptions!$C$169))))</f>
        <v>0</v>
      </c>
      <c r="I98" s="14" t="n">
        <f aca="false">IF(I97=0,0,IF(I$4=Assumptions!$C$165,Assumptions!$C$166,H98*(1+CHOOSE(I$6,Assumptions!$C$167,Assumptions!$C$168,Assumptions!$C$169))))</f>
        <v>0</v>
      </c>
      <c r="J98" s="14" t="n">
        <f aca="false">IF(J97=0,0,IF(J$4=Assumptions!$C$165,Assumptions!$C$166,I98*(1+CHOOSE(J$6,Assumptions!$C$167,Assumptions!$C$168,Assumptions!$C$169))))</f>
        <v>0</v>
      </c>
      <c r="K98" s="14" t="n">
        <f aca="false">IF(K97=0,0,IF(K$4=Assumptions!$C$165,Assumptions!$C$166,J98*(1+CHOOSE(K$6,Assumptions!$C$167,Assumptions!$C$168,Assumptions!$C$169))))</f>
        <v>0</v>
      </c>
      <c r="L98" s="14" t="n">
        <f aca="false">IF(L97=0,0,IF(L$4=Assumptions!$C$165,Assumptions!$C$166,K98*(1+CHOOSE(L$6,Assumptions!$C$167,Assumptions!$C$168,Assumptions!$C$169))))</f>
        <v>0</v>
      </c>
      <c r="M98" s="14" t="n">
        <f aca="false">IF(M97=0,0,IF(M$4=Assumptions!$C$165,Assumptions!$C$166,L98*(1+CHOOSE(M$6,Assumptions!$C$167,Assumptions!$C$168,Assumptions!$C$169))))</f>
        <v>0</v>
      </c>
      <c r="N98" s="14" t="n">
        <f aca="false">IF(N97=0,0,IF(N$4=Assumptions!$C$165,Assumptions!$C$166,M98*(1+CHOOSE(N$6,Assumptions!$C$167,Assumptions!$C$168,Assumptions!$C$169))))</f>
        <v>0</v>
      </c>
      <c r="O98" s="14" t="n">
        <f aca="false">IF(O97=0,0,IF(O$4=Assumptions!$C$165,Assumptions!$C$166,N98*(1+CHOOSE(O$6,Assumptions!$C$167,Assumptions!$C$168,Assumptions!$C$169))))</f>
        <v>0</v>
      </c>
      <c r="P98" s="14" t="n">
        <f aca="false">IF(P97=0,0,IF(P$4=Assumptions!$C$165,Assumptions!$C$166,O98*(1+CHOOSE(P$6,Assumptions!$C$167,Assumptions!$C$168,Assumptions!$C$169))))</f>
        <v>0</v>
      </c>
      <c r="Q98" s="14" t="n">
        <f aca="false">IF(Q97=0,0,IF(Q$4=Assumptions!$C$165,Assumptions!$C$166,P98*(1+CHOOSE(Q$6,Assumptions!$C$167,Assumptions!$C$168,Assumptions!$C$169))))</f>
        <v>0</v>
      </c>
      <c r="R98" s="14" t="n">
        <f aca="false">IF(R97=0,0,IF(R$4=Assumptions!$C$165,Assumptions!$C$166,Q98*(1+CHOOSE(R$6,Assumptions!$C$167,Assumptions!$C$168,Assumptions!$C$169))))</f>
        <v>0</v>
      </c>
      <c r="S98" s="14" t="n">
        <f aca="false">IF(S97=0,0,IF(S$4=Assumptions!$C$165,Assumptions!$C$166,R98*(1+CHOOSE(S$6,Assumptions!$C$167,Assumptions!$C$168,Assumptions!$C$169))))</f>
        <v>0</v>
      </c>
      <c r="T98" s="14" t="n">
        <f aca="false">IF(T97=0,0,IF(T$4=Assumptions!$C$165,Assumptions!$C$166,S98*(1+CHOOSE(T$6,Assumptions!$C$167,Assumptions!$C$168,Assumptions!$C$169))))</f>
        <v>0</v>
      </c>
      <c r="U98" s="14" t="n">
        <f aca="false">IF(U97=0,0,IF(U$4=Assumptions!$C$165,Assumptions!$C$166,T98*(1+CHOOSE(U$6,Assumptions!$C$167,Assumptions!$C$168,Assumptions!$C$169))))</f>
        <v>0</v>
      </c>
      <c r="V98" s="14" t="n">
        <f aca="false">IF(V97=0,0,IF(V$4=Assumptions!$C$165,Assumptions!$C$166,U98*(1+CHOOSE(V$6,Assumptions!$C$167,Assumptions!$C$168,Assumptions!$C$169))))</f>
        <v>0</v>
      </c>
      <c r="W98" s="14" t="n">
        <f aca="false">IF(W97=0,0,IF(W$4=Assumptions!$C$165,Assumptions!$C$166,V98*(1+CHOOSE(W$6,Assumptions!$C$167,Assumptions!$C$168,Assumptions!$C$169))))</f>
        <v>0</v>
      </c>
      <c r="X98" s="14" t="n">
        <f aca="false">IF(X97=0,0,IF(X$4=Assumptions!$C$165,Assumptions!$C$166,W98*(1+CHOOSE(X$6,Assumptions!$C$167,Assumptions!$C$168,Assumptions!$C$169))))</f>
        <v>0</v>
      </c>
      <c r="Y98" s="14" t="n">
        <f aca="false">IF(Y97=0,0,IF(Y$4=Assumptions!$C$165,Assumptions!$C$166,X98*(1+CHOOSE(Y$6,Assumptions!$C$167,Assumptions!$C$168,Assumptions!$C$169))))</f>
        <v>0</v>
      </c>
      <c r="Z98" s="14" t="n">
        <f aca="false">IF(Z97=0,0,IF(Z$4=Assumptions!$C$165,Assumptions!$C$166,Y98*(1+CHOOSE(Z$6,Assumptions!$C$167,Assumptions!$C$168,Assumptions!$C$169))))</f>
        <v>0</v>
      </c>
      <c r="AA98" s="14" t="n">
        <f aca="false">IF(AA97=0,0,IF(AA$4=Assumptions!$C$165,Assumptions!$C$166,Z98*(1+CHOOSE(AA$6,Assumptions!$C$167,Assumptions!$C$168,Assumptions!$C$169))))</f>
        <v>0</v>
      </c>
      <c r="AB98" s="14" t="n">
        <f aca="false">IF(AB97=0,0,IF(AB$4=Assumptions!$C$165,Assumptions!$C$166,AA98*(1+CHOOSE(AB$6,Assumptions!$C$167,Assumptions!$C$168,Assumptions!$C$169))))</f>
        <v>0</v>
      </c>
      <c r="AC98" s="14" t="n">
        <f aca="false">IF(AC97=0,0,IF(AC$4=Assumptions!$C$165,Assumptions!$C$166,AB98*(1+CHOOSE(AC$6,Assumptions!$C$167,Assumptions!$C$168,Assumptions!$C$169))))</f>
        <v>0</v>
      </c>
      <c r="AD98" s="14" t="n">
        <f aca="false">IF(AD97=0,0,IF(AD$4=Assumptions!$C$165,Assumptions!$C$166,AC98*(1+CHOOSE(AD$6,Assumptions!$C$167,Assumptions!$C$168,Assumptions!$C$169))))</f>
        <v>0</v>
      </c>
      <c r="AE98" s="14" t="n">
        <f aca="false">IF(AE97=0,0,IF(AE$4=Assumptions!$C$165,Assumptions!$C$166,AD98*(1+CHOOSE(AE$6,Assumptions!$C$167,Assumptions!$C$168,Assumptions!$C$169))))</f>
        <v>0</v>
      </c>
      <c r="AF98" s="14" t="n">
        <f aca="false">IF(AF97=0,0,IF(AF$4=Assumptions!$C$165,Assumptions!$C$166,AE98*(1+CHOOSE(AF$6,Assumptions!$C$167,Assumptions!$C$168,Assumptions!$C$169))))</f>
        <v>0</v>
      </c>
      <c r="AG98" s="14" t="n">
        <f aca="false">IF(AG97=0,0,IF(AG$4=Assumptions!$C$165,Assumptions!$C$166,AF98*(1+CHOOSE(AG$6,Assumptions!$C$167,Assumptions!$C$168,Assumptions!$C$169))))</f>
        <v>0</v>
      </c>
      <c r="AH98" s="14" t="n">
        <f aca="false">IF(AH97=0,0,IF(AH$4=Assumptions!$C$165,Assumptions!$C$166,AG98*(1+CHOOSE(AH$6,Assumptions!$C$167,Assumptions!$C$168,Assumptions!$C$169))))</f>
        <v>0</v>
      </c>
      <c r="AI98" s="14" t="n">
        <f aca="false">IF(AI97=0,0,IF(AI$4=Assumptions!$C$165,Assumptions!$C$166,AH98*(1+CHOOSE(AI$6,Assumptions!$C$167,Assumptions!$C$168,Assumptions!$C$169))))</f>
        <v>0</v>
      </c>
      <c r="AJ98" s="14" t="n">
        <f aca="false">IF(AJ97=0,0,IF(AJ$4=Assumptions!$C$165,Assumptions!$C$166,AI98*(1+CHOOSE(AJ$6,Assumptions!$C$167,Assumptions!$C$168,Assumptions!$C$169))))</f>
        <v>0</v>
      </c>
      <c r="AK98" s="14" t="n">
        <f aca="false">IF(AK97=0,0,IF(AK$4=Assumptions!$C$165,Assumptions!$C$166,AJ98*(1+CHOOSE(AK$6,Assumptions!$C$167,Assumptions!$C$168,Assumptions!$C$169))))</f>
        <v>0</v>
      </c>
      <c r="AL98" s="14" t="n">
        <f aca="false">IF(AL97=0,0,IF(AL$4=Assumptions!$C$165,Assumptions!$C$166,AK98*(1+CHOOSE(AL$6,Assumptions!$C$167,Assumptions!$C$168,Assumptions!$C$169))))</f>
        <v>0</v>
      </c>
    </row>
    <row r="99" customFormat="false" ht="15" hidden="false" customHeight="false" outlineLevel="0" collapsed="false">
      <c r="A99" s="7" t="s">
        <v>775</v>
      </c>
      <c r="B99" s="9" t="s">
        <v>327</v>
      </c>
      <c r="C99" s="52" t="n">
        <f aca="false">C98*C$7</f>
        <v>0</v>
      </c>
      <c r="D99" s="52" t="n">
        <f aca="false">D98*D$7</f>
        <v>0</v>
      </c>
      <c r="E99" s="52" t="n">
        <f aca="false">E98*E$7</f>
        <v>0</v>
      </c>
      <c r="F99" s="52" t="n">
        <f aca="false">F98*F$7</f>
        <v>0</v>
      </c>
      <c r="G99" s="52" t="n">
        <f aca="false">G98*G$7</f>
        <v>0</v>
      </c>
      <c r="H99" s="52" t="n">
        <f aca="false">H98*H$7</f>
        <v>0</v>
      </c>
      <c r="I99" s="52" t="n">
        <f aca="false">I98*I$7</f>
        <v>0</v>
      </c>
      <c r="J99" s="52" t="n">
        <f aca="false">J98*J$7</f>
        <v>0</v>
      </c>
      <c r="K99" s="52" t="n">
        <f aca="false">K98*K$7</f>
        <v>0</v>
      </c>
      <c r="L99" s="52" t="n">
        <f aca="false">L98*L$7</f>
        <v>0</v>
      </c>
      <c r="M99" s="52" t="n">
        <f aca="false">M98*M$7</f>
        <v>0</v>
      </c>
      <c r="N99" s="52" t="n">
        <f aca="false">N98*N$7</f>
        <v>0</v>
      </c>
      <c r="O99" s="52" t="n">
        <f aca="false">O98*O$7</f>
        <v>0</v>
      </c>
      <c r="P99" s="52" t="n">
        <f aca="false">P98*P$7</f>
        <v>0</v>
      </c>
      <c r="Q99" s="52" t="n">
        <f aca="false">Q98*Q$7</f>
        <v>0</v>
      </c>
      <c r="R99" s="52" t="n">
        <f aca="false">R98*R$7</f>
        <v>0</v>
      </c>
      <c r="S99" s="52" t="n">
        <f aca="false">S98*S$7</f>
        <v>0</v>
      </c>
      <c r="T99" s="52" t="n">
        <f aca="false">T98*T$7</f>
        <v>0</v>
      </c>
      <c r="U99" s="52" t="n">
        <f aca="false">U98*U$7</f>
        <v>0</v>
      </c>
      <c r="V99" s="52" t="n">
        <f aca="false">V98*V$7</f>
        <v>0</v>
      </c>
      <c r="W99" s="52" t="n">
        <f aca="false">W98*W$7</f>
        <v>0</v>
      </c>
      <c r="X99" s="52" t="n">
        <f aca="false">X98*X$7</f>
        <v>0</v>
      </c>
      <c r="Y99" s="52" t="n">
        <f aca="false">Y98*Y$7</f>
        <v>0</v>
      </c>
      <c r="Z99" s="52" t="n">
        <f aca="false">Z98*Z$7</f>
        <v>0</v>
      </c>
      <c r="AA99" s="52" t="n">
        <f aca="false">AA98*AA$7</f>
        <v>0</v>
      </c>
      <c r="AB99" s="52" t="n">
        <f aca="false">AB98*AB$7</f>
        <v>0</v>
      </c>
      <c r="AC99" s="52" t="n">
        <f aca="false">AC98*AC$7</f>
        <v>0</v>
      </c>
      <c r="AD99" s="52" t="n">
        <f aca="false">AD98*AD$7</f>
        <v>0</v>
      </c>
      <c r="AE99" s="52" t="n">
        <f aca="false">AE98*AE$7</f>
        <v>0</v>
      </c>
      <c r="AF99" s="52" t="n">
        <f aca="false">AF98*AF$7</f>
        <v>0</v>
      </c>
      <c r="AG99" s="52" t="n">
        <f aca="false">AG98*AG$7</f>
        <v>0</v>
      </c>
      <c r="AH99" s="52" t="n">
        <f aca="false">AH98*AH$7</f>
        <v>0</v>
      </c>
      <c r="AI99" s="52" t="n">
        <f aca="false">AI98*AI$7</f>
        <v>0</v>
      </c>
      <c r="AJ99" s="52" t="n">
        <f aca="false">AJ98*AJ$7</f>
        <v>0</v>
      </c>
      <c r="AK99" s="52" t="n">
        <f aca="false">AK98*AK$7</f>
        <v>0</v>
      </c>
      <c r="AL99" s="52" t="n">
        <f aca="false">AL98*AL$7</f>
        <v>0</v>
      </c>
      <c r="AM99" s="53" t="n">
        <f aca="false">SUMIF($C$6:$AL$6,1,C99:AL99)</f>
        <v>0</v>
      </c>
      <c r="AN99" s="53" t="n">
        <f aca="false">SUMIF($C$6:$AL$6,2,C99:AL99)</f>
        <v>0</v>
      </c>
      <c r="AO99" s="53" t="n">
        <f aca="false">SUMIF($C$6:$AL$6,3,C99:AL99)</f>
        <v>0</v>
      </c>
      <c r="AP99" s="53" t="n">
        <f aca="false">SUM(C99:AL99)</f>
        <v>0</v>
      </c>
    </row>
    <row r="100" customFormat="false" ht="15" hidden="false" customHeight="false" outlineLevel="0" collapsed="false">
      <c r="A100" s="7" t="s">
        <v>758</v>
      </c>
      <c r="B100" s="9" t="s">
        <v>96</v>
      </c>
      <c r="C100" s="54" t="n">
        <f aca="false">Assumptions!$C$170*MIN(1,(C$4-Assumptions!$C$165+1)/Assumptions!$C$10)*C97</f>
        <v>-0</v>
      </c>
      <c r="D100" s="54" t="n">
        <f aca="false">Assumptions!$C$170*MIN(1,(D$4-Assumptions!$C$165+1)/Assumptions!$C$10)*D97</f>
        <v>-0</v>
      </c>
      <c r="E100" s="54" t="n">
        <f aca="false">Assumptions!$C$170*MIN(1,(E$4-Assumptions!$C$165+1)/Assumptions!$C$10)*E97</f>
        <v>-0</v>
      </c>
      <c r="F100" s="54" t="n">
        <f aca="false">Assumptions!$C$170*MIN(1,(F$4-Assumptions!$C$165+1)/Assumptions!$C$10)*F97</f>
        <v>-0</v>
      </c>
      <c r="G100" s="54" t="n">
        <f aca="false">Assumptions!$C$170*MIN(1,(G$4-Assumptions!$C$165+1)/Assumptions!$C$10)*G97</f>
        <v>-0</v>
      </c>
      <c r="H100" s="54" t="n">
        <f aca="false">Assumptions!$C$170*MIN(1,(H$4-Assumptions!$C$165+1)/Assumptions!$C$10)*H97</f>
        <v>-0</v>
      </c>
      <c r="I100" s="54" t="n">
        <f aca="false">Assumptions!$C$170*MIN(1,(I$4-Assumptions!$C$165+1)/Assumptions!$C$10)*I97</f>
        <v>-0</v>
      </c>
      <c r="J100" s="54" t="n">
        <f aca="false">Assumptions!$C$170*MIN(1,(J$4-Assumptions!$C$165+1)/Assumptions!$C$10)*J97</f>
        <v>-0</v>
      </c>
      <c r="K100" s="54" t="n">
        <f aca="false">Assumptions!$C$170*MIN(1,(K$4-Assumptions!$C$165+1)/Assumptions!$C$10)*K97</f>
        <v>-0</v>
      </c>
      <c r="L100" s="54" t="n">
        <f aca="false">Assumptions!$C$170*MIN(1,(L$4-Assumptions!$C$165+1)/Assumptions!$C$10)*L97</f>
        <v>-0</v>
      </c>
      <c r="M100" s="54" t="n">
        <f aca="false">Assumptions!$C$170*MIN(1,(M$4-Assumptions!$C$165+1)/Assumptions!$C$10)*M97</f>
        <v>-0</v>
      </c>
      <c r="N100" s="54" t="n">
        <f aca="false">Assumptions!$C$170*MIN(1,(N$4-Assumptions!$C$165+1)/Assumptions!$C$10)*N97</f>
        <v>-0</v>
      </c>
      <c r="O100" s="54" t="n">
        <f aca="false">Assumptions!$C$170*MIN(1,(O$4-Assumptions!$C$165+1)/Assumptions!$C$10)*O97</f>
        <v>-0</v>
      </c>
      <c r="P100" s="54" t="n">
        <f aca="false">Assumptions!$C$170*MIN(1,(P$4-Assumptions!$C$165+1)/Assumptions!$C$10)*P97</f>
        <v>-0</v>
      </c>
      <c r="Q100" s="54" t="n">
        <f aca="false">Assumptions!$C$170*MIN(1,(Q$4-Assumptions!$C$165+1)/Assumptions!$C$10)*Q97</f>
        <v>-0</v>
      </c>
      <c r="R100" s="54" t="n">
        <f aca="false">Assumptions!$C$170*MIN(1,(R$4-Assumptions!$C$165+1)/Assumptions!$C$10)*R97</f>
        <v>-0</v>
      </c>
      <c r="S100" s="54" t="n">
        <f aca="false">Assumptions!$C$170*MIN(1,(S$4-Assumptions!$C$165+1)/Assumptions!$C$10)*S97</f>
        <v>-0</v>
      </c>
      <c r="T100" s="54" t="n">
        <f aca="false">Assumptions!$C$170*MIN(1,(T$4-Assumptions!$C$165+1)/Assumptions!$C$10)*T97</f>
        <v>-0</v>
      </c>
      <c r="U100" s="54" t="n">
        <f aca="false">Assumptions!$C$170*MIN(1,(U$4-Assumptions!$C$165+1)/Assumptions!$C$10)*U97</f>
        <v>-0</v>
      </c>
      <c r="V100" s="54" t="n">
        <f aca="false">Assumptions!$C$170*MIN(1,(V$4-Assumptions!$C$165+1)/Assumptions!$C$10)*V97</f>
        <v>-0</v>
      </c>
      <c r="W100" s="54" t="n">
        <f aca="false">Assumptions!$C$170*MIN(1,(W$4-Assumptions!$C$165+1)/Assumptions!$C$10)*W97</f>
        <v>-0</v>
      </c>
      <c r="X100" s="54" t="n">
        <f aca="false">Assumptions!$C$170*MIN(1,(X$4-Assumptions!$C$165+1)/Assumptions!$C$10)*X97</f>
        <v>-0</v>
      </c>
      <c r="Y100" s="54" t="n">
        <f aca="false">Assumptions!$C$170*MIN(1,(Y$4-Assumptions!$C$165+1)/Assumptions!$C$10)*Y97</f>
        <v>-0</v>
      </c>
      <c r="Z100" s="54" t="n">
        <f aca="false">Assumptions!$C$170*MIN(1,(Z$4-Assumptions!$C$165+1)/Assumptions!$C$10)*Z97</f>
        <v>0</v>
      </c>
      <c r="AA100" s="54" t="n">
        <f aca="false">Assumptions!$C$170*MIN(1,(AA$4-Assumptions!$C$165+1)/Assumptions!$C$10)*AA97</f>
        <v>0</v>
      </c>
      <c r="AB100" s="54" t="n">
        <f aca="false">Assumptions!$C$170*MIN(1,(AB$4-Assumptions!$C$165+1)/Assumptions!$C$10)*AB97</f>
        <v>0</v>
      </c>
      <c r="AC100" s="54" t="n">
        <f aca="false">Assumptions!$C$170*MIN(1,(AC$4-Assumptions!$C$165+1)/Assumptions!$C$10)*AC97</f>
        <v>0</v>
      </c>
      <c r="AD100" s="54" t="n">
        <f aca="false">Assumptions!$C$170*MIN(1,(AD$4-Assumptions!$C$165+1)/Assumptions!$C$10)*AD97</f>
        <v>0</v>
      </c>
      <c r="AE100" s="54" t="n">
        <f aca="false">Assumptions!$C$170*MIN(1,(AE$4-Assumptions!$C$165+1)/Assumptions!$C$10)*AE97</f>
        <v>0</v>
      </c>
      <c r="AF100" s="54" t="n">
        <f aca="false">Assumptions!$C$170*MIN(1,(AF$4-Assumptions!$C$165+1)/Assumptions!$C$10)*AF97</f>
        <v>0</v>
      </c>
      <c r="AG100" s="54" t="n">
        <f aca="false">Assumptions!$C$170*MIN(1,(AG$4-Assumptions!$C$165+1)/Assumptions!$C$10)*AG97</f>
        <v>0</v>
      </c>
      <c r="AH100" s="54" t="n">
        <f aca="false">Assumptions!$C$170*MIN(1,(AH$4-Assumptions!$C$165+1)/Assumptions!$C$10)*AH97</f>
        <v>0</v>
      </c>
      <c r="AI100" s="54" t="n">
        <f aca="false">Assumptions!$C$170*MIN(1,(AI$4-Assumptions!$C$165+1)/Assumptions!$C$10)*AI97</f>
        <v>0</v>
      </c>
      <c r="AJ100" s="54" t="n">
        <f aca="false">Assumptions!$C$170*MIN(1,(AJ$4-Assumptions!$C$165+1)/Assumptions!$C$10)*AJ97</f>
        <v>0</v>
      </c>
      <c r="AK100" s="54" t="n">
        <f aca="false">Assumptions!$C$170*MIN(1,(AK$4-Assumptions!$C$165+1)/Assumptions!$C$10)*AK97</f>
        <v>0</v>
      </c>
      <c r="AL100" s="54" t="n">
        <f aca="false">Assumptions!$C$170*MIN(1,(AL$4-Assumptions!$C$165+1)/Assumptions!$C$10)*AL97</f>
        <v>0</v>
      </c>
    </row>
    <row r="101" customFormat="false" ht="15" hidden="false" customHeight="false" outlineLevel="0" collapsed="false">
      <c r="A101" s="7" t="s">
        <v>766</v>
      </c>
      <c r="B101" s="9" t="s">
        <v>760</v>
      </c>
      <c r="C101" s="55" t="n">
        <f aca="false">C99*C100</f>
        <v>-0</v>
      </c>
      <c r="D101" s="55" t="n">
        <f aca="false">D99*D100</f>
        <v>-0</v>
      </c>
      <c r="E101" s="55" t="n">
        <f aca="false">E99*E100</f>
        <v>-0</v>
      </c>
      <c r="F101" s="55" t="n">
        <f aca="false">F99*F100</f>
        <v>-0</v>
      </c>
      <c r="G101" s="55" t="n">
        <f aca="false">G99*G100</f>
        <v>-0</v>
      </c>
      <c r="H101" s="55" t="n">
        <f aca="false">H99*H100</f>
        <v>-0</v>
      </c>
      <c r="I101" s="55" t="n">
        <f aca="false">I99*I100</f>
        <v>-0</v>
      </c>
      <c r="J101" s="55" t="n">
        <f aca="false">J99*J100</f>
        <v>-0</v>
      </c>
      <c r="K101" s="55" t="n">
        <f aca="false">K99*K100</f>
        <v>-0</v>
      </c>
      <c r="L101" s="55" t="n">
        <f aca="false">L99*L100</f>
        <v>-0</v>
      </c>
      <c r="M101" s="55" t="n">
        <f aca="false">M99*M100</f>
        <v>-0</v>
      </c>
      <c r="N101" s="55" t="n">
        <f aca="false">N99*N100</f>
        <v>-0</v>
      </c>
      <c r="O101" s="55" t="n">
        <f aca="false">O99*O100</f>
        <v>-0</v>
      </c>
      <c r="P101" s="55" t="n">
        <f aca="false">P99*P100</f>
        <v>-0</v>
      </c>
      <c r="Q101" s="55" t="n">
        <f aca="false">Q99*Q100</f>
        <v>-0</v>
      </c>
      <c r="R101" s="55" t="n">
        <f aca="false">R99*R100</f>
        <v>-0</v>
      </c>
      <c r="S101" s="55" t="n">
        <f aca="false">S99*S100</f>
        <v>-0</v>
      </c>
      <c r="T101" s="55" t="n">
        <f aca="false">T99*T100</f>
        <v>-0</v>
      </c>
      <c r="U101" s="55" t="n">
        <f aca="false">U99*U100</f>
        <v>-0</v>
      </c>
      <c r="V101" s="55" t="n">
        <f aca="false">V99*V100</f>
        <v>-0</v>
      </c>
      <c r="W101" s="55" t="n">
        <f aca="false">W99*W100</f>
        <v>-0</v>
      </c>
      <c r="X101" s="55" t="n">
        <f aca="false">X99*X100</f>
        <v>-0</v>
      </c>
      <c r="Y101" s="55" t="n">
        <f aca="false">Y99*Y100</f>
        <v>-0</v>
      </c>
      <c r="Z101" s="55" t="n">
        <f aca="false">Z99*Z100</f>
        <v>0</v>
      </c>
      <c r="AA101" s="55" t="n">
        <f aca="false">AA99*AA100</f>
        <v>0</v>
      </c>
      <c r="AB101" s="55" t="n">
        <f aca="false">AB99*AB100</f>
        <v>0</v>
      </c>
      <c r="AC101" s="55" t="n">
        <f aca="false">AC99*AC100</f>
        <v>0</v>
      </c>
      <c r="AD101" s="55" t="n">
        <f aca="false">AD99*AD100</f>
        <v>0</v>
      </c>
      <c r="AE101" s="55" t="n">
        <f aca="false">AE99*AE100</f>
        <v>0</v>
      </c>
      <c r="AF101" s="55" t="n">
        <f aca="false">AF99*AF100</f>
        <v>0</v>
      </c>
      <c r="AG101" s="55" t="n">
        <f aca="false">AG99*AG100</f>
        <v>0</v>
      </c>
      <c r="AH101" s="55" t="n">
        <f aca="false">AH99*AH100</f>
        <v>0</v>
      </c>
      <c r="AI101" s="55" t="n">
        <f aca="false">AI99*AI100</f>
        <v>0</v>
      </c>
      <c r="AJ101" s="55" t="n">
        <f aca="false">AJ99*AJ100</f>
        <v>0</v>
      </c>
      <c r="AK101" s="55" t="n">
        <f aca="false">AK99*AK100</f>
        <v>0</v>
      </c>
      <c r="AL101" s="55" t="n">
        <f aca="false">AL99*AL100</f>
        <v>0</v>
      </c>
      <c r="AM101" s="53" t="n">
        <f aca="false">SUMIF($C$6:$AL$6,1,C101:AL101)</f>
        <v>0</v>
      </c>
      <c r="AN101" s="53" t="n">
        <f aca="false">SUMIF($C$6:$AL$6,2,C101:AL101)</f>
        <v>0</v>
      </c>
      <c r="AO101" s="53" t="n">
        <f aca="false">SUMIF($C$6:$AL$6,3,C101:AL101)</f>
        <v>0</v>
      </c>
      <c r="AP101" s="53" t="n">
        <f aca="false">SUM(C101:AL101)</f>
        <v>0</v>
      </c>
    </row>
    <row r="102" customFormat="false" ht="15" hidden="false" customHeight="false" outlineLevel="0" collapsed="false">
      <c r="A102" s="7" t="s">
        <v>761</v>
      </c>
      <c r="B102" s="9" t="s">
        <v>342</v>
      </c>
      <c r="C102" s="56" t="n">
        <f aca="false">C101*Assumptions!$C$171</f>
        <v>-0</v>
      </c>
      <c r="D102" s="56" t="n">
        <f aca="false">D101*Assumptions!$C$171</f>
        <v>-0</v>
      </c>
      <c r="E102" s="56" t="n">
        <f aca="false">E101*Assumptions!$C$171</f>
        <v>-0</v>
      </c>
      <c r="F102" s="56" t="n">
        <f aca="false">F101*Assumptions!$C$171</f>
        <v>-0</v>
      </c>
      <c r="G102" s="56" t="n">
        <f aca="false">G101*Assumptions!$C$171</f>
        <v>-0</v>
      </c>
      <c r="H102" s="56" t="n">
        <f aca="false">H101*Assumptions!$C$171</f>
        <v>-0</v>
      </c>
      <c r="I102" s="56" t="n">
        <f aca="false">I101*Assumptions!$C$171</f>
        <v>-0</v>
      </c>
      <c r="J102" s="56" t="n">
        <f aca="false">J101*Assumptions!$C$171</f>
        <v>-0</v>
      </c>
      <c r="K102" s="56" t="n">
        <f aca="false">K101*Assumptions!$C$171</f>
        <v>-0</v>
      </c>
      <c r="L102" s="56" t="n">
        <f aca="false">L101*Assumptions!$C$171</f>
        <v>-0</v>
      </c>
      <c r="M102" s="56" t="n">
        <f aca="false">M101*Assumptions!$C$171</f>
        <v>-0</v>
      </c>
      <c r="N102" s="56" t="n">
        <f aca="false">N101*Assumptions!$C$171</f>
        <v>-0</v>
      </c>
      <c r="O102" s="56" t="n">
        <f aca="false">O101*Assumptions!$C$171</f>
        <v>-0</v>
      </c>
      <c r="P102" s="56" t="n">
        <f aca="false">P101*Assumptions!$C$171</f>
        <v>-0</v>
      </c>
      <c r="Q102" s="56" t="n">
        <f aca="false">Q101*Assumptions!$C$171</f>
        <v>-0</v>
      </c>
      <c r="R102" s="56" t="n">
        <f aca="false">R101*Assumptions!$C$171</f>
        <v>-0</v>
      </c>
      <c r="S102" s="56" t="n">
        <f aca="false">S101*Assumptions!$C$171</f>
        <v>-0</v>
      </c>
      <c r="T102" s="56" t="n">
        <f aca="false">T101*Assumptions!$C$171</f>
        <v>-0</v>
      </c>
      <c r="U102" s="56" t="n">
        <f aca="false">U101*Assumptions!$C$171</f>
        <v>-0</v>
      </c>
      <c r="V102" s="56" t="n">
        <f aca="false">V101*Assumptions!$C$171</f>
        <v>-0</v>
      </c>
      <c r="W102" s="56" t="n">
        <f aca="false">W101*Assumptions!$C$171</f>
        <v>-0</v>
      </c>
      <c r="X102" s="56" t="n">
        <f aca="false">X101*Assumptions!$C$171</f>
        <v>-0</v>
      </c>
      <c r="Y102" s="56" t="n">
        <f aca="false">Y101*Assumptions!$C$171</f>
        <v>-0</v>
      </c>
      <c r="Z102" s="56" t="n">
        <f aca="false">Z101*Assumptions!$C$171</f>
        <v>0</v>
      </c>
      <c r="AA102" s="56" t="n">
        <f aca="false">AA101*Assumptions!$C$171</f>
        <v>0</v>
      </c>
      <c r="AB102" s="56" t="n">
        <f aca="false">AB101*Assumptions!$C$171</f>
        <v>0</v>
      </c>
      <c r="AC102" s="56" t="n">
        <f aca="false">AC101*Assumptions!$C$171</f>
        <v>0</v>
      </c>
      <c r="AD102" s="56" t="n">
        <f aca="false">AD101*Assumptions!$C$171</f>
        <v>0</v>
      </c>
      <c r="AE102" s="56" t="n">
        <f aca="false">AE101*Assumptions!$C$171</f>
        <v>0</v>
      </c>
      <c r="AF102" s="56" t="n">
        <f aca="false">AF101*Assumptions!$C$171</f>
        <v>0</v>
      </c>
      <c r="AG102" s="56" t="n">
        <f aca="false">AG101*Assumptions!$C$171</f>
        <v>0</v>
      </c>
      <c r="AH102" s="56" t="n">
        <f aca="false">AH101*Assumptions!$C$171</f>
        <v>0</v>
      </c>
      <c r="AI102" s="56" t="n">
        <f aca="false">AI101*Assumptions!$C$171</f>
        <v>0</v>
      </c>
      <c r="AJ102" s="56" t="n">
        <f aca="false">AJ101*Assumptions!$C$171</f>
        <v>0</v>
      </c>
      <c r="AK102" s="56" t="n">
        <f aca="false">AK101*Assumptions!$C$171</f>
        <v>0</v>
      </c>
      <c r="AL102" s="56" t="n">
        <f aca="false">AL101*Assumptions!$C$171</f>
        <v>0</v>
      </c>
      <c r="AM102" s="53" t="n">
        <f aca="false">SUMIF($C$6:$AL$6,1,C102:AL102)</f>
        <v>0</v>
      </c>
      <c r="AN102" s="53" t="n">
        <f aca="false">SUMIF($C$6:$AL$6,2,C102:AL102)</f>
        <v>0</v>
      </c>
      <c r="AO102" s="53" t="n">
        <f aca="false">SUMIF($C$6:$AL$6,3,C102:AL102)</f>
        <v>0</v>
      </c>
      <c r="AP102" s="53" t="n">
        <f aca="false">SUM(C102:AL102)</f>
        <v>0</v>
      </c>
    </row>
    <row r="103" customFormat="false" ht="15" hidden="false" customHeight="false" outlineLevel="0" collapsed="false">
      <c r="A103" s="7" t="s">
        <v>762</v>
      </c>
      <c r="B103" s="9" t="s">
        <v>101</v>
      </c>
      <c r="C103" s="15" t="n">
        <f aca="false">'Unit Economics'!$E$58*Assumptions!$C$171*C97</f>
        <v>0</v>
      </c>
      <c r="D103" s="15" t="n">
        <f aca="false">'Unit Economics'!$E$58*Assumptions!$C$171*D97</f>
        <v>0</v>
      </c>
      <c r="E103" s="15" t="n">
        <f aca="false">'Unit Economics'!$E$58*Assumptions!$C$171*E97</f>
        <v>0</v>
      </c>
      <c r="F103" s="15" t="n">
        <f aca="false">'Unit Economics'!$E$58*Assumptions!$C$171*F97</f>
        <v>0</v>
      </c>
      <c r="G103" s="15" t="n">
        <f aca="false">'Unit Economics'!$E$58*Assumptions!$C$171*G97</f>
        <v>0</v>
      </c>
      <c r="H103" s="15" t="n">
        <f aca="false">'Unit Economics'!$E$58*Assumptions!$C$171*H97</f>
        <v>0</v>
      </c>
      <c r="I103" s="15" t="n">
        <f aca="false">'Unit Economics'!$E$58*Assumptions!$C$171*I97</f>
        <v>0</v>
      </c>
      <c r="J103" s="15" t="n">
        <f aca="false">'Unit Economics'!$E$58*Assumptions!$C$171*J97</f>
        <v>0</v>
      </c>
      <c r="K103" s="15" t="n">
        <f aca="false">'Unit Economics'!$E$58*Assumptions!$C$171*K97</f>
        <v>0</v>
      </c>
      <c r="L103" s="15" t="n">
        <f aca="false">'Unit Economics'!$E$58*Assumptions!$C$171*L97</f>
        <v>0</v>
      </c>
      <c r="M103" s="15" t="n">
        <f aca="false">'Unit Economics'!$E$58*Assumptions!$C$171*M97</f>
        <v>0</v>
      </c>
      <c r="N103" s="15" t="n">
        <f aca="false">'Unit Economics'!$E$58*Assumptions!$C$171*N97</f>
        <v>0</v>
      </c>
      <c r="O103" s="15" t="n">
        <f aca="false">'Unit Economics'!$E$58*Assumptions!$C$171*O97</f>
        <v>0</v>
      </c>
      <c r="P103" s="15" t="n">
        <f aca="false">'Unit Economics'!$E$58*Assumptions!$C$171*P97</f>
        <v>0</v>
      </c>
      <c r="Q103" s="15" t="n">
        <f aca="false">'Unit Economics'!$E$58*Assumptions!$C$171*Q97</f>
        <v>0</v>
      </c>
      <c r="R103" s="15" t="n">
        <f aca="false">'Unit Economics'!$E$58*Assumptions!$C$171*R97</f>
        <v>0</v>
      </c>
      <c r="S103" s="15" t="n">
        <f aca="false">'Unit Economics'!$E$58*Assumptions!$C$171*S97</f>
        <v>0</v>
      </c>
      <c r="T103" s="15" t="n">
        <f aca="false">'Unit Economics'!$E$58*Assumptions!$C$171*T97</f>
        <v>0</v>
      </c>
      <c r="U103" s="15" t="n">
        <f aca="false">'Unit Economics'!$E$58*Assumptions!$C$171*U97</f>
        <v>0</v>
      </c>
      <c r="V103" s="15" t="n">
        <f aca="false">'Unit Economics'!$E$58*Assumptions!$C$171*V97</f>
        <v>0</v>
      </c>
      <c r="W103" s="15" t="n">
        <f aca="false">'Unit Economics'!$E$58*Assumptions!$C$171*W97</f>
        <v>0</v>
      </c>
      <c r="X103" s="15" t="n">
        <f aca="false">'Unit Economics'!$E$58*Assumptions!$C$171*X97</f>
        <v>0</v>
      </c>
      <c r="Y103" s="15" t="n">
        <f aca="false">'Unit Economics'!$E$58*Assumptions!$C$171*Y97</f>
        <v>0</v>
      </c>
      <c r="Z103" s="15" t="n">
        <f aca="false">'Unit Economics'!$E$58*Assumptions!$C$171*Z97</f>
        <v>0</v>
      </c>
      <c r="AA103" s="15" t="n">
        <f aca="false">'Unit Economics'!$E$58*Assumptions!$C$171*AA97</f>
        <v>0</v>
      </c>
      <c r="AB103" s="15" t="n">
        <f aca="false">'Unit Economics'!$E$58*Assumptions!$C$171*AB97</f>
        <v>0</v>
      </c>
      <c r="AC103" s="15" t="n">
        <f aca="false">'Unit Economics'!$E$58*Assumptions!$C$171*AC97</f>
        <v>0</v>
      </c>
      <c r="AD103" s="15" t="n">
        <f aca="false">'Unit Economics'!$E$58*Assumptions!$C$171*AD97</f>
        <v>0</v>
      </c>
      <c r="AE103" s="15" t="n">
        <f aca="false">'Unit Economics'!$E$58*Assumptions!$C$171*AE97</f>
        <v>0</v>
      </c>
      <c r="AF103" s="15" t="n">
        <f aca="false">'Unit Economics'!$E$58*Assumptions!$C$171*AF97</f>
        <v>0</v>
      </c>
      <c r="AG103" s="15" t="n">
        <f aca="false">'Unit Economics'!$E$58*Assumptions!$C$171*AG97</f>
        <v>0</v>
      </c>
      <c r="AH103" s="15" t="n">
        <f aca="false">'Unit Economics'!$E$58*Assumptions!$C$171*AH97</f>
        <v>0</v>
      </c>
      <c r="AI103" s="15" t="n">
        <f aca="false">'Unit Economics'!$E$58*Assumptions!$C$171*AI97</f>
        <v>0</v>
      </c>
      <c r="AJ103" s="15" t="n">
        <f aca="false">'Unit Economics'!$E$58*Assumptions!$C$171*AJ97</f>
        <v>0</v>
      </c>
      <c r="AK103" s="15" t="n">
        <f aca="false">'Unit Economics'!$E$58*Assumptions!$C$171*AK97</f>
        <v>0</v>
      </c>
      <c r="AL103" s="15" t="n">
        <f aca="false">'Unit Economics'!$E$58*Assumptions!$C$171*AL97</f>
        <v>0</v>
      </c>
    </row>
    <row r="104" customFormat="false" ht="15" hidden="false" customHeight="false" outlineLevel="0" collapsed="false">
      <c r="A104" s="7" t="s">
        <v>763</v>
      </c>
      <c r="B104" s="9" t="s">
        <v>101</v>
      </c>
      <c r="C104" s="8" t="n">
        <f aca="false">C102*'Unit Economics'!$E$58</f>
        <v>-0</v>
      </c>
      <c r="D104" s="8" t="n">
        <f aca="false">D102*'Unit Economics'!$E$58</f>
        <v>-0</v>
      </c>
      <c r="E104" s="8" t="n">
        <f aca="false">E102*'Unit Economics'!$E$58</f>
        <v>-0</v>
      </c>
      <c r="F104" s="8" t="n">
        <f aca="false">F102*'Unit Economics'!$E$58</f>
        <v>-0</v>
      </c>
      <c r="G104" s="8" t="n">
        <f aca="false">G102*'Unit Economics'!$E$58</f>
        <v>-0</v>
      </c>
      <c r="H104" s="8" t="n">
        <f aca="false">H102*'Unit Economics'!$E$58</f>
        <v>-0</v>
      </c>
      <c r="I104" s="8" t="n">
        <f aca="false">I102*'Unit Economics'!$E$58</f>
        <v>-0</v>
      </c>
      <c r="J104" s="8" t="n">
        <f aca="false">J102*'Unit Economics'!$E$58</f>
        <v>-0</v>
      </c>
      <c r="K104" s="8" t="n">
        <f aca="false">K102*'Unit Economics'!$E$58</f>
        <v>-0</v>
      </c>
      <c r="L104" s="8" t="n">
        <f aca="false">L102*'Unit Economics'!$E$58</f>
        <v>-0</v>
      </c>
      <c r="M104" s="8" t="n">
        <f aca="false">M102*'Unit Economics'!$E$58</f>
        <v>-0</v>
      </c>
      <c r="N104" s="8" t="n">
        <f aca="false">N102*'Unit Economics'!$E$58</f>
        <v>-0</v>
      </c>
      <c r="O104" s="8" t="n">
        <f aca="false">O102*'Unit Economics'!$E$58</f>
        <v>-0</v>
      </c>
      <c r="P104" s="8" t="n">
        <f aca="false">P102*'Unit Economics'!$E$58</f>
        <v>-0</v>
      </c>
      <c r="Q104" s="8" t="n">
        <f aca="false">Q102*'Unit Economics'!$E$58</f>
        <v>-0</v>
      </c>
      <c r="R104" s="8" t="n">
        <f aca="false">R102*'Unit Economics'!$E$58</f>
        <v>-0</v>
      </c>
      <c r="S104" s="8" t="n">
        <f aca="false">S102*'Unit Economics'!$E$58</f>
        <v>-0</v>
      </c>
      <c r="T104" s="8" t="n">
        <f aca="false">T102*'Unit Economics'!$E$58</f>
        <v>-0</v>
      </c>
      <c r="U104" s="8" t="n">
        <f aca="false">U102*'Unit Economics'!$E$58</f>
        <v>-0</v>
      </c>
      <c r="V104" s="8" t="n">
        <f aca="false">V102*'Unit Economics'!$E$58</f>
        <v>-0</v>
      </c>
      <c r="W104" s="8" t="n">
        <f aca="false">W102*'Unit Economics'!$E$58</f>
        <v>-0</v>
      </c>
      <c r="X104" s="8" t="n">
        <f aca="false">X102*'Unit Economics'!$E$58</f>
        <v>-0</v>
      </c>
      <c r="Y104" s="8" t="n">
        <f aca="false">Y102*'Unit Economics'!$E$58</f>
        <v>-0</v>
      </c>
      <c r="Z104" s="8" t="n">
        <f aca="false">Z102*'Unit Economics'!$E$58</f>
        <v>0</v>
      </c>
      <c r="AA104" s="8" t="n">
        <f aca="false">AA102*'Unit Economics'!$E$58</f>
        <v>0</v>
      </c>
      <c r="AB104" s="8" t="n">
        <f aca="false">AB102*'Unit Economics'!$E$58</f>
        <v>0</v>
      </c>
      <c r="AC104" s="8" t="n">
        <f aca="false">AC102*'Unit Economics'!$E$58</f>
        <v>0</v>
      </c>
      <c r="AD104" s="8" t="n">
        <f aca="false">AD102*'Unit Economics'!$E$58</f>
        <v>0</v>
      </c>
      <c r="AE104" s="8" t="n">
        <f aca="false">AE102*'Unit Economics'!$E$58</f>
        <v>0</v>
      </c>
      <c r="AF104" s="8" t="n">
        <f aca="false">AF102*'Unit Economics'!$E$58</f>
        <v>0</v>
      </c>
      <c r="AG104" s="8" t="n">
        <f aca="false">AG102*'Unit Economics'!$E$58</f>
        <v>0</v>
      </c>
      <c r="AH104" s="8" t="n">
        <f aca="false">AH102*'Unit Economics'!$E$58</f>
        <v>0</v>
      </c>
      <c r="AI104" s="8" t="n">
        <f aca="false">AI102*'Unit Economics'!$E$58</f>
        <v>0</v>
      </c>
      <c r="AJ104" s="8" t="n">
        <f aca="false">AJ102*'Unit Economics'!$E$58</f>
        <v>0</v>
      </c>
      <c r="AK104" s="8" t="n">
        <f aca="false">AK102*'Unit Economics'!$E$58</f>
        <v>0</v>
      </c>
      <c r="AL104" s="8" t="n">
        <f aca="false">AL102*'Unit Economics'!$E$58</f>
        <v>0</v>
      </c>
      <c r="AM104" s="45" t="n">
        <f aca="false">SUMIF($C$6:$AL$6,1,C104:AL104)</f>
        <v>0</v>
      </c>
      <c r="AN104" s="45" t="n">
        <f aca="false">SUMIF($C$6:$AL$6,2,C104:AL104)</f>
        <v>0</v>
      </c>
      <c r="AO104" s="45" t="n">
        <f aca="false">SUMIF($C$6:$AL$6,3,C104:AL104)</f>
        <v>0</v>
      </c>
      <c r="AP104" s="45" t="n">
        <f aca="false">SUM(C104:AL104)</f>
        <v>0</v>
      </c>
    </row>
    <row r="105" customFormat="false" ht="15" hidden="false" customHeight="false" outlineLevel="0" collapsed="false">
      <c r="A105" s="7" t="s">
        <v>764</v>
      </c>
      <c r="B105" s="9" t="s">
        <v>101</v>
      </c>
      <c r="C105" s="8" t="n">
        <f aca="false">C102*'Unit Economics'!$F$58</f>
        <v>-0</v>
      </c>
      <c r="D105" s="8" t="n">
        <f aca="false">D102*'Unit Economics'!$F$58</f>
        <v>-0</v>
      </c>
      <c r="E105" s="8" t="n">
        <f aca="false">E102*'Unit Economics'!$F$58</f>
        <v>-0</v>
      </c>
      <c r="F105" s="8" t="n">
        <f aca="false">F102*'Unit Economics'!$F$58</f>
        <v>-0</v>
      </c>
      <c r="G105" s="8" t="n">
        <f aca="false">G102*'Unit Economics'!$F$58</f>
        <v>-0</v>
      </c>
      <c r="H105" s="8" t="n">
        <f aca="false">H102*'Unit Economics'!$F$58</f>
        <v>-0</v>
      </c>
      <c r="I105" s="8" t="n">
        <f aca="false">I102*'Unit Economics'!$F$58</f>
        <v>-0</v>
      </c>
      <c r="J105" s="8" t="n">
        <f aca="false">J102*'Unit Economics'!$F$58</f>
        <v>-0</v>
      </c>
      <c r="K105" s="8" t="n">
        <f aca="false">K102*'Unit Economics'!$F$58</f>
        <v>-0</v>
      </c>
      <c r="L105" s="8" t="n">
        <f aca="false">L102*'Unit Economics'!$F$58</f>
        <v>-0</v>
      </c>
      <c r="M105" s="8" t="n">
        <f aca="false">M102*'Unit Economics'!$F$58</f>
        <v>-0</v>
      </c>
      <c r="N105" s="8" t="n">
        <f aca="false">N102*'Unit Economics'!$F$58</f>
        <v>-0</v>
      </c>
      <c r="O105" s="8" t="n">
        <f aca="false">O102*'Unit Economics'!$F$58</f>
        <v>-0</v>
      </c>
      <c r="P105" s="8" t="n">
        <f aca="false">P102*'Unit Economics'!$F$58</f>
        <v>-0</v>
      </c>
      <c r="Q105" s="8" t="n">
        <f aca="false">Q102*'Unit Economics'!$F$58</f>
        <v>-0</v>
      </c>
      <c r="R105" s="8" t="n">
        <f aca="false">R102*'Unit Economics'!$F$58</f>
        <v>-0</v>
      </c>
      <c r="S105" s="8" t="n">
        <f aca="false">S102*'Unit Economics'!$F$58</f>
        <v>-0</v>
      </c>
      <c r="T105" s="8" t="n">
        <f aca="false">T102*'Unit Economics'!$F$58</f>
        <v>-0</v>
      </c>
      <c r="U105" s="8" t="n">
        <f aca="false">U102*'Unit Economics'!$F$58</f>
        <v>-0</v>
      </c>
      <c r="V105" s="8" t="n">
        <f aca="false">V102*'Unit Economics'!$F$58</f>
        <v>-0</v>
      </c>
      <c r="W105" s="8" t="n">
        <f aca="false">W102*'Unit Economics'!$F$58</f>
        <v>-0</v>
      </c>
      <c r="X105" s="8" t="n">
        <f aca="false">X102*'Unit Economics'!$F$58</f>
        <v>-0</v>
      </c>
      <c r="Y105" s="8" t="n">
        <f aca="false">Y102*'Unit Economics'!$F$58</f>
        <v>-0</v>
      </c>
      <c r="Z105" s="8" t="n">
        <f aca="false">Z102*'Unit Economics'!$F$58</f>
        <v>0</v>
      </c>
      <c r="AA105" s="8" t="n">
        <f aca="false">AA102*'Unit Economics'!$F$58</f>
        <v>0</v>
      </c>
      <c r="AB105" s="8" t="n">
        <f aca="false">AB102*'Unit Economics'!$F$58</f>
        <v>0</v>
      </c>
      <c r="AC105" s="8" t="n">
        <f aca="false">AC102*'Unit Economics'!$F$58</f>
        <v>0</v>
      </c>
      <c r="AD105" s="8" t="n">
        <f aca="false">AD102*'Unit Economics'!$F$58</f>
        <v>0</v>
      </c>
      <c r="AE105" s="8" t="n">
        <f aca="false">AE102*'Unit Economics'!$F$58</f>
        <v>0</v>
      </c>
      <c r="AF105" s="8" t="n">
        <f aca="false">AF102*'Unit Economics'!$F$58</f>
        <v>0</v>
      </c>
      <c r="AG105" s="8" t="n">
        <f aca="false">AG102*'Unit Economics'!$F$58</f>
        <v>0</v>
      </c>
      <c r="AH105" s="8" t="n">
        <f aca="false">AH102*'Unit Economics'!$F$58</f>
        <v>0</v>
      </c>
      <c r="AI105" s="8" t="n">
        <f aca="false">AI102*'Unit Economics'!$F$58</f>
        <v>0</v>
      </c>
      <c r="AJ105" s="8" t="n">
        <f aca="false">AJ102*'Unit Economics'!$F$58</f>
        <v>0</v>
      </c>
      <c r="AK105" s="8" t="n">
        <f aca="false">AK102*'Unit Economics'!$F$58</f>
        <v>0</v>
      </c>
      <c r="AL105" s="8" t="n">
        <f aca="false">AL102*'Unit Economics'!$F$58</f>
        <v>0</v>
      </c>
      <c r="AM105" s="45" t="n">
        <f aca="false">SUMIF($C$6:$AL$6,1,C105:AL105)</f>
        <v>0</v>
      </c>
      <c r="AN105" s="45" t="n">
        <f aca="false">SUMIF($C$6:$AL$6,2,C105:AL105)</f>
        <v>0</v>
      </c>
      <c r="AO105" s="45" t="n">
        <f aca="false">SUMIF($C$6:$AL$6,3,C105:AL105)</f>
        <v>0</v>
      </c>
      <c r="AP105" s="45" t="n">
        <f aca="false">SUM(C105:AL105)</f>
        <v>0</v>
      </c>
    </row>
    <row r="106" customFormat="false" ht="15" hidden="false" customHeight="false" outlineLevel="0" collapsed="false">
      <c r="A106" s="5" t="s">
        <v>776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customFormat="false" ht="15" hidden="false" customHeight="false" outlineLevel="0" collapsed="false">
      <c r="A107" s="7" t="s">
        <v>777</v>
      </c>
      <c r="B107" s="9" t="s">
        <v>771</v>
      </c>
      <c r="C107" s="14" t="n">
        <f aca="false">C19*Assumptions!$C$174+(C21+C31+C41+C51+C61+C81)*Assumptions!$C$175</f>
        <v>5.81083333333333</v>
      </c>
      <c r="D107" s="14" t="n">
        <f aca="false">D19*Assumptions!$C$174+(D21+D31+D41+D51+D61+D81)*Assumptions!$C$175</f>
        <v>8.9466</v>
      </c>
      <c r="E107" s="14" t="n">
        <f aca="false">E19*Assumptions!$C$174+(E21+E31+E41+E51+E61+E81)*Assumptions!$C$175</f>
        <v>10.473264</v>
      </c>
      <c r="F107" s="14" t="n">
        <f aca="false">F19*Assumptions!$C$174+(F21+F31+F41+F51+F61+F81)*Assumptions!$C$175</f>
        <v>10.8635723066667</v>
      </c>
      <c r="G107" s="14" t="n">
        <f aca="false">G19*Assumptions!$C$174+(G21+G31+G41+G51+G61+G81)*Assumptions!$C$175</f>
        <v>8.803916506368</v>
      </c>
      <c r="H107" s="14" t="n">
        <f aca="false">H19*Assumptions!$C$174+(H21+H31+H41+H51+H61+H81)*Assumptions!$C$175</f>
        <v>10.9796658431531</v>
      </c>
      <c r="I107" s="14" t="n">
        <f aca="false">I19*Assumptions!$C$174+(I21+I31+I41+I51+I61+I81)*Assumptions!$C$175</f>
        <v>12.7257827019221</v>
      </c>
      <c r="J107" s="14" t="n">
        <f aca="false">J19*Assumptions!$C$174+(J21+J31+J41+J51+J61+J81)*Assumptions!$C$175</f>
        <v>12.4883604873864</v>
      </c>
      <c r="K107" s="14" t="n">
        <f aca="false">K19*Assumptions!$C$174+(K21+K31+K41+K51+K61+K81)*Assumptions!$C$175</f>
        <v>14.2102535537875</v>
      </c>
      <c r="L107" s="14" t="n">
        <f aca="false">L19*Assumptions!$C$174+(L21+L31+L41+L51+L61+L81)*Assumptions!$C$175</f>
        <v>14.5793996616247</v>
      </c>
      <c r="M107" s="14" t="n">
        <f aca="false">M19*Assumptions!$C$174+(M21+M31+M41+M51+M61+M81)*Assumptions!$C$175</f>
        <v>14.0456624877327</v>
      </c>
      <c r="N107" s="14" t="n">
        <f aca="false">N19*Assumptions!$C$174+(N21+N31+N41+N51+N61+N81)*Assumptions!$C$175</f>
        <v>15.1244804986443</v>
      </c>
      <c r="O107" s="14" t="n">
        <f aca="false">O19*Assumptions!$C$174+(O21+O31+O41+O51+O61+O81)*Assumptions!$C$175</f>
        <v>17.5447782221277</v>
      </c>
      <c r="P107" s="14" t="n">
        <f aca="false">P19*Assumptions!$C$174+(P21+P31+P41+P51+P61+P81)*Assumptions!$C$175</f>
        <v>24.9195184633891</v>
      </c>
      <c r="Q107" s="14" t="n">
        <f aca="false">Q19*Assumptions!$C$174+(Q21+Q31+Q41+Q51+Q61+Q81)*Assumptions!$C$175</f>
        <v>26.8603247484847</v>
      </c>
      <c r="R107" s="14" t="n">
        <f aca="false">R19*Assumptions!$C$174+(R21+R31+R41+R51+R61+R81)*Assumptions!$C$175</f>
        <v>25.8153361362696</v>
      </c>
      <c r="S107" s="14" t="n">
        <f aca="false">S19*Assumptions!$C$174+(S21+S31+S41+S51+S61+S81)*Assumptions!$C$175</f>
        <v>19.2934346632527</v>
      </c>
      <c r="T107" s="14" t="n">
        <f aca="false">T19*Assumptions!$C$174+(T21+T31+T41+T51+T61+T81)*Assumptions!$C$175</f>
        <v>22.2523149939923</v>
      </c>
      <c r="U107" s="14" t="n">
        <f aca="false">U19*Assumptions!$C$174+(U21+U31+U41+U51+U61+U81)*Assumptions!$C$175</f>
        <v>24.2538928765285</v>
      </c>
      <c r="V107" s="14" t="n">
        <f aca="false">V19*Assumptions!$C$174+(V21+V31+V41+V51+V61+V81)*Assumptions!$C$175</f>
        <v>22.7793549483497</v>
      </c>
      <c r="W107" s="14" t="n">
        <f aca="false">W19*Assumptions!$C$174+(W21+W31+W41+W51+W61+W81)*Assumptions!$C$175</f>
        <v>24.8915584150112</v>
      </c>
      <c r="X107" s="14" t="n">
        <f aca="false">X19*Assumptions!$C$174+(X21+X31+X41+X51+X61+X81)*Assumptions!$C$175</f>
        <v>24.5481338856077</v>
      </c>
      <c r="Y107" s="14" t="n">
        <f aca="false">Y19*Assumptions!$C$174+(Y21+Y31+Y41+Y51+Y61+Y81)*Assumptions!$C$175</f>
        <v>22.8015841900973</v>
      </c>
      <c r="Z107" s="14" t="n">
        <f aca="false">Z19*Assumptions!$C$174+(Z21+Z31+Z41+Z51+Z61+Z81)*Assumptions!$C$175</f>
        <v>23.6714344995503</v>
      </c>
      <c r="AA107" s="14" t="n">
        <f aca="false">AA19*Assumptions!$C$174+(AA21+AA31+AA41+AA51+AA61+AA81)*Assumptions!$C$175</f>
        <v>26.9439748590366</v>
      </c>
      <c r="AB107" s="14" t="n">
        <f aca="false">AB19*Assumptions!$C$174+(AB21+AB31+AB41+AB51+AB61+AB81)*Assumptions!$C$175</f>
        <v>37.5508137530324</v>
      </c>
      <c r="AC107" s="14" t="n">
        <f aca="false">AC19*Assumptions!$C$174+(AC21+AC31+AC41+AC51+AC61+AC81)*Assumptions!$C$175</f>
        <v>39.7148755842615</v>
      </c>
      <c r="AD107" s="14" t="n">
        <f aca="false">AD19*Assumptions!$C$174+(AD21+AD31+AD41+AD51+AD61+AD81)*Assumptions!$C$175</f>
        <v>37.4522873387189</v>
      </c>
      <c r="AE107" s="14" t="n">
        <f aca="false">AE19*Assumptions!$C$174+(AE21+AE31+AE41+AE51+AE61+AE81)*Assumptions!$C$175</f>
        <v>27.4640866230007</v>
      </c>
      <c r="AF107" s="14" t="n">
        <f aca="false">AF19*Assumptions!$C$174+(AF21+AF31+AF41+AF51+AF61+AF81)*Assumptions!$C$175</f>
        <v>31.0800960276897</v>
      </c>
      <c r="AG107" s="14" t="n">
        <f aca="false">AG19*Assumptions!$C$174+(AG21+AG31+AG41+AG51+AG61+AG81)*Assumptions!$C$175</f>
        <v>33.2381389708361</v>
      </c>
      <c r="AH107" s="14" t="n">
        <f aca="false">AH19*Assumptions!$C$174+(AH21+AH31+AH41+AH51+AH61+AH81)*Assumptions!$C$175</f>
        <v>30.6296027284293</v>
      </c>
      <c r="AI107" s="14" t="n">
        <f aca="false">AI19*Assumptions!$C$174+(AI21+AI31+AI41+AI51+AI61+AI81)*Assumptions!$C$175</f>
        <v>32.8392621416335</v>
      </c>
      <c r="AJ107" s="14" t="n">
        <f aca="false">AJ19*Assumptions!$C$174+(AJ21+AJ31+AJ41+AJ51+AJ61+AJ81)*Assumptions!$C$175</f>
        <v>31.7759003093124</v>
      </c>
      <c r="AK107" s="14" t="n">
        <f aca="false">AK19*Assumptions!$C$174+(AK21+AK31+AK41+AK51+AK61+AK81)*Assumptions!$C$175</f>
        <v>28.9587127769816</v>
      </c>
      <c r="AL107" s="14" t="n">
        <f aca="false">AL19*Assumptions!$C$174+(AL21+AL31+AL41+AL51+AL61+AL81)*Assumptions!$C$175</f>
        <v>29.4964999647931</v>
      </c>
      <c r="AM107" s="53" t="n">
        <f aca="false">SUMIF($C$6:$AL$6,1,C107:AL107)</f>
        <v>139.051791380619</v>
      </c>
      <c r="AN107" s="53" t="n">
        <f aca="false">SUMIF($C$6:$AL$6,2,C107:AL107)</f>
        <v>279.631666042661</v>
      </c>
      <c r="AO107" s="53" t="n">
        <f aca="false">SUMIF($C$6:$AL$6,3,C107:AL107)</f>
        <v>387.144251077726</v>
      </c>
      <c r="AP107" s="53" t="n">
        <f aca="false">SUM(C107:AL107)</f>
        <v>805.827708501005</v>
      </c>
    </row>
    <row r="108" customFormat="false" ht="15" hidden="false" customHeight="false" outlineLevel="0" collapsed="false">
      <c r="A108" s="7" t="s">
        <v>778</v>
      </c>
      <c r="B108" s="9" t="s">
        <v>771</v>
      </c>
      <c r="C108" s="52" t="n">
        <f aca="false">0</f>
        <v>0</v>
      </c>
      <c r="D108" s="14" t="n">
        <f aca="false">C109*Assumptions!$C$176</f>
        <v>0.116216666666667</v>
      </c>
      <c r="E108" s="14" t="n">
        <f aca="false">D109*Assumptions!$C$176</f>
        <v>0.292824333333333</v>
      </c>
      <c r="F108" s="14" t="n">
        <f aca="false">E109*Assumptions!$C$176</f>
        <v>0.496433126666667</v>
      </c>
      <c r="G108" s="14" t="n">
        <f aca="false">F109*Assumptions!$C$176</f>
        <v>0.703775910266667</v>
      </c>
      <c r="H108" s="14" t="n">
        <f aca="false">G109*Assumptions!$C$176</f>
        <v>0.865778722188693</v>
      </c>
      <c r="I108" s="14" t="n">
        <f aca="false">H109*Assumptions!$C$176</f>
        <v>1.06805646460798</v>
      </c>
      <c r="J108" s="14" t="n">
        <f aca="false">I109*Assumptions!$C$176</f>
        <v>1.30121098935426</v>
      </c>
      <c r="K108" s="14" t="n">
        <f aca="false">J109*Assumptions!$C$176</f>
        <v>1.52495397931491</v>
      </c>
      <c r="L108" s="14" t="n">
        <f aca="false">K109*Assumptions!$C$176</f>
        <v>1.77865997080436</v>
      </c>
      <c r="M108" s="14" t="n">
        <f aca="false">L109*Assumptions!$C$176</f>
        <v>2.03467476462077</v>
      </c>
      <c r="N108" s="14" t="n">
        <f aca="false">M109*Assumptions!$C$176</f>
        <v>2.274894519083</v>
      </c>
      <c r="O108" s="14" t="n">
        <f aca="false">N109*Assumptions!$C$176</f>
        <v>2.53188623867423</v>
      </c>
      <c r="P108" s="14" t="n">
        <f aca="false">O109*Assumptions!$C$176</f>
        <v>2.8321440783433</v>
      </c>
      <c r="Q108" s="14" t="n">
        <f aca="false">P109*Assumptions!$C$176</f>
        <v>3.27389156604422</v>
      </c>
      <c r="R108" s="14" t="n">
        <f aca="false">Q109*Assumptions!$C$176</f>
        <v>3.74562022969302</v>
      </c>
      <c r="S108" s="14" t="n">
        <f aca="false">R109*Assumptions!$C$176</f>
        <v>4.18701454782456</v>
      </c>
      <c r="T108" s="14" t="n">
        <f aca="false">S109*Assumptions!$C$176</f>
        <v>4.48914295013312</v>
      </c>
      <c r="U108" s="14" t="n">
        <f aca="false">T109*Assumptions!$C$176</f>
        <v>4.8444063910103</v>
      </c>
      <c r="V108" s="14" t="n">
        <f aca="false">U109*Assumptions!$C$176</f>
        <v>5.23259612072067</v>
      </c>
      <c r="W108" s="14" t="n">
        <f aca="false">V109*Assumptions!$C$176</f>
        <v>5.58353129727325</v>
      </c>
      <c r="X108" s="14" t="n">
        <f aca="false">W109*Assumptions!$C$176</f>
        <v>5.96969183962801</v>
      </c>
      <c r="Y108" s="14" t="n">
        <f aca="false">X109*Assumptions!$C$176</f>
        <v>6.3412606805476</v>
      </c>
      <c r="Z108" s="14" t="n">
        <f aca="false">Y109*Assumptions!$C$176</f>
        <v>6.67046715073859</v>
      </c>
      <c r="AA108" s="14" t="n">
        <f aca="false">Z109*Assumptions!$C$176</f>
        <v>7.01048649771483</v>
      </c>
      <c r="AB108" s="14" t="n">
        <f aca="false">AA109*Assumptions!$C$176</f>
        <v>7.40915626494126</v>
      </c>
      <c r="AC108" s="14" t="n">
        <f aca="false">AB109*Assumptions!$C$176</f>
        <v>8.01198941470308</v>
      </c>
      <c r="AD108" s="14" t="n">
        <f aca="false">AC109*Assumptions!$C$176</f>
        <v>8.64604713809425</v>
      </c>
      <c r="AE108" s="14" t="n">
        <f aca="false">AD109*Assumptions!$C$176</f>
        <v>9.22217194210675</v>
      </c>
      <c r="AF108" s="14" t="n">
        <f aca="false">AE109*Assumptions!$C$176</f>
        <v>9.58701023572463</v>
      </c>
      <c r="AG108" s="14" t="n">
        <f aca="false">AF109*Assumptions!$C$176</f>
        <v>10.0168719515639</v>
      </c>
      <c r="AH108" s="14" t="n">
        <f aca="false">AG109*Assumptions!$C$176</f>
        <v>10.4812972919494</v>
      </c>
      <c r="AI108" s="14" t="n">
        <f aca="false">AH109*Assumptions!$C$176</f>
        <v>10.884263400679</v>
      </c>
      <c r="AJ108" s="14" t="n">
        <f aca="false">AI109*Assumptions!$C$176</f>
        <v>11.3233633754981</v>
      </c>
      <c r="AK108" s="14" t="n">
        <f aca="false">AJ109*Assumptions!$C$176</f>
        <v>11.7324141141743</v>
      </c>
      <c r="AL108" s="14" t="n">
        <f aca="false">AK109*Assumptions!$C$176</f>
        <v>12.0769400874305</v>
      </c>
      <c r="AM108" s="53" t="n">
        <f aca="false">SUMIF($C$6:$AL$6,1,C108:AL108)</f>
        <v>12.4574794469073</v>
      </c>
      <c r="AN108" s="53" t="n">
        <f aca="false">SUMIF($C$6:$AL$6,2,C108:AL108)</f>
        <v>55.7016530906309</v>
      </c>
      <c r="AO108" s="53" t="n">
        <f aca="false">SUMIF($C$6:$AL$6,3,C108:AL108)</f>
        <v>116.40201171458</v>
      </c>
      <c r="AP108" s="53" t="n">
        <f aca="false">SUM(C108:AL108)</f>
        <v>184.561144252118</v>
      </c>
    </row>
    <row r="109" customFormat="false" ht="15" hidden="false" customHeight="false" outlineLevel="0" collapsed="false">
      <c r="A109" s="7" t="s">
        <v>779</v>
      </c>
      <c r="B109" s="9" t="s">
        <v>771</v>
      </c>
      <c r="C109" s="52" t="n">
        <f aca="false">C107-C108</f>
        <v>5.81083333333333</v>
      </c>
      <c r="D109" s="52" t="n">
        <f aca="false">D107-D108+C109</f>
        <v>14.6412166666667</v>
      </c>
      <c r="E109" s="52" t="n">
        <f aca="false">E107-E108+D109</f>
        <v>24.8216563333333</v>
      </c>
      <c r="F109" s="52" t="n">
        <f aca="false">F107-F108+E109</f>
        <v>35.1887955133333</v>
      </c>
      <c r="G109" s="52" t="n">
        <f aca="false">G107-G108+F109</f>
        <v>43.2889361094347</v>
      </c>
      <c r="H109" s="52" t="n">
        <f aca="false">H107-H108+G109</f>
        <v>53.402823230399</v>
      </c>
      <c r="I109" s="52" t="n">
        <f aca="false">I107-I108+H109</f>
        <v>65.0605494677132</v>
      </c>
      <c r="J109" s="52" t="n">
        <f aca="false">J107-J108+I109</f>
        <v>76.2476989657453</v>
      </c>
      <c r="K109" s="52" t="n">
        <f aca="false">K107-K108+J109</f>
        <v>88.9329985402179</v>
      </c>
      <c r="L109" s="52" t="n">
        <f aca="false">L107-L108+K109</f>
        <v>101.733738231038</v>
      </c>
      <c r="M109" s="52" t="n">
        <f aca="false">M107-M108+L109</f>
        <v>113.74472595415</v>
      </c>
      <c r="N109" s="52" t="n">
        <f aca="false">N107-N108+M109</f>
        <v>126.594311933712</v>
      </c>
      <c r="O109" s="52" t="n">
        <f aca="false">O107-O108+N109</f>
        <v>141.607203917165</v>
      </c>
      <c r="P109" s="52" t="n">
        <f aca="false">P107-P108+O109</f>
        <v>163.694578302211</v>
      </c>
      <c r="Q109" s="52" t="n">
        <f aca="false">Q107-Q108+P109</f>
        <v>187.281011484651</v>
      </c>
      <c r="R109" s="52" t="n">
        <f aca="false">R107-R108+Q109</f>
        <v>209.350727391228</v>
      </c>
      <c r="S109" s="52" t="n">
        <f aca="false">S107-S108+R109</f>
        <v>224.457147506656</v>
      </c>
      <c r="T109" s="52" t="n">
        <f aca="false">T107-T108+S109</f>
        <v>242.220319550515</v>
      </c>
      <c r="U109" s="52" t="n">
        <f aca="false">U107-U108+T109</f>
        <v>261.629806036033</v>
      </c>
      <c r="V109" s="52" t="n">
        <f aca="false">V107-V108+U109</f>
        <v>279.176564863662</v>
      </c>
      <c r="W109" s="52" t="n">
        <f aca="false">W107-W108+V109</f>
        <v>298.4845919814</v>
      </c>
      <c r="X109" s="52" t="n">
        <f aca="false">X107-X108+W109</f>
        <v>317.06303402738</v>
      </c>
      <c r="Y109" s="52" t="n">
        <f aca="false">Y107-Y108+X109</f>
        <v>333.52335753693</v>
      </c>
      <c r="Z109" s="52" t="n">
        <f aca="false">Z107-Z108+Y109</f>
        <v>350.524324885741</v>
      </c>
      <c r="AA109" s="52" t="n">
        <f aca="false">AA107-AA108+Z109</f>
        <v>370.457813247063</v>
      </c>
      <c r="AB109" s="52" t="n">
        <f aca="false">AB107-AB108+AA109</f>
        <v>400.599470735154</v>
      </c>
      <c r="AC109" s="52" t="n">
        <f aca="false">AC107-AC108+AB109</f>
        <v>432.302356904713</v>
      </c>
      <c r="AD109" s="52" t="n">
        <f aca="false">AD107-AD108+AC109</f>
        <v>461.108597105337</v>
      </c>
      <c r="AE109" s="52" t="n">
        <f aca="false">AE107-AE108+AD109</f>
        <v>479.350511786231</v>
      </c>
      <c r="AF109" s="52" t="n">
        <f aca="false">AF107-AF108+AE109</f>
        <v>500.843597578196</v>
      </c>
      <c r="AG109" s="52" t="n">
        <f aca="false">AG107-AG108+AF109</f>
        <v>524.064864597469</v>
      </c>
      <c r="AH109" s="52" t="n">
        <f aca="false">AH107-AH108+AG109</f>
        <v>544.213170033948</v>
      </c>
      <c r="AI109" s="52" t="n">
        <f aca="false">AI107-AI108+AH109</f>
        <v>566.168168774903</v>
      </c>
      <c r="AJ109" s="52" t="n">
        <f aca="false">AJ107-AJ108+AI109</f>
        <v>586.620705708717</v>
      </c>
      <c r="AK109" s="52" t="n">
        <f aca="false">AK107-AK108+AJ109</f>
        <v>603.847004371524</v>
      </c>
      <c r="AL109" s="52" t="n">
        <f aca="false">AL107-AL108+AK109</f>
        <v>621.266564248887</v>
      </c>
      <c r="AM109" s="53" t="n">
        <f aca="false">N109</f>
        <v>126.594311933712</v>
      </c>
      <c r="AN109" s="53" t="n">
        <f aca="false">Z109</f>
        <v>350.524324885741</v>
      </c>
      <c r="AO109" s="53" t="n">
        <f aca="false">AL109</f>
        <v>621.266564248887</v>
      </c>
      <c r="AP109" s="53" t="n">
        <f aca="false">AL109</f>
        <v>621.266564248887</v>
      </c>
    </row>
    <row r="110" customFormat="false" ht="15" hidden="false" customHeight="false" outlineLevel="0" collapsed="false">
      <c r="A110" s="5" t="s">
        <v>780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customFormat="false" ht="15" hidden="false" customHeight="false" outlineLevel="0" collapsed="false">
      <c r="A111" s="7" t="s">
        <v>781</v>
      </c>
      <c r="B111" s="9" t="s">
        <v>760</v>
      </c>
      <c r="C111" s="52" t="n">
        <f aca="false">C21+C31+C41+C51+C61+C71+C81+C91+C101</f>
        <v>1.10833333333333</v>
      </c>
      <c r="D111" s="52" t="n">
        <f aca="false">D21+D31+D41+D51+D61+D71+D81+D91+D101</f>
        <v>5.226</v>
      </c>
      <c r="E111" s="52" t="n">
        <f aca="false">E21+E31+E41+E51+E61+E71+E81+E91+E101</f>
        <v>10.25424</v>
      </c>
      <c r="F111" s="52" t="n">
        <f aca="false">F21+F31+F41+F51+F61+F71+F81+F91+F101</f>
        <v>14.1624942450694</v>
      </c>
      <c r="G111" s="52" t="n">
        <f aca="false">G21+G31+G41+G51+G61+G71+G81+G91+G101</f>
        <v>14.583317862334</v>
      </c>
      <c r="H111" s="52" t="n">
        <f aca="false">H21+H31+H41+H51+H61+H71+H81+H91+H101</f>
        <v>21.6586182915854</v>
      </c>
      <c r="I111" s="52" t="n">
        <f aca="false">I21+I31+I41+I51+I61+I71+I81+I91+I101</f>
        <v>27.3221266500105</v>
      </c>
      <c r="J111" s="52" t="n">
        <f aca="false">J21+J31+J41+J51+J61+J71+J81+J91+J101</f>
        <v>27.2471278217601</v>
      </c>
      <c r="K111" s="52" t="n">
        <f aca="false">K21+K31+K41+K51+K61+K71+K81+K91+K101</f>
        <v>31.1229706199278</v>
      </c>
      <c r="L111" s="52" t="n">
        <f aca="false">L21+L31+L41+L51+L61+L71+L81+L91+L101</f>
        <v>31.9352192199071</v>
      </c>
      <c r="M111" s="52" t="n">
        <f aca="false">M21+M31+M41+M51+M61+M71+M81+M91+M101</f>
        <v>30.4379236939113</v>
      </c>
      <c r="N111" s="52" t="n">
        <f aca="false">N21+N31+N41+N51+N61+N71+N81+N91+N101</f>
        <v>32.4278991537192</v>
      </c>
      <c r="O111" s="52" t="n">
        <f aca="false">O21+O31+O41+O51+O61+O71+O81+O91+O101</f>
        <v>37.348487072217</v>
      </c>
      <c r="P111" s="52" t="n">
        <f aca="false">P21+P31+P41+P51+P61+P71+P81+P91+P101</f>
        <v>52.6710163402699</v>
      </c>
      <c r="Q111" s="52" t="n">
        <f aca="false">Q21+Q31+Q41+Q51+Q61+Q71+Q81+Q91+Q101</f>
        <v>56.3793168941447</v>
      </c>
      <c r="R111" s="52" t="n">
        <f aca="false">R21+R31+R41+R51+R61+R71+R81+R91+R101</f>
        <v>53.8108746619902</v>
      </c>
      <c r="S111" s="52" t="n">
        <f aca="false">S21+S31+S41+S51+S61+S71+S81+S91+S101</f>
        <v>39.9358132189409</v>
      </c>
      <c r="T111" s="52" t="n">
        <f aca="false">T21+T31+T41+T51+T61+T71+T81+T91+T101</f>
        <v>45.7315770530211</v>
      </c>
      <c r="U111" s="52" t="n">
        <f aca="false">U21+U31+U41+U51+U61+U71+U81+U91+U101</f>
        <v>49.4917553032394</v>
      </c>
      <c r="V111" s="52" t="n">
        <f aca="false">V21+V31+V41+V51+V61+V71+V81+V91+V101</f>
        <v>46.1545866182759</v>
      </c>
      <c r="W111" s="52" t="n">
        <f aca="false">W21+W31+W41+W51+W61+W71+W81+W91+W101</f>
        <v>50.0758011063514</v>
      </c>
      <c r="X111" s="52" t="n">
        <f aca="false">X21+X31+X41+X51+X61+X71+X81+X91+X101</f>
        <v>49.0353671251379</v>
      </c>
      <c r="Y111" s="52" t="n">
        <f aca="false">Y21+Y31+Y41+Y51+Y61+Y71+Y81+Y91+Y101</f>
        <v>45.2233387741109</v>
      </c>
      <c r="Z111" s="52" t="n">
        <f aca="false">Z21+Z31+Z41+Z51+Z61+Z71+Z81+Z91+Z101</f>
        <v>46.6133528753923</v>
      </c>
      <c r="AA111" s="52" t="n">
        <f aca="false">AA21+AA31+AA41+AA51+AA61+AA71+AA81+AA91+AA101</f>
        <v>52.7344315486285</v>
      </c>
      <c r="AB111" s="52" t="n">
        <f aca="false">AB21+AB31+AB41+AB51+AB61+AB71+AB81+AB91+AB101</f>
        <v>73.0499370144899</v>
      </c>
      <c r="AC111" s="52" t="n">
        <f aca="false">AC21+AC31+AC41+AC51+AC61+AC71+AC81+AC91+AC101</f>
        <v>76.8064123267254</v>
      </c>
      <c r="AD111" s="52" t="n">
        <f aca="false">AD21+AD31+AD41+AD51+AD61+AD71+AD81+AD91+AD101</f>
        <v>72.0069403542364</v>
      </c>
      <c r="AE111" s="52" t="n">
        <f aca="false">AE21+AE31+AE41+AE51+AE61+AE71+AE81+AE91+AE101</f>
        <v>52.491309184363</v>
      </c>
      <c r="AF111" s="52" t="n">
        <f aca="false">AF21+AF31+AF41+AF51+AF61+AF71+AF81+AF91+AF101</f>
        <v>59.0404820345725</v>
      </c>
      <c r="AG111" s="52" t="n">
        <f aca="false">AG21+AG31+AG41+AG51+AG61+AG71+AG81+AG91+AG101</f>
        <v>62.758418890165</v>
      </c>
      <c r="AH111" s="52" t="n">
        <f aca="false">AH21+AH31+AH41+AH51+AH61+AH71+AH81+AH91+AH101</f>
        <v>57.4850869616721</v>
      </c>
      <c r="AI111" s="52" t="n">
        <f aca="false">AI21+AI31+AI41+AI51+AI61+AI71+AI81+AI91+AI101</f>
        <v>61.2579103938764</v>
      </c>
      <c r="AJ111" s="52" t="n">
        <f aca="false">AJ21+AJ31+AJ41+AJ51+AJ61+AJ71+AJ81+AJ91+AJ101</f>
        <v>58.9159853109347</v>
      </c>
      <c r="AK111" s="52" t="n">
        <f aca="false">AK21+AK31+AK41+AK51+AK61+AK71+AK81+AK91+AK101</f>
        <v>53.3665755492795</v>
      </c>
      <c r="AL111" s="52" t="n">
        <f aca="false">AL21+AL31+AL41+AL51+AL61+AL71+AL81+AL91+AL101</f>
        <v>54.0247061848501</v>
      </c>
      <c r="AM111" s="53" t="n">
        <f aca="false">SUMIF($C$6:$AL$6,1,C111:AL111)</f>
        <v>247.486270891558</v>
      </c>
      <c r="AN111" s="53" t="n">
        <f aca="false">SUMIF($C$6:$AL$6,2,C111:AL111)</f>
        <v>572.471287043092</v>
      </c>
      <c r="AO111" s="53" t="n">
        <f aca="false">SUMIF($C$6:$AL$6,3,C111:AL111)</f>
        <v>733.938195753794</v>
      </c>
      <c r="AP111" s="53" t="n">
        <f aca="false">SUM(C111:AL111)</f>
        <v>1553.89575368844</v>
      </c>
    </row>
    <row r="112" customFormat="false" ht="15" hidden="false" customHeight="false" outlineLevel="0" collapsed="false">
      <c r="A112" s="7" t="s">
        <v>782</v>
      </c>
      <c r="B112" s="9" t="s">
        <v>342</v>
      </c>
      <c r="C112" s="52" t="n">
        <f aca="false">C22+C32+C42+C52+C62+C72+C82+C92+C102</f>
        <v>1.24291666666667</v>
      </c>
      <c r="D112" s="52" t="n">
        <f aca="false">D22+D32+D42+D52+D62+D72+D82+D92+D102</f>
        <v>5.6238</v>
      </c>
      <c r="E112" s="52" t="n">
        <f aca="false">E22+E32+E42+E52+E62+E72+E82+E92+E102</f>
        <v>10.923462</v>
      </c>
      <c r="F112" s="52" t="n">
        <f aca="false">F22+F32+F42+F52+F62+F72+F82+F92+F102</f>
        <v>14.9933792850694</v>
      </c>
      <c r="G112" s="52" t="n">
        <f aca="false">G22+G32+G42+G52+G62+G72+G82+G92+G102</f>
        <v>15.430198101502</v>
      </c>
      <c r="H112" s="52" t="n">
        <f aca="false">H22+H32+H42+H52+H62+H72+H82+H92+H102</f>
        <v>22.9128154170638</v>
      </c>
      <c r="I112" s="52" t="n">
        <f aca="false">I22+I32+I42+I52+I62+I72+I82+I92+I102</f>
        <v>28.7936954985376</v>
      </c>
      <c r="J112" s="52" t="n">
        <f aca="false">J22+J32+J42+J52+J62+J72+J82+J92+J102</f>
        <v>28.7302790492243</v>
      </c>
      <c r="K112" s="52" t="n">
        <f aca="false">K22+K32+K42+K52+K62+K72+K82+K92+K102</f>
        <v>32.8573054770435</v>
      </c>
      <c r="L112" s="52" t="n">
        <f aca="false">L22+L32+L42+L52+L62+L72+L82+L92+L102</f>
        <v>33.7496548007158</v>
      </c>
      <c r="M112" s="52" t="n">
        <f aca="false">M22+M32+M42+M52+M62+M72+M82+M92+M102</f>
        <v>32.1819340499262</v>
      </c>
      <c r="N112" s="52" t="n">
        <f aca="false">N22+N32+N42+N52+N62+N72+N82+N92+N102</f>
        <v>34.3017506477239</v>
      </c>
      <c r="O112" s="52" t="n">
        <f aca="false">O22+O32+O42+O52+O62+O72+O82+O92+O102</f>
        <v>39.5120780310562</v>
      </c>
      <c r="P112" s="52" t="n">
        <f aca="false">P22+P32+P42+P52+P62+P72+P82+P92+P102</f>
        <v>55.7298074709283</v>
      </c>
      <c r="Q112" s="52" t="n">
        <f aca="false">Q22+Q32+Q42+Q52+Q62+Q72+Q82+Q92+Q102</f>
        <v>59.6611364271756</v>
      </c>
      <c r="R112" s="52" t="n">
        <f aca="false">R22+R32+R42+R52+R62+R72+R82+R92+R102</f>
        <v>56.9505509140056</v>
      </c>
      <c r="S112" s="52" t="n">
        <f aca="false">S22+S32+S42+S52+S62+S72+S82+S92+S102</f>
        <v>42.2715865397547</v>
      </c>
      <c r="T112" s="52" t="n">
        <f aca="false">T22+T32+T42+T52+T62+T72+T82+T92+T102</f>
        <v>48.4133428282753</v>
      </c>
      <c r="U112" s="52" t="n">
        <f aca="false">U22+U32+U42+U52+U62+U72+U82+U92+U102</f>
        <v>52.4015480869122</v>
      </c>
      <c r="V112" s="52" t="n">
        <f aca="false">V22+V32+V42+V52+V62+V72+V82+V92+V102</f>
        <v>48.8752040473692</v>
      </c>
      <c r="W112" s="52" t="n">
        <f aca="false">W22+W32+W42+W52+W62+W72+W82+W92+W102</f>
        <v>53.0354084300028</v>
      </c>
      <c r="X112" s="52" t="n">
        <f aca="false">X22+X32+X42+X52+X62+X72+X82+X92+X102</f>
        <v>51.9411754500216</v>
      </c>
      <c r="Y112" s="52" t="n">
        <f aca="false">Y22+Y32+Y42+Y52+Y62+Y72+Y82+Y92+Y102</f>
        <v>47.910480160281</v>
      </c>
      <c r="Z112" s="52" t="n">
        <f aca="false">Z22+Z32+Z42+Z52+Z62+Z72+Z82+Z92+Z102</f>
        <v>49.3907478537129</v>
      </c>
      <c r="AA112" s="52" t="n">
        <f aca="false">AA22+AA32+AA42+AA52+AA62+AA72+AA82+AA92+AA102</f>
        <v>55.8844619412953</v>
      </c>
      <c r="AB112" s="52" t="n">
        <f aca="false">AB22+AB32+AB42+AB52+AB62+AB72+AB82+AB92+AB102</f>
        <v>77.4243263353296</v>
      </c>
      <c r="AC112" s="52" t="n">
        <f aca="false">AC22+AC32+AC42+AC52+AC62+AC72+AC82+AC92+AC102</f>
        <v>81.4164164863216</v>
      </c>
      <c r="AD112" s="52" t="n">
        <f aca="false">AD22+AD32+AD42+AD52+AD62+AD72+AD82+AD92+AD102</f>
        <v>76.3388716515512</v>
      </c>
      <c r="AE112" s="52" t="n">
        <f aca="false">AE22+AE32+AE42+AE52+AE62+AE72+AE82+AE92+AE102</f>
        <v>55.6567091117078</v>
      </c>
      <c r="AF112" s="52" t="n">
        <f aca="false">AF22+AF32+AF42+AF52+AF62+AF72+AF82+AF92+AF102</f>
        <v>62.6100129282551</v>
      </c>
      <c r="AG112" s="52" t="n">
        <f aca="false">AG22+AG32+AG42+AG52+AG62+AG72+AG82+AG92+AG102</f>
        <v>66.5623798173737</v>
      </c>
      <c r="AH112" s="52" t="n">
        <f aca="false">AH22+AH32+AH42+AH52+AH62+AH72+AH82+AH92+AH102</f>
        <v>60.9782310076406</v>
      </c>
      <c r="AI112" s="52" t="n">
        <f aca="false">AI22+AI32+AI42+AI52+AI62+AI72+AI82+AI92+AI102</f>
        <v>64.9899785784699</v>
      </c>
      <c r="AJ112" s="52" t="n">
        <f aca="false">AJ22+AJ32+AJ42+AJ52+AJ62+AJ72+AJ82+AJ92+AJ102</f>
        <v>62.5146418087664</v>
      </c>
      <c r="AK112" s="52" t="n">
        <f aca="false">AK22+AK32+AK42+AK52+AK62+AK72+AK82+AK92+AK102</f>
        <v>56.6348120199804</v>
      </c>
      <c r="AL112" s="52" t="n">
        <f aca="false">AL22+AL32+AL42+AL52+AL62+AL72+AL82+AL92+AL102</f>
        <v>57.3421361830504</v>
      </c>
      <c r="AM112" s="53" t="n">
        <f aca="false">SUMIF($C$6:$AL$6,1,C112:AL112)</f>
        <v>261.741190993473</v>
      </c>
      <c r="AN112" s="53" t="n">
        <f aca="false">SUMIF($C$6:$AL$6,2,C112:AL112)</f>
        <v>606.093066239495</v>
      </c>
      <c r="AO112" s="53" t="n">
        <f aca="false">SUMIF($C$6:$AL$6,3,C112:AL112)</f>
        <v>778.352977869742</v>
      </c>
      <c r="AP112" s="53" t="n">
        <f aca="false">SUM(C112:AL112)</f>
        <v>1646.18723510271</v>
      </c>
    </row>
    <row r="113" customFormat="false" ht="15" hidden="false" customHeight="false" outlineLevel="0" collapsed="false">
      <c r="A113" s="7" t="s">
        <v>783</v>
      </c>
      <c r="B113" s="9" t="s">
        <v>760</v>
      </c>
      <c r="C113" s="52" t="n">
        <f aca="false">C111</f>
        <v>1.10833333333333</v>
      </c>
      <c r="D113" s="52" t="n">
        <f aca="false">D111+C113</f>
        <v>6.33433333333333</v>
      </c>
      <c r="E113" s="52" t="n">
        <f aca="false">E111+D113</f>
        <v>16.5885733333333</v>
      </c>
      <c r="F113" s="52" t="n">
        <f aca="false">F111+E113</f>
        <v>30.7510675784028</v>
      </c>
      <c r="G113" s="52" t="n">
        <f aca="false">G111+F113</f>
        <v>45.3343854407368</v>
      </c>
      <c r="H113" s="52" t="n">
        <f aca="false">H111+G113</f>
        <v>66.9930037323222</v>
      </c>
      <c r="I113" s="52" t="n">
        <f aca="false">I111+H113</f>
        <v>94.3151303823327</v>
      </c>
      <c r="J113" s="52" t="n">
        <f aca="false">J111+I113</f>
        <v>121.562258204093</v>
      </c>
      <c r="K113" s="52" t="n">
        <f aca="false">K111+J113</f>
        <v>152.685228824021</v>
      </c>
      <c r="L113" s="52" t="n">
        <f aca="false">L111+K113</f>
        <v>184.620448043928</v>
      </c>
      <c r="M113" s="52" t="n">
        <f aca="false">M111+L113</f>
        <v>215.058371737839</v>
      </c>
      <c r="N113" s="52" t="n">
        <f aca="false">N111+M113</f>
        <v>247.486270891558</v>
      </c>
      <c r="O113" s="52" t="n">
        <f aca="false">O111+N113</f>
        <v>284.834757963775</v>
      </c>
      <c r="P113" s="52" t="n">
        <f aca="false">P111+O113</f>
        <v>337.505774304045</v>
      </c>
      <c r="Q113" s="52" t="n">
        <f aca="false">Q111+P113</f>
        <v>393.88509119819</v>
      </c>
      <c r="R113" s="52" t="n">
        <f aca="false">R111+Q113</f>
        <v>447.69596586018</v>
      </c>
      <c r="S113" s="52" t="n">
        <f aca="false">S111+R113</f>
        <v>487.631779079121</v>
      </c>
      <c r="T113" s="52" t="n">
        <f aca="false">T111+S113</f>
        <v>533.363356132142</v>
      </c>
      <c r="U113" s="52" t="n">
        <f aca="false">U111+T113</f>
        <v>582.855111435381</v>
      </c>
      <c r="V113" s="52" t="n">
        <f aca="false">V111+U113</f>
        <v>629.009698053657</v>
      </c>
      <c r="W113" s="52" t="n">
        <f aca="false">W111+V113</f>
        <v>679.085499160009</v>
      </c>
      <c r="X113" s="52" t="n">
        <f aca="false">X111+W113</f>
        <v>728.120866285147</v>
      </c>
      <c r="Y113" s="52" t="n">
        <f aca="false">Y111+X113</f>
        <v>773.344205059258</v>
      </c>
      <c r="Z113" s="52" t="n">
        <f aca="false">Z111+Y113</f>
        <v>819.95755793465</v>
      </c>
      <c r="AA113" s="52" t="n">
        <f aca="false">AA111+Z113</f>
        <v>872.691989483278</v>
      </c>
      <c r="AB113" s="52" t="n">
        <f aca="false">AB111+AA113</f>
        <v>945.741926497768</v>
      </c>
      <c r="AC113" s="52" t="n">
        <f aca="false">AC111+AB113</f>
        <v>1022.54833882449</v>
      </c>
      <c r="AD113" s="52" t="n">
        <f aca="false">AD111+AC113</f>
        <v>1094.55527917873</v>
      </c>
      <c r="AE113" s="52" t="n">
        <f aca="false">AE111+AD113</f>
        <v>1147.04658836309</v>
      </c>
      <c r="AF113" s="52" t="n">
        <f aca="false">AF111+AE113</f>
        <v>1206.08707039767</v>
      </c>
      <c r="AG113" s="52" t="n">
        <f aca="false">AG111+AF113</f>
        <v>1268.84548928783</v>
      </c>
      <c r="AH113" s="52" t="n">
        <f aca="false">AH111+AG113</f>
        <v>1326.3305762495</v>
      </c>
      <c r="AI113" s="52" t="n">
        <f aca="false">AI111+AH113</f>
        <v>1387.58848664338</v>
      </c>
      <c r="AJ113" s="52" t="n">
        <f aca="false">AJ111+AI113</f>
        <v>1446.50447195431</v>
      </c>
      <c r="AK113" s="52" t="n">
        <f aca="false">AK111+AJ113</f>
        <v>1499.87104750359</v>
      </c>
      <c r="AL113" s="52" t="n">
        <f aca="false">AL111+AK113</f>
        <v>1553.89575368844</v>
      </c>
      <c r="AM113" s="53" t="n">
        <f aca="false">N113</f>
        <v>247.486270891558</v>
      </c>
      <c r="AN113" s="53" t="n">
        <f aca="false">Z113</f>
        <v>819.95755793465</v>
      </c>
      <c r="AO113" s="53" t="n">
        <f aca="false">AL113</f>
        <v>1553.89575368844</v>
      </c>
      <c r="AP113" s="53" t="n">
        <f aca="false">AL113</f>
        <v>1553.89575368844</v>
      </c>
    </row>
    <row r="114" customFormat="false" ht="15" hidden="false" customHeight="false" outlineLevel="0" collapsed="false">
      <c r="A114" s="7" t="s">
        <v>784</v>
      </c>
      <c r="B114" s="9" t="s">
        <v>342</v>
      </c>
      <c r="C114" s="52" t="n">
        <f aca="false">C112</f>
        <v>1.24291666666667</v>
      </c>
      <c r="D114" s="52" t="n">
        <f aca="false">D112+C114</f>
        <v>6.86671666666667</v>
      </c>
      <c r="E114" s="52" t="n">
        <f aca="false">E112+D114</f>
        <v>17.7901786666667</v>
      </c>
      <c r="F114" s="52" t="n">
        <f aca="false">F112+E114</f>
        <v>32.7835579517361</v>
      </c>
      <c r="G114" s="52" t="n">
        <f aca="false">G112+F114</f>
        <v>48.2137560532381</v>
      </c>
      <c r="H114" s="52" t="n">
        <f aca="false">H112+G114</f>
        <v>71.1265714703019</v>
      </c>
      <c r="I114" s="52" t="n">
        <f aca="false">I112+H114</f>
        <v>99.9202669688395</v>
      </c>
      <c r="J114" s="52" t="n">
        <f aca="false">J112+I114</f>
        <v>128.650546018064</v>
      </c>
      <c r="K114" s="52" t="n">
        <f aca="false">K112+J114</f>
        <v>161.507851495107</v>
      </c>
      <c r="L114" s="52" t="n">
        <f aca="false">L112+K114</f>
        <v>195.257506295823</v>
      </c>
      <c r="M114" s="52" t="n">
        <f aca="false">M112+L114</f>
        <v>227.439440345749</v>
      </c>
      <c r="N114" s="52" t="n">
        <f aca="false">N112+M114</f>
        <v>261.741190993473</v>
      </c>
      <c r="O114" s="52" t="n">
        <f aca="false">O112+N114</f>
        <v>301.253269024529</v>
      </c>
      <c r="P114" s="52" t="n">
        <f aca="false">P112+O114</f>
        <v>356.983076495458</v>
      </c>
      <c r="Q114" s="52" t="n">
        <f aca="false">Q112+P114</f>
        <v>416.644212922633</v>
      </c>
      <c r="R114" s="52" t="n">
        <f aca="false">R112+Q114</f>
        <v>473.594763836639</v>
      </c>
      <c r="S114" s="52" t="n">
        <f aca="false">S112+R114</f>
        <v>515.866350376394</v>
      </c>
      <c r="T114" s="52" t="n">
        <f aca="false">T112+S114</f>
        <v>564.279693204669</v>
      </c>
      <c r="U114" s="52" t="n">
        <f aca="false">U112+T114</f>
        <v>616.681241291581</v>
      </c>
      <c r="V114" s="52" t="n">
        <f aca="false">V112+U114</f>
        <v>665.55644533895</v>
      </c>
      <c r="W114" s="52" t="n">
        <f aca="false">W112+V114</f>
        <v>718.591853768953</v>
      </c>
      <c r="X114" s="52" t="n">
        <f aca="false">X112+W114</f>
        <v>770.533029218974</v>
      </c>
      <c r="Y114" s="52" t="n">
        <f aca="false">Y112+X114</f>
        <v>818.443509379255</v>
      </c>
      <c r="Z114" s="52" t="n">
        <f aca="false">Z112+Y114</f>
        <v>867.834257232968</v>
      </c>
      <c r="AA114" s="52" t="n">
        <f aca="false">AA112+Z114</f>
        <v>923.718719174264</v>
      </c>
      <c r="AB114" s="52" t="n">
        <f aca="false">AB112+AA114</f>
        <v>1001.14304550959</v>
      </c>
      <c r="AC114" s="52" t="n">
        <f aca="false">AC112+AB114</f>
        <v>1082.55946199591</v>
      </c>
      <c r="AD114" s="52" t="n">
        <f aca="false">AD112+AC114</f>
        <v>1158.89833364747</v>
      </c>
      <c r="AE114" s="52" t="n">
        <f aca="false">AE112+AD114</f>
        <v>1214.55504275917</v>
      </c>
      <c r="AF114" s="52" t="n">
        <f aca="false">AF112+AE114</f>
        <v>1277.16505568743</v>
      </c>
      <c r="AG114" s="52" t="n">
        <f aca="false">AG112+AF114</f>
        <v>1343.7274355048</v>
      </c>
      <c r="AH114" s="52" t="n">
        <f aca="false">AH112+AG114</f>
        <v>1404.70566651244</v>
      </c>
      <c r="AI114" s="52" t="n">
        <f aca="false">AI112+AH114</f>
        <v>1469.69564509091</v>
      </c>
      <c r="AJ114" s="52" t="n">
        <f aca="false">AJ112+AI114</f>
        <v>1532.21028689968</v>
      </c>
      <c r="AK114" s="52" t="n">
        <f aca="false">AK112+AJ114</f>
        <v>1588.84509891966</v>
      </c>
      <c r="AL114" s="52" t="n">
        <f aca="false">AL112+AK114</f>
        <v>1646.18723510271</v>
      </c>
      <c r="AM114" s="53" t="n">
        <f aca="false">N114</f>
        <v>261.741190993473</v>
      </c>
      <c r="AN114" s="53" t="n">
        <f aca="false">Z114</f>
        <v>867.834257232968</v>
      </c>
      <c r="AO114" s="53" t="n">
        <f aca="false">AL114</f>
        <v>1646.18723510271</v>
      </c>
      <c r="AP114" s="53" t="n">
        <f aca="false">AL114</f>
        <v>1646.18723510271</v>
      </c>
    </row>
    <row r="115" customFormat="false" ht="15" hidden="false" customHeight="false" outlineLevel="0" collapsed="false">
      <c r="A115" s="57" t="s">
        <v>785</v>
      </c>
      <c r="B115" s="58" t="s">
        <v>101</v>
      </c>
      <c r="C115" s="59" t="n">
        <f aca="false">C24+C34+C44+C54+C64+C74+C84+C94+C104</f>
        <v>11.0898619821429</v>
      </c>
      <c r="D115" s="59" t="n">
        <f aca="false">D24+D34+D44+D54+D64+D74+D84+D94+D104</f>
        <v>61.0347973114286</v>
      </c>
      <c r="E115" s="59" t="n">
        <f aca="false">E24+E34+E44+E54+E64+E74+E84+E94+E104</f>
        <v>125.355934015457</v>
      </c>
      <c r="F115" s="59" t="n">
        <f aca="false">F24+F34+F44+F54+F64+F74+F84+F94+F104</f>
        <v>176.680193127356</v>
      </c>
      <c r="G115" s="59" t="n">
        <f aca="false">G24+G34+G44+G54+G64+G74+G84+G94+G104</f>
        <v>183.796820784219</v>
      </c>
      <c r="H115" s="59" t="n">
        <f aca="false">H24+H34+H44+H54+H64+H74+H84+H94+H104</f>
        <v>274.35843636921</v>
      </c>
      <c r="I115" s="59" t="n">
        <f aca="false">I24+I34+I44+I54+I64+I74+I84+I94+I104</f>
        <v>351.988415040889</v>
      </c>
      <c r="J115" s="59" t="n">
        <f aca="false">J24+J34+J44+J54+J64+J74+J84+J94+J104</f>
        <v>352.703367665365</v>
      </c>
      <c r="K115" s="59" t="n">
        <f aca="false">K24+K34+K44+K54+K64+K74+K84+K94+K104</f>
        <v>402.539975340037</v>
      </c>
      <c r="L115" s="59" t="n">
        <f aca="false">L24+L34+L44+L54+L64+L74+L84+L94+L104</f>
        <v>412.782076999452</v>
      </c>
      <c r="M115" s="59" t="n">
        <f aca="false">M24+M34+M44+M54+M64+M74+M84+M94+M104</f>
        <v>392.584877639884</v>
      </c>
      <c r="N115" s="59" t="n">
        <f aca="false">N24+N34+N44+N54+N64+N74+N84+N94+N104</f>
        <v>417.318019921611</v>
      </c>
      <c r="O115" s="59" t="n">
        <f aca="false">O24+O34+O44+O54+O64+O74+O84+O94+O104</f>
        <v>480.497074257222</v>
      </c>
      <c r="P115" s="59" t="n">
        <f aca="false">P24+P34+P44+P54+P64+P74+P84+P94+P104</f>
        <v>677.461952371275</v>
      </c>
      <c r="Q115" s="59" t="n">
        <f aca="false">Q24+Q34+Q44+Q54+Q64+Q74+Q84+Q94+Q104</f>
        <v>725.160533797733</v>
      </c>
      <c r="R115" s="59" t="n">
        <f aca="false">R24+R34+R44+R54+R64+R74+R84+R94+R104</f>
        <v>692.134548788874</v>
      </c>
      <c r="S115" s="59" t="n">
        <f aca="false">S24+S34+S44+S54+S64+S74+S84+S94+S104</f>
        <v>513.623924043153</v>
      </c>
      <c r="T115" s="59" t="n">
        <f aca="false">T24+T34+T44+T54+T64+T74+T84+T94+T104</f>
        <v>587.945201019994</v>
      </c>
      <c r="U115" s="59" t="n">
        <f aca="false">U24+U34+U44+U54+U64+U74+U84+U94+U104</f>
        <v>636.092793074491</v>
      </c>
      <c r="V115" s="59" t="n">
        <f aca="false">V24+V34+V44+V54+V64+V74+V84+V94+V104</f>
        <v>593.035722966476</v>
      </c>
      <c r="W115" s="59" t="n">
        <f aca="false">W24+W34+W44+W54+W64+W74+W84+W94+W104</f>
        <v>643.180699861174</v>
      </c>
      <c r="X115" s="59" t="n">
        <f aca="false">X24+X34+X44+X54+X64+X74+X84+X94+X104</f>
        <v>629.602706370495</v>
      </c>
      <c r="Y115" s="59" t="n">
        <f aca="false">Y24+Y34+Y44+Y54+Y64+Y74+Y84+Y94+Y104</f>
        <v>580.430609757376</v>
      </c>
      <c r="Z115" s="59" t="n">
        <f aca="false">Z24+Z34+Z44+Z54+Z64+Z74+Z84+Z94+Z104</f>
        <v>597.985474728723</v>
      </c>
      <c r="AA115" s="59" t="n">
        <f aca="false">AA24+AA34+AA44+AA54+AA64+AA74+AA84+AA94+AA104</f>
        <v>676.532445927234</v>
      </c>
      <c r="AB115" s="59" t="n">
        <f aca="false">AB24+AB34+AB44+AB54+AB64+AB74+AB84+AB94+AB104</f>
        <v>937.258734971868</v>
      </c>
      <c r="AC115" s="59" t="n">
        <f aca="false">AC24+AC34+AC44+AC54+AC64+AC74+AC84+AC94+AC104</f>
        <v>985.8304705088</v>
      </c>
      <c r="AD115" s="59" t="n">
        <f aca="false">AD24+AD34+AD44+AD54+AD64+AD74+AD84+AD94+AD104</f>
        <v>924.599993306475</v>
      </c>
      <c r="AE115" s="59" t="n">
        <f aca="false">AE24+AE34+AE44+AE54+AE64+AE74+AE84+AE94+AE104</f>
        <v>674.213050464466</v>
      </c>
      <c r="AF115" s="59" t="n">
        <f aca="false">AF24+AF34+AF44+AF54+AF64+AF74+AF84+AF94+AF104</f>
        <v>758.325568163973</v>
      </c>
      <c r="AG115" s="59" t="n">
        <f aca="false">AG24+AG34+AG44+AG54+AG64+AG74+AG84+AG94+AG104</f>
        <v>806.132930844828</v>
      </c>
      <c r="AH115" s="59" t="n">
        <f aca="false">AH24+AH34+AH44+AH54+AH64+AH74+AH84+AH94+AH104</f>
        <v>738.46947461809</v>
      </c>
      <c r="AI115" s="59" t="n">
        <f aca="false">AI24+AI34+AI44+AI54+AI64+AI74+AI84+AI94+AI104</f>
        <v>786.937806932098</v>
      </c>
      <c r="AJ115" s="59" t="n">
        <f aca="false">AJ24+AJ34+AJ44+AJ54+AJ64+AJ74+AJ84+AJ94+AJ104</f>
        <v>756.880029180082</v>
      </c>
      <c r="AK115" s="59" t="n">
        <f aca="false">AK24+AK34+AK44+AK54+AK64+AK74+AK84+AK94+AK104</f>
        <v>685.576705534349</v>
      </c>
      <c r="AL115" s="59" t="n">
        <f aca="false">AL24+AL34+AL44+AL54+AL64+AL74+AL84+AL94+AL104</f>
        <v>693.954138823253</v>
      </c>
      <c r="AM115" s="60" t="n">
        <f aca="false">SUMIF($C$6:$AL$6,1,C115:AL115)</f>
        <v>3162.23277619705</v>
      </c>
      <c r="AN115" s="60" t="n">
        <f aca="false">SUMIF($C$6:$AL$6,2,C115:AL115)</f>
        <v>7357.15124103698</v>
      </c>
      <c r="AO115" s="60" t="n">
        <f aca="false">SUMIF($C$6:$AL$6,3,C115:AL115)</f>
        <v>9424.71134927551</v>
      </c>
      <c r="AP115" s="60" t="n">
        <f aca="false">SUM(C115:AL115)</f>
        <v>19944.0953665096</v>
      </c>
    </row>
    <row r="116" customFormat="false" ht="15" hidden="false" customHeight="false" outlineLevel="0" collapsed="false">
      <c r="A116" s="57" t="s">
        <v>786</v>
      </c>
      <c r="B116" s="58" t="s">
        <v>101</v>
      </c>
      <c r="C116" s="59" t="n">
        <f aca="false">C25+C35+C45+C55+C65+C75+C85+C95+C105</f>
        <v>9.43807352358929</v>
      </c>
      <c r="D116" s="59" t="n">
        <f aca="false">D25+D35+D45+D55+D65+D75+D85+D95+D105</f>
        <v>39.7568583728829</v>
      </c>
      <c r="E116" s="59" t="n">
        <f aca="false">E25+E35+E45+E55+E65+E75+E85+E95+E105</f>
        <v>73.8786086626883</v>
      </c>
      <c r="F116" s="59" t="n">
        <f aca="false">F25+F35+F45+F55+F65+F75+F85+F95+F105</f>
        <v>99.1444071427854</v>
      </c>
      <c r="G116" s="59" t="n">
        <f aca="false">G25+G35+G45+G55+G65+G75+G85+G95+G105</f>
        <v>100.665921551019</v>
      </c>
      <c r="H116" s="59" t="n">
        <f aca="false">H25+H35+H45+H55+H65+H75+H85+H95+H105</f>
        <v>148.496120360388</v>
      </c>
      <c r="I116" s="59" t="n">
        <f aca="false">I25+I35+I45+I55+I65+I75+I85+I95+I105</f>
        <v>183.818636410974</v>
      </c>
      <c r="J116" s="59" t="n">
        <f aca="false">J25+J35+J45+J55+J65+J75+J85+J95+J105</f>
        <v>181.828646297282</v>
      </c>
      <c r="K116" s="59" t="n">
        <f aca="false">K25+K35+K45+K55+K65+K75+K85+K95+K105</f>
        <v>208.276758010068</v>
      </c>
      <c r="L116" s="59" t="n">
        <f aca="false">L25+L35+L45+L55+L65+L75+L85+L95+L105</f>
        <v>213.882958792059</v>
      </c>
      <c r="M116" s="59" t="n">
        <f aca="false">M25+M35+M45+M55+M65+M75+M85+M95+M105</f>
        <v>204.71380352786</v>
      </c>
      <c r="N116" s="59" t="n">
        <f aca="false">N25+N35+N45+N55+N65+N75+N85+N95+N105</f>
        <v>218.964808947618</v>
      </c>
      <c r="O116" s="59" t="n">
        <f aca="false">O25+O35+O45+O55+O65+O75+O85+O95+O105</f>
        <v>252.745087609504</v>
      </c>
      <c r="P116" s="59" t="n">
        <f aca="false">P25+P35+P45+P55+P65+P75+P85+P95+P105</f>
        <v>357.263377963617</v>
      </c>
      <c r="Q116" s="59" t="n">
        <f aca="false">Q25+Q35+Q45+Q55+Q65+Q75+Q85+Q95+Q105</f>
        <v>383.50330591406</v>
      </c>
      <c r="R116" s="59" t="n">
        <f aca="false">R25+R35+R45+R55+R65+R75+R85+R95+R105</f>
        <v>367.076640349684</v>
      </c>
      <c r="S116" s="59" t="n">
        <f aca="false">S25+S35+S45+S55+S65+S75+S85+S95+S105</f>
        <v>273.140404188786</v>
      </c>
      <c r="T116" s="59" t="n">
        <f aca="false">T25+T35+T45+T55+T65+T75+T85+T95+T105</f>
        <v>313.403417210326</v>
      </c>
      <c r="U116" s="59" t="n">
        <f aca="false">U25+U35+U45+U55+U65+U75+U85+U95+U105</f>
        <v>339.893849543353</v>
      </c>
      <c r="V116" s="59" t="n">
        <f aca="false">V25+V35+V45+V55+V65+V75+V85+V95+V105</f>
        <v>317.664627459035</v>
      </c>
      <c r="W116" s="59" t="n">
        <f aca="false">W25+W35+W45+W55+W65+W75+W85+W95+W105</f>
        <v>345.332823576495</v>
      </c>
      <c r="X116" s="59" t="n">
        <f aca="false">X25+X35+X45+X55+X65+X75+X85+X95+X105</f>
        <v>338.843765183028</v>
      </c>
      <c r="Y116" s="59" t="n">
        <f aca="false">Y25+Y35+Y45+Y55+Y65+Y75+Y85+Y95+Y105</f>
        <v>313.100463131345</v>
      </c>
      <c r="Z116" s="59" t="n">
        <f aca="false">Z25+Z35+Z45+Z55+Z65+Z75+Z85+Z95+Z105</f>
        <v>323.280257483821</v>
      </c>
      <c r="AA116" s="59" t="n">
        <f aca="false">AA25+AA35+AA45+AA55+AA65+AA75+AA85+AA95+AA105</f>
        <v>366.27440927644</v>
      </c>
      <c r="AB116" s="59" t="n">
        <f aca="false">AB25+AB35+AB45+AB55+AB65+AB75+AB85+AB95+AB105</f>
        <v>508.210547880319</v>
      </c>
      <c r="AC116" s="59" t="n">
        <f aca="false">AC25+AC35+AC45+AC55+AC65+AC75+AC85+AC95+AC105</f>
        <v>535.533247274219</v>
      </c>
      <c r="AD116" s="59" t="n">
        <f aca="false">AD25+AD35+AD45+AD55+AD65+AD75+AD85+AD95+AD105</f>
        <v>503.210523552259</v>
      </c>
      <c r="AE116" s="59" t="n">
        <f aca="false">AE25+AE35+AE45+AE55+AE65+AE75+AE85+AE95+AE105</f>
        <v>367.584352320571</v>
      </c>
      <c r="AF116" s="59" t="n">
        <f aca="false">AF25+AF35+AF45+AF55+AF65+AF75+AF85+AF95+AF105</f>
        <v>414.033358924559</v>
      </c>
      <c r="AG116" s="59" t="n">
        <f aca="false">AG25+AG35+AG45+AG55+AG65+AG75+AG85+AG95+AG105</f>
        <v>440.802445202649</v>
      </c>
      <c r="AH116" s="59" t="n">
        <f aca="false">AH25+AH35+AH45+AH55+AH65+AH75+AH85+AH95+AH105</f>
        <v>404.431181780512</v>
      </c>
      <c r="AI116" s="59" t="n">
        <f aca="false">AI25+AI35+AI45+AI55+AI65+AI75+AI85+AI95+AI105</f>
        <v>431.602955477463</v>
      </c>
      <c r="AJ116" s="59" t="n">
        <f aca="false">AJ25+AJ35+AJ45+AJ55+AJ65+AJ75+AJ85+AJ95+AJ105</f>
        <v>415.739348940031</v>
      </c>
      <c r="AK116" s="59" t="n">
        <f aca="false">AK25+AK35+AK45+AK55+AK65+AK75+AK85+AK95+AK105</f>
        <v>377.118724696175</v>
      </c>
      <c r="AL116" s="59" t="n">
        <f aca="false">AL25+AL35+AL45+AL55+AL65+AL75+AL85+AL95+AL105</f>
        <v>382.242911287554</v>
      </c>
      <c r="AM116" s="60" t="n">
        <f aca="false">SUMIF($C$6:$AL$6,1,C116:AL116)</f>
        <v>1682.86560159921</v>
      </c>
      <c r="AN116" s="60" t="n">
        <f aca="false">SUMIF($C$6:$AL$6,2,C116:AL116)</f>
        <v>3925.24801961305</v>
      </c>
      <c r="AO116" s="60" t="n">
        <f aca="false">SUMIF($C$6:$AL$6,3,C116:AL116)</f>
        <v>5146.78400661275</v>
      </c>
      <c r="AP116" s="60" t="n">
        <f aca="false">SUM(C116:AL116)</f>
        <v>10754.897627825</v>
      </c>
    </row>
    <row r="117" customFormat="false" ht="15" hidden="false" customHeight="false" outlineLevel="0" collapsed="false">
      <c r="A117" s="7" t="s">
        <v>787</v>
      </c>
      <c r="B117" s="9" t="s">
        <v>96</v>
      </c>
      <c r="C117" s="37" t="n">
        <f aca="false">IF(C115=0,0,C116/C115)</f>
        <v>0.851054191547801</v>
      </c>
      <c r="D117" s="37" t="n">
        <f aca="false">IF(D115=0,0,D116/D115)</f>
        <v>0.651380198250261</v>
      </c>
      <c r="E117" s="37" t="n">
        <f aca="false">IF(E115=0,0,E116/E115)</f>
        <v>0.589350709584906</v>
      </c>
      <c r="F117" s="37" t="n">
        <f aca="false">IF(F115=0,0,F116/F115)</f>
        <v>0.561151792896894</v>
      </c>
      <c r="G117" s="37" t="n">
        <f aca="false">IF(G115=0,0,G116/G115)</f>
        <v>0.547702191591239</v>
      </c>
      <c r="H117" s="37" t="n">
        <f aca="false">IF(H115=0,0,H116/H115)</f>
        <v>0.541248602833387</v>
      </c>
      <c r="I117" s="37" t="n">
        <f aca="false">IF(I115=0,0,I116/I115)</f>
        <v>0.522229222770358</v>
      </c>
      <c r="J117" s="37" t="n">
        <f aca="false">IF(J115=0,0,J116/J115)</f>
        <v>0.515528523305157</v>
      </c>
      <c r="K117" s="37" t="n">
        <f aca="false">IF(K115=0,0,K116/K115)</f>
        <v>0.51740639630668</v>
      </c>
      <c r="L117" s="37" t="n">
        <f aca="false">IF(L115=0,0,L116/L115)</f>
        <v>0.518149819747003</v>
      </c>
      <c r="M117" s="37" t="n">
        <f aca="false">IF(M115=0,0,M116/M115)</f>
        <v>0.521451067495379</v>
      </c>
      <c r="N117" s="37" t="n">
        <f aca="false">IF(N115=0,0,N116/N115)</f>
        <v>0.524695312674848</v>
      </c>
      <c r="O117" s="37" t="n">
        <f aca="false">IF(O115=0,0,O116/O115)</f>
        <v>0.526007547496957</v>
      </c>
      <c r="P117" s="37" t="n">
        <f aca="false">IF(P115=0,0,P116/P115)</f>
        <v>0.527355634826593</v>
      </c>
      <c r="Q117" s="37" t="n">
        <f aca="false">IF(Q115=0,0,Q116/Q115)</f>
        <v>0.528852975362045</v>
      </c>
      <c r="R117" s="37" t="n">
        <f aca="false">IF(R115=0,0,R116/R115)</f>
        <v>0.530354453468636</v>
      </c>
      <c r="S117" s="37" t="n">
        <f aca="false">IF(S115=0,0,S116/S115)</f>
        <v>0.531790657332849</v>
      </c>
      <c r="T117" s="37" t="n">
        <f aca="false">IF(T115=0,0,T116/T115)</f>
        <v>0.533048686623548</v>
      </c>
      <c r="U117" s="37" t="n">
        <f aca="false">IF(U115=0,0,U116/U115)</f>
        <v>0.534346330038594</v>
      </c>
      <c r="V117" s="37" t="n">
        <f aca="false">IF(V115=0,0,V116/V115)</f>
        <v>0.535658502779592</v>
      </c>
      <c r="W117" s="37" t="n">
        <f aca="false">IF(W115=0,0,W116/W115)</f>
        <v>0.536914157484876</v>
      </c>
      <c r="X117" s="37" t="n">
        <f aca="false">IF(X115=0,0,X116/X115)</f>
        <v>0.538186640169289</v>
      </c>
      <c r="Y117" s="37" t="n">
        <f aca="false">IF(Y115=0,0,Y116/Y115)</f>
        <v>0.539427896923325</v>
      </c>
      <c r="Z117" s="37" t="n">
        <f aca="false">IF(Z115=0,0,Z116/Z115)</f>
        <v>0.540615568681627</v>
      </c>
      <c r="AA117" s="37" t="n">
        <f aca="false">IF(AA115=0,0,AA116/AA115)</f>
        <v>0.541399620197721</v>
      </c>
      <c r="AB117" s="37" t="n">
        <f aca="false">IF(AB115=0,0,AB116/AB115)</f>
        <v>0.542230793821914</v>
      </c>
      <c r="AC117" s="37" t="n">
        <f aca="false">IF(AC115=0,0,AC116/AC115)</f>
        <v>0.543230568839918</v>
      </c>
      <c r="AD117" s="37" t="n">
        <f aca="false">IF(AD115=0,0,AD116/AD115)</f>
        <v>0.544246730689149</v>
      </c>
      <c r="AE117" s="37" t="n">
        <f aca="false">IF(AE115=0,0,AE116/AE115)</f>
        <v>0.545205038774231</v>
      </c>
      <c r="AF117" s="37" t="n">
        <f aca="false">IF(AF115=0,0,AF116/AF115)</f>
        <v>0.545983646479177</v>
      </c>
      <c r="AG117" s="37" t="n">
        <f aca="false">IF(AG115=0,0,AG116/AG115)</f>
        <v>0.546811113076212</v>
      </c>
      <c r="AH117" s="37" t="n">
        <f aca="false">IF(AH115=0,0,AH116/AH115)</f>
        <v>0.54766133967781</v>
      </c>
      <c r="AI117" s="37" t="n">
        <f aca="false">IF(AI115=0,0,AI116/AI115)</f>
        <v>0.548458787562998</v>
      </c>
      <c r="AJ117" s="37" t="n">
        <f aca="false">IF(AJ115=0,0,AJ116/AJ115)</f>
        <v>0.549280378543474</v>
      </c>
      <c r="AK117" s="37" t="n">
        <f aca="false">IF(AK115=0,0,AK116/AK115)</f>
        <v>0.550075172700396</v>
      </c>
      <c r="AL117" s="37" t="n">
        <f aca="false">IF(AL115=0,0,AL116/AL115)</f>
        <v>0.550818692335675</v>
      </c>
    </row>
    <row r="118" customFormat="false" ht="15" hidden="false" customHeight="false" outlineLevel="0" collapsed="false">
      <c r="A118" s="7" t="s">
        <v>788</v>
      </c>
      <c r="B118" s="9" t="s">
        <v>101</v>
      </c>
      <c r="C118" s="8" t="n">
        <f aca="false">IF(C$4&gt;=Assumptions!$C$179,CHOOSE(C$6,Assumptions!$C$180,Assumptions!$C$181,Assumptions!$C$182),0)</f>
        <v>0</v>
      </c>
      <c r="D118" s="8" t="n">
        <f aca="false">IF(D$4&gt;=Assumptions!$C$179,CHOOSE(D$6,Assumptions!$C$180,Assumptions!$C$181,Assumptions!$C$182),0)</f>
        <v>0</v>
      </c>
      <c r="E118" s="8" t="n">
        <f aca="false">IF(E$4&gt;=Assumptions!$C$179,CHOOSE(E$6,Assumptions!$C$180,Assumptions!$C$181,Assumptions!$C$182),0)</f>
        <v>0</v>
      </c>
      <c r="F118" s="8" t="n">
        <f aca="false">IF(F$4&gt;=Assumptions!$C$179,CHOOSE(F$6,Assumptions!$C$180,Assumptions!$C$181,Assumptions!$C$182),0)</f>
        <v>0</v>
      </c>
      <c r="G118" s="8" t="n">
        <f aca="false">IF(G$4&gt;=Assumptions!$C$179,CHOOSE(G$6,Assumptions!$C$180,Assumptions!$C$181,Assumptions!$C$182),0)</f>
        <v>0</v>
      </c>
      <c r="H118" s="8" t="n">
        <f aca="false">IF(H$4&gt;=Assumptions!$C$179,CHOOSE(H$6,Assumptions!$C$180,Assumptions!$C$181,Assumptions!$C$182),0)</f>
        <v>0</v>
      </c>
      <c r="I118" s="8" t="n">
        <f aca="false">IF(I$4&gt;=Assumptions!$C$179,CHOOSE(I$6,Assumptions!$C$180,Assumptions!$C$181,Assumptions!$C$182),0)</f>
        <v>0</v>
      </c>
      <c r="J118" s="8" t="n">
        <f aca="false">IF(J$4&gt;=Assumptions!$C$179,CHOOSE(J$6,Assumptions!$C$180,Assumptions!$C$181,Assumptions!$C$182),0)</f>
        <v>0</v>
      </c>
      <c r="K118" s="8" t="n">
        <f aca="false">IF(K$4&gt;=Assumptions!$C$179,CHOOSE(K$6,Assumptions!$C$180,Assumptions!$C$181,Assumptions!$C$182),0)</f>
        <v>0</v>
      </c>
      <c r="L118" s="8" t="n">
        <f aca="false">IF(L$4&gt;=Assumptions!$C$179,CHOOSE(L$6,Assumptions!$C$180,Assumptions!$C$181,Assumptions!$C$182),0)</f>
        <v>0</v>
      </c>
      <c r="M118" s="8" t="n">
        <f aca="false">IF(M$4&gt;=Assumptions!$C$179,CHOOSE(M$6,Assumptions!$C$180,Assumptions!$C$181,Assumptions!$C$182),0)</f>
        <v>0</v>
      </c>
      <c r="N118" s="8" t="n">
        <f aca="false">IF(N$4&gt;=Assumptions!$C$179,CHOOSE(N$6,Assumptions!$C$180,Assumptions!$C$181,Assumptions!$C$182),0)</f>
        <v>0</v>
      </c>
      <c r="O118" s="8" t="n">
        <f aca="false">IF(O$4&gt;=Assumptions!$C$179,CHOOSE(O$6,Assumptions!$C$180,Assumptions!$C$181,Assumptions!$C$182),0)</f>
        <v>150</v>
      </c>
      <c r="P118" s="8" t="n">
        <f aca="false">IF(P$4&gt;=Assumptions!$C$179,CHOOSE(P$6,Assumptions!$C$180,Assumptions!$C$181,Assumptions!$C$182),0)</f>
        <v>150</v>
      </c>
      <c r="Q118" s="8" t="n">
        <f aca="false">IF(Q$4&gt;=Assumptions!$C$179,CHOOSE(Q$6,Assumptions!$C$180,Assumptions!$C$181,Assumptions!$C$182),0)</f>
        <v>150</v>
      </c>
      <c r="R118" s="8" t="n">
        <f aca="false">IF(R$4&gt;=Assumptions!$C$179,CHOOSE(R$6,Assumptions!$C$180,Assumptions!$C$181,Assumptions!$C$182),0)</f>
        <v>150</v>
      </c>
      <c r="S118" s="8" t="n">
        <f aca="false">IF(S$4&gt;=Assumptions!$C$179,CHOOSE(S$6,Assumptions!$C$180,Assumptions!$C$181,Assumptions!$C$182),0)</f>
        <v>150</v>
      </c>
      <c r="T118" s="8" t="n">
        <f aca="false">IF(T$4&gt;=Assumptions!$C$179,CHOOSE(T$6,Assumptions!$C$180,Assumptions!$C$181,Assumptions!$C$182),0)</f>
        <v>150</v>
      </c>
      <c r="U118" s="8" t="n">
        <f aca="false">IF(U$4&gt;=Assumptions!$C$179,CHOOSE(U$6,Assumptions!$C$180,Assumptions!$C$181,Assumptions!$C$182),0)</f>
        <v>150</v>
      </c>
      <c r="V118" s="8" t="n">
        <f aca="false">IF(V$4&gt;=Assumptions!$C$179,CHOOSE(V$6,Assumptions!$C$180,Assumptions!$C$181,Assumptions!$C$182),0)</f>
        <v>150</v>
      </c>
      <c r="W118" s="8" t="n">
        <f aca="false">IF(W$4&gt;=Assumptions!$C$179,CHOOSE(W$6,Assumptions!$C$180,Assumptions!$C$181,Assumptions!$C$182),0)</f>
        <v>150</v>
      </c>
      <c r="X118" s="8" t="n">
        <f aca="false">IF(X$4&gt;=Assumptions!$C$179,CHOOSE(X$6,Assumptions!$C$180,Assumptions!$C$181,Assumptions!$C$182),0)</f>
        <v>150</v>
      </c>
      <c r="Y118" s="8" t="n">
        <f aca="false">IF(Y$4&gt;=Assumptions!$C$179,CHOOSE(Y$6,Assumptions!$C$180,Assumptions!$C$181,Assumptions!$C$182),0)</f>
        <v>150</v>
      </c>
      <c r="Z118" s="8" t="n">
        <f aca="false">IF(Z$4&gt;=Assumptions!$C$179,CHOOSE(Z$6,Assumptions!$C$180,Assumptions!$C$181,Assumptions!$C$182),0)</f>
        <v>150</v>
      </c>
      <c r="AA118" s="8" t="n">
        <f aca="false">IF(AA$4&gt;=Assumptions!$C$179,CHOOSE(AA$6,Assumptions!$C$180,Assumptions!$C$181,Assumptions!$C$182),0)</f>
        <v>250</v>
      </c>
      <c r="AB118" s="8" t="n">
        <f aca="false">IF(AB$4&gt;=Assumptions!$C$179,CHOOSE(AB$6,Assumptions!$C$180,Assumptions!$C$181,Assumptions!$C$182),0)</f>
        <v>250</v>
      </c>
      <c r="AC118" s="8" t="n">
        <f aca="false">IF(AC$4&gt;=Assumptions!$C$179,CHOOSE(AC$6,Assumptions!$C$180,Assumptions!$C$181,Assumptions!$C$182),0)</f>
        <v>250</v>
      </c>
      <c r="AD118" s="8" t="n">
        <f aca="false">IF(AD$4&gt;=Assumptions!$C$179,CHOOSE(AD$6,Assumptions!$C$180,Assumptions!$C$181,Assumptions!$C$182),0)</f>
        <v>250</v>
      </c>
      <c r="AE118" s="8" t="n">
        <f aca="false">IF(AE$4&gt;=Assumptions!$C$179,CHOOSE(AE$6,Assumptions!$C$180,Assumptions!$C$181,Assumptions!$C$182),0)</f>
        <v>250</v>
      </c>
      <c r="AF118" s="8" t="n">
        <f aca="false">IF(AF$4&gt;=Assumptions!$C$179,CHOOSE(AF$6,Assumptions!$C$180,Assumptions!$C$181,Assumptions!$C$182),0)</f>
        <v>250</v>
      </c>
      <c r="AG118" s="8" t="n">
        <f aca="false">IF(AG$4&gt;=Assumptions!$C$179,CHOOSE(AG$6,Assumptions!$C$180,Assumptions!$C$181,Assumptions!$C$182),0)</f>
        <v>250</v>
      </c>
      <c r="AH118" s="8" t="n">
        <f aca="false">IF(AH$4&gt;=Assumptions!$C$179,CHOOSE(AH$6,Assumptions!$C$180,Assumptions!$C$181,Assumptions!$C$182),0)</f>
        <v>250</v>
      </c>
      <c r="AI118" s="8" t="n">
        <f aca="false">IF(AI$4&gt;=Assumptions!$C$179,CHOOSE(AI$6,Assumptions!$C$180,Assumptions!$C$181,Assumptions!$C$182),0)</f>
        <v>250</v>
      </c>
      <c r="AJ118" s="8" t="n">
        <f aca="false">IF(AJ$4&gt;=Assumptions!$C$179,CHOOSE(AJ$6,Assumptions!$C$180,Assumptions!$C$181,Assumptions!$C$182),0)</f>
        <v>250</v>
      </c>
      <c r="AK118" s="8" t="n">
        <f aca="false">IF(AK$4&gt;=Assumptions!$C$179,CHOOSE(AK$6,Assumptions!$C$180,Assumptions!$C$181,Assumptions!$C$182),0)</f>
        <v>250</v>
      </c>
      <c r="AL118" s="8" t="n">
        <f aca="false">IF(AL$4&gt;=Assumptions!$C$179,CHOOSE(AL$6,Assumptions!$C$180,Assumptions!$C$181,Assumptions!$C$182),0)</f>
        <v>250</v>
      </c>
      <c r="AM118" s="45" t="n">
        <f aca="false">SUMIF($C$6:$AL$6,1,C118:AL118)</f>
        <v>0</v>
      </c>
      <c r="AN118" s="45" t="n">
        <f aca="false">SUMIF($C$6:$AL$6,2,C118:AL118)</f>
        <v>1800</v>
      </c>
      <c r="AO118" s="45" t="n">
        <f aca="false">SUMIF($C$6:$AL$6,3,C118:AL118)</f>
        <v>3000</v>
      </c>
      <c r="AP118" s="45" t="n">
        <f aca="false">SUM(C118:AL118)</f>
        <v>4800</v>
      </c>
    </row>
    <row r="119" customFormat="false" ht="15" hidden="false" customHeight="false" outlineLevel="0" collapsed="false">
      <c r="A119" s="7" t="s">
        <v>789</v>
      </c>
      <c r="B119" s="9" t="s">
        <v>101</v>
      </c>
      <c r="C119" s="8" t="n">
        <f aca="false">'Monthly Operating Costs'!O$33</f>
        <v>1237.3185</v>
      </c>
      <c r="D119" s="8" t="n">
        <f aca="false">'Monthly Operating Costs'!P$33</f>
        <v>735.7185</v>
      </c>
      <c r="E119" s="8" t="n">
        <f aca="false">'Monthly Operating Costs'!Q$33</f>
        <v>814.3685</v>
      </c>
      <c r="F119" s="8" t="n">
        <f aca="false">'Monthly Operating Costs'!R$33</f>
        <v>1226.8685</v>
      </c>
      <c r="G119" s="8" t="n">
        <f aca="false">'Monthly Operating Costs'!S$33</f>
        <v>944.1685</v>
      </c>
      <c r="H119" s="8" t="n">
        <f aca="false">'Monthly Operating Costs'!T$33</f>
        <v>814.3685</v>
      </c>
      <c r="I119" s="8" t="n">
        <f aca="false">'Monthly Operating Costs'!U$33</f>
        <v>2244.3685</v>
      </c>
      <c r="J119" s="8" t="n">
        <f aca="false">'Monthly Operating Costs'!V$33</f>
        <v>814.3685</v>
      </c>
      <c r="K119" s="8" t="n">
        <f aca="false">'Monthly Operating Costs'!W$33</f>
        <v>814.3685</v>
      </c>
      <c r="L119" s="8" t="n">
        <f aca="false">'Monthly Operating Costs'!X$33</f>
        <v>814.3685</v>
      </c>
      <c r="M119" s="8" t="n">
        <f aca="false">'Monthly Operating Costs'!Y$33</f>
        <v>814.3685</v>
      </c>
      <c r="N119" s="8" t="n">
        <f aca="false">'Monthly Operating Costs'!Z$33</f>
        <v>814.3685</v>
      </c>
      <c r="O119" s="8" t="n">
        <f aca="false">'Monthly Operating Costs'!AA$33</f>
        <v>1667.4185</v>
      </c>
      <c r="P119" s="8" t="n">
        <f aca="false">'Monthly Operating Costs'!AB$33</f>
        <v>835.8185</v>
      </c>
      <c r="Q119" s="8" t="n">
        <f aca="false">'Monthly Operating Costs'!AC$33</f>
        <v>835.8185</v>
      </c>
      <c r="R119" s="8" t="n">
        <f aca="false">'Monthly Operating Costs'!AD$33</f>
        <v>1248.3185</v>
      </c>
      <c r="S119" s="8" t="n">
        <f aca="false">'Monthly Operating Costs'!AE$33</f>
        <v>965.6185</v>
      </c>
      <c r="T119" s="8" t="n">
        <f aca="false">'Monthly Operating Costs'!AF$33</f>
        <v>835.8185</v>
      </c>
      <c r="U119" s="8" t="n">
        <f aca="false">'Monthly Operating Costs'!AG$33</f>
        <v>2265.8185</v>
      </c>
      <c r="V119" s="8" t="n">
        <f aca="false">'Monthly Operating Costs'!AH$33</f>
        <v>835.8185</v>
      </c>
      <c r="W119" s="8" t="n">
        <f aca="false">'Monthly Operating Costs'!AI$33</f>
        <v>835.8185</v>
      </c>
      <c r="X119" s="8" t="n">
        <f aca="false">'Monthly Operating Costs'!AJ$33</f>
        <v>835.8185</v>
      </c>
      <c r="Y119" s="8" t="n">
        <f aca="false">'Monthly Operating Costs'!AK$33</f>
        <v>835.8185</v>
      </c>
      <c r="Z119" s="8" t="n">
        <f aca="false">'Monthly Operating Costs'!AL$33</f>
        <v>835.8185</v>
      </c>
      <c r="AA119" s="8" t="n">
        <f aca="false">'Monthly Operating Costs'!AM$33</f>
        <v>1667.4185</v>
      </c>
      <c r="AB119" s="8" t="n">
        <f aca="false">'Monthly Operating Costs'!AN$33</f>
        <v>835.8185</v>
      </c>
      <c r="AC119" s="8" t="n">
        <f aca="false">'Monthly Operating Costs'!AO$33</f>
        <v>835.8185</v>
      </c>
      <c r="AD119" s="8" t="n">
        <f aca="false">'Monthly Operating Costs'!AP$33</f>
        <v>1248.3185</v>
      </c>
      <c r="AE119" s="8" t="n">
        <f aca="false">'Monthly Operating Costs'!AQ$33</f>
        <v>965.6185</v>
      </c>
      <c r="AF119" s="8" t="n">
        <f aca="false">'Monthly Operating Costs'!AR$33</f>
        <v>835.8185</v>
      </c>
      <c r="AG119" s="8" t="n">
        <f aca="false">'Monthly Operating Costs'!AS$33</f>
        <v>2265.8185</v>
      </c>
      <c r="AH119" s="8" t="n">
        <f aca="false">'Monthly Operating Costs'!AT$33</f>
        <v>835.8185</v>
      </c>
      <c r="AI119" s="8" t="n">
        <f aca="false">'Monthly Operating Costs'!AU$33</f>
        <v>835.8185</v>
      </c>
      <c r="AJ119" s="8" t="n">
        <f aca="false">'Monthly Operating Costs'!AV$33</f>
        <v>835.8185</v>
      </c>
      <c r="AK119" s="8" t="n">
        <f aca="false">'Monthly Operating Costs'!AW$33</f>
        <v>835.8185</v>
      </c>
      <c r="AL119" s="8" t="n">
        <f aca="false">'Monthly Operating Costs'!AX$33</f>
        <v>835.8185</v>
      </c>
      <c r="AM119" s="45" t="n">
        <f aca="false">SUMIF($C$6:$AL$6,1,C119:AL119)</f>
        <v>12089.022</v>
      </c>
      <c r="AN119" s="45" t="n">
        <f aca="false">SUMIF($C$6:$AL$6,2,C119:AL119)</f>
        <v>12833.722</v>
      </c>
      <c r="AO119" s="45" t="n">
        <f aca="false">SUMIF($C$6:$AL$6,3,C119:AL119)</f>
        <v>12833.722</v>
      </c>
      <c r="AP119" s="45" t="n">
        <f aca="false">SUM(C119:AL119)</f>
        <v>37756.466</v>
      </c>
    </row>
    <row r="120" customFormat="false" ht="15" hidden="false" customHeight="false" outlineLevel="0" collapsed="false">
      <c r="A120" s="7" t="s">
        <v>790</v>
      </c>
      <c r="B120" s="9" t="s">
        <v>101</v>
      </c>
      <c r="C120" s="8" t="n">
        <f aca="false">IF(AND(Assumptions!$C$146=1,$B$11&gt;0,C$4&gt;=$B$11),Assumptions!$C$60+Assumptions!$C$61,0)+IF(C97=1,'Retail Readiness Costs'!$H$29,0)</f>
        <v>0</v>
      </c>
      <c r="D120" s="8" t="n">
        <f aca="false">IF(AND(Assumptions!$C$146=1,$B$11&gt;0,D$4&gt;=$B$11),Assumptions!$C$60+Assumptions!$C$61,0)+IF(D97=1,'Retail Readiness Costs'!$H$29,0)</f>
        <v>0</v>
      </c>
      <c r="E120" s="8" t="n">
        <f aca="false">IF(AND(Assumptions!$C$146=1,$B$11&gt;0,E$4&gt;=$B$11),Assumptions!$C$60+Assumptions!$C$61,0)+IF(E97=1,'Retail Readiness Costs'!$H$29,0)</f>
        <v>0</v>
      </c>
      <c r="F120" s="8" t="n">
        <f aca="false">IF(AND(Assumptions!$C$146=1,$B$11&gt;0,F$4&gt;=$B$11),Assumptions!$C$60+Assumptions!$C$61,0)+IF(F97=1,'Retail Readiness Costs'!$H$29,0)</f>
        <v>0</v>
      </c>
      <c r="G120" s="8" t="n">
        <f aca="false">IF(AND(Assumptions!$C$146=1,$B$11&gt;0,G$4&gt;=$B$11),Assumptions!$C$60+Assumptions!$C$61,0)+IF(G97=1,'Retail Readiness Costs'!$H$29,0)</f>
        <v>0</v>
      </c>
      <c r="H120" s="8" t="n">
        <f aca="false">IF(AND(Assumptions!$C$146=1,$B$11&gt;0,H$4&gt;=$B$11),Assumptions!$C$60+Assumptions!$C$61,0)+IF(H97=1,'Retail Readiness Costs'!$H$29,0)</f>
        <v>0</v>
      </c>
      <c r="I120" s="8" t="n">
        <f aca="false">IF(AND(Assumptions!$C$146=1,$B$11&gt;0,I$4&gt;=$B$11),Assumptions!$C$60+Assumptions!$C$61,0)+IF(I97=1,'Retail Readiness Costs'!$H$29,0)</f>
        <v>0</v>
      </c>
      <c r="J120" s="8" t="n">
        <f aca="false">IF(AND(Assumptions!$C$146=1,$B$11&gt;0,J$4&gt;=$B$11),Assumptions!$C$60+Assumptions!$C$61,0)+IF(J97=1,'Retail Readiness Costs'!$H$29,0)</f>
        <v>139.99</v>
      </c>
      <c r="K120" s="8" t="n">
        <f aca="false">IF(AND(Assumptions!$C$146=1,$B$11&gt;0,K$4&gt;=$B$11),Assumptions!$C$60+Assumptions!$C$61,0)+IF(K97=1,'Retail Readiness Costs'!$H$29,0)</f>
        <v>139.99</v>
      </c>
      <c r="L120" s="8" t="n">
        <f aca="false">IF(AND(Assumptions!$C$146=1,$B$11&gt;0,L$4&gt;=$B$11),Assumptions!$C$60+Assumptions!$C$61,0)+IF(L97=1,'Retail Readiness Costs'!$H$29,0)</f>
        <v>139.99</v>
      </c>
      <c r="M120" s="8" t="n">
        <f aca="false">IF(AND(Assumptions!$C$146=1,$B$11&gt;0,M$4&gt;=$B$11),Assumptions!$C$60+Assumptions!$C$61,0)+IF(M97=1,'Retail Readiness Costs'!$H$29,0)</f>
        <v>139.99</v>
      </c>
      <c r="N120" s="8" t="n">
        <f aca="false">IF(AND(Assumptions!$C$146=1,$B$11&gt;0,N$4&gt;=$B$11),Assumptions!$C$60+Assumptions!$C$61,0)+IF(N97=1,'Retail Readiness Costs'!$H$29,0)</f>
        <v>139.99</v>
      </c>
      <c r="O120" s="8" t="n">
        <f aca="false">IF(AND(Assumptions!$C$146=1,$B$11&gt;0,O$4&gt;=$B$11),Assumptions!$C$60+Assumptions!$C$61,0)+IF(O97=1,'Retail Readiness Costs'!$H$29,0)</f>
        <v>139.99</v>
      </c>
      <c r="P120" s="8" t="n">
        <f aca="false">IF(AND(Assumptions!$C$146=1,$B$11&gt;0,P$4&gt;=$B$11),Assumptions!$C$60+Assumptions!$C$61,0)+IF(P97=1,'Retail Readiness Costs'!$H$29,0)</f>
        <v>139.99</v>
      </c>
      <c r="Q120" s="8" t="n">
        <f aca="false">IF(AND(Assumptions!$C$146=1,$B$11&gt;0,Q$4&gt;=$B$11),Assumptions!$C$60+Assumptions!$C$61,0)+IF(Q97=1,'Retail Readiness Costs'!$H$29,0)</f>
        <v>139.99</v>
      </c>
      <c r="R120" s="8" t="n">
        <f aca="false">IF(AND(Assumptions!$C$146=1,$B$11&gt;0,R$4&gt;=$B$11),Assumptions!$C$60+Assumptions!$C$61,0)+IF(R97=1,'Retail Readiness Costs'!$H$29,0)</f>
        <v>139.99</v>
      </c>
      <c r="S120" s="8" t="n">
        <f aca="false">IF(AND(Assumptions!$C$146=1,$B$11&gt;0,S$4&gt;=$B$11),Assumptions!$C$60+Assumptions!$C$61,0)+IF(S97=1,'Retail Readiness Costs'!$H$29,0)</f>
        <v>139.99</v>
      </c>
      <c r="T120" s="8" t="n">
        <f aca="false">IF(AND(Assumptions!$C$146=1,$B$11&gt;0,T$4&gt;=$B$11),Assumptions!$C$60+Assumptions!$C$61,0)+IF(T97=1,'Retail Readiness Costs'!$H$29,0)</f>
        <v>139.99</v>
      </c>
      <c r="U120" s="8" t="n">
        <f aca="false">IF(AND(Assumptions!$C$146=1,$B$11&gt;0,U$4&gt;=$B$11),Assumptions!$C$60+Assumptions!$C$61,0)+IF(U97=1,'Retail Readiness Costs'!$H$29,0)</f>
        <v>139.99</v>
      </c>
      <c r="V120" s="8" t="n">
        <f aca="false">IF(AND(Assumptions!$C$146=1,$B$11&gt;0,V$4&gt;=$B$11),Assumptions!$C$60+Assumptions!$C$61,0)+IF(V97=1,'Retail Readiness Costs'!$H$29,0)</f>
        <v>139.99</v>
      </c>
      <c r="W120" s="8" t="n">
        <f aca="false">IF(AND(Assumptions!$C$146=1,$B$11&gt;0,W$4&gt;=$B$11),Assumptions!$C$60+Assumptions!$C$61,0)+IF(W97=1,'Retail Readiness Costs'!$H$29,0)</f>
        <v>139.99</v>
      </c>
      <c r="X120" s="8" t="n">
        <f aca="false">IF(AND(Assumptions!$C$146=1,$B$11&gt;0,X$4&gt;=$B$11),Assumptions!$C$60+Assumptions!$C$61,0)+IF(X97=1,'Retail Readiness Costs'!$H$29,0)</f>
        <v>139.99</v>
      </c>
      <c r="Y120" s="8" t="n">
        <f aca="false">IF(AND(Assumptions!$C$146=1,$B$11&gt;0,Y$4&gt;=$B$11),Assumptions!$C$60+Assumptions!$C$61,0)+IF(Y97=1,'Retail Readiness Costs'!$H$29,0)</f>
        <v>139.99</v>
      </c>
      <c r="Z120" s="8" t="n">
        <f aca="false">IF(AND(Assumptions!$C$146=1,$B$11&gt;0,Z$4&gt;=$B$11),Assumptions!$C$60+Assumptions!$C$61,0)+IF(Z97=1,'Retail Readiness Costs'!$H$29,0)</f>
        <v>139.99</v>
      </c>
      <c r="AA120" s="8" t="n">
        <f aca="false">IF(AND(Assumptions!$C$146=1,$B$11&gt;0,AA$4&gt;=$B$11),Assumptions!$C$60+Assumptions!$C$61,0)+IF(AA97=1,'Retail Readiness Costs'!$H$29,0)</f>
        <v>139.99</v>
      </c>
      <c r="AB120" s="8" t="n">
        <f aca="false">IF(AND(Assumptions!$C$146=1,$B$11&gt;0,AB$4&gt;=$B$11),Assumptions!$C$60+Assumptions!$C$61,0)+IF(AB97=1,'Retail Readiness Costs'!$H$29,0)</f>
        <v>139.99</v>
      </c>
      <c r="AC120" s="8" t="n">
        <f aca="false">IF(AND(Assumptions!$C$146=1,$B$11&gt;0,AC$4&gt;=$B$11),Assumptions!$C$60+Assumptions!$C$61,0)+IF(AC97=1,'Retail Readiness Costs'!$H$29,0)</f>
        <v>139.99</v>
      </c>
      <c r="AD120" s="8" t="n">
        <f aca="false">IF(AND(Assumptions!$C$146=1,$B$11&gt;0,AD$4&gt;=$B$11),Assumptions!$C$60+Assumptions!$C$61,0)+IF(AD97=1,'Retail Readiness Costs'!$H$29,0)</f>
        <v>139.99</v>
      </c>
      <c r="AE120" s="8" t="n">
        <f aca="false">IF(AND(Assumptions!$C$146=1,$B$11&gt;0,AE$4&gt;=$B$11),Assumptions!$C$60+Assumptions!$C$61,0)+IF(AE97=1,'Retail Readiness Costs'!$H$29,0)</f>
        <v>139.99</v>
      </c>
      <c r="AF120" s="8" t="n">
        <f aca="false">IF(AND(Assumptions!$C$146=1,$B$11&gt;0,AF$4&gt;=$B$11),Assumptions!$C$60+Assumptions!$C$61,0)+IF(AF97=1,'Retail Readiness Costs'!$H$29,0)</f>
        <v>139.99</v>
      </c>
      <c r="AG120" s="8" t="n">
        <f aca="false">IF(AND(Assumptions!$C$146=1,$B$11&gt;0,AG$4&gt;=$B$11),Assumptions!$C$60+Assumptions!$C$61,0)+IF(AG97=1,'Retail Readiness Costs'!$H$29,0)</f>
        <v>139.99</v>
      </c>
      <c r="AH120" s="8" t="n">
        <f aca="false">IF(AND(Assumptions!$C$146=1,$B$11&gt;0,AH$4&gt;=$B$11),Assumptions!$C$60+Assumptions!$C$61,0)+IF(AH97=1,'Retail Readiness Costs'!$H$29,0)</f>
        <v>139.99</v>
      </c>
      <c r="AI120" s="8" t="n">
        <f aca="false">IF(AND(Assumptions!$C$146=1,$B$11&gt;0,AI$4&gt;=$B$11),Assumptions!$C$60+Assumptions!$C$61,0)+IF(AI97=1,'Retail Readiness Costs'!$H$29,0)</f>
        <v>139.99</v>
      </c>
      <c r="AJ120" s="8" t="n">
        <f aca="false">IF(AND(Assumptions!$C$146=1,$B$11&gt;0,AJ$4&gt;=$B$11),Assumptions!$C$60+Assumptions!$C$61,0)+IF(AJ97=1,'Retail Readiness Costs'!$H$29,0)</f>
        <v>139.99</v>
      </c>
      <c r="AK120" s="8" t="n">
        <f aca="false">IF(AND(Assumptions!$C$146=1,$B$11&gt;0,AK$4&gt;=$B$11),Assumptions!$C$60+Assumptions!$C$61,0)+IF(AK97=1,'Retail Readiness Costs'!$H$29,0)</f>
        <v>139.99</v>
      </c>
      <c r="AL120" s="8" t="n">
        <f aca="false">IF(AND(Assumptions!$C$146=1,$B$11&gt;0,AL$4&gt;=$B$11),Assumptions!$C$60+Assumptions!$C$61,0)+IF(AL97=1,'Retail Readiness Costs'!$H$29,0)</f>
        <v>139.99</v>
      </c>
      <c r="AM120" s="45" t="n">
        <f aca="false">SUMIF($C$6:$AL$6,1,C120:AL120)</f>
        <v>699.95</v>
      </c>
      <c r="AN120" s="45" t="n">
        <f aca="false">SUMIF($C$6:$AL$6,2,C120:AL120)</f>
        <v>1679.88</v>
      </c>
      <c r="AO120" s="45" t="n">
        <f aca="false">SUMIF($C$6:$AL$6,3,C120:AL120)</f>
        <v>1679.88</v>
      </c>
      <c r="AP120" s="45" t="n">
        <f aca="false">SUM(C120:AL120)</f>
        <v>4059.71</v>
      </c>
    </row>
    <row r="121" customFormat="false" ht="15" hidden="false" customHeight="false" outlineLevel="0" collapsed="false">
      <c r="A121" s="57" t="s">
        <v>791</v>
      </c>
      <c r="B121" s="58" t="s">
        <v>101</v>
      </c>
      <c r="C121" s="59" t="n">
        <f aca="false">C116-C118-C119-C120</f>
        <v>-1227.88042647641</v>
      </c>
      <c r="D121" s="59" t="n">
        <f aca="false">D116-D118-D119-D120</f>
        <v>-695.961641627117</v>
      </c>
      <c r="E121" s="59" t="n">
        <f aca="false">E116-E118-E119-E120</f>
        <v>-740.489891337312</v>
      </c>
      <c r="F121" s="59" t="n">
        <f aca="false">F116-F118-F119-F120</f>
        <v>-1127.72409285721</v>
      </c>
      <c r="G121" s="59" t="n">
        <f aca="false">G116-G118-G119-G120</f>
        <v>-843.502578448981</v>
      </c>
      <c r="H121" s="59" t="n">
        <f aca="false">H116-H118-H119-H120</f>
        <v>-665.872379639612</v>
      </c>
      <c r="I121" s="59" t="n">
        <f aca="false">I116-I118-I119-I120</f>
        <v>-2060.54986358903</v>
      </c>
      <c r="J121" s="59" t="n">
        <f aca="false">J116-J118-J119-J120</f>
        <v>-772.529853702719</v>
      </c>
      <c r="K121" s="59" t="n">
        <f aca="false">K116-K118-K119-K120</f>
        <v>-746.081741989932</v>
      </c>
      <c r="L121" s="59" t="n">
        <f aca="false">L116-L118-L119-L120</f>
        <v>-740.475541207941</v>
      </c>
      <c r="M121" s="59" t="n">
        <f aca="false">M116-M118-M119-M120</f>
        <v>-749.64469647214</v>
      </c>
      <c r="N121" s="59" t="n">
        <f aca="false">N116-N118-N119-N120</f>
        <v>-735.393691052382</v>
      </c>
      <c r="O121" s="59" t="n">
        <f aca="false">O116-O118-O119-O120</f>
        <v>-1704.6634123905</v>
      </c>
      <c r="P121" s="59" t="n">
        <f aca="false">P116-P118-P119-P120</f>
        <v>-768.545122036383</v>
      </c>
      <c r="Q121" s="59" t="n">
        <f aca="false">Q116-Q118-Q119-Q120</f>
        <v>-742.30519408594</v>
      </c>
      <c r="R121" s="59" t="n">
        <f aca="false">R116-R118-R119-R120</f>
        <v>-1171.23185965032</v>
      </c>
      <c r="S121" s="59" t="n">
        <f aca="false">S116-S118-S119-S120</f>
        <v>-982.468095811214</v>
      </c>
      <c r="T121" s="59" t="n">
        <f aca="false">T116-T118-T119-T120</f>
        <v>-812.405082789675</v>
      </c>
      <c r="U121" s="59" t="n">
        <f aca="false">U116-U118-U119-U120</f>
        <v>-2215.91465045665</v>
      </c>
      <c r="V121" s="59" t="n">
        <f aca="false">V116-V118-V119-V120</f>
        <v>-808.143872540965</v>
      </c>
      <c r="W121" s="59" t="n">
        <f aca="false">W116-W118-W119-W120</f>
        <v>-780.475676423505</v>
      </c>
      <c r="X121" s="59" t="n">
        <f aca="false">X116-X118-X119-X120</f>
        <v>-786.964734816972</v>
      </c>
      <c r="Y121" s="59" t="n">
        <f aca="false">Y116-Y118-Y119-Y120</f>
        <v>-812.708036868656</v>
      </c>
      <c r="Z121" s="59" t="n">
        <f aca="false">Z116-Z118-Z119-Z120</f>
        <v>-802.528242516179</v>
      </c>
      <c r="AA121" s="59" t="n">
        <f aca="false">AA116-AA118-AA119-AA120</f>
        <v>-1691.13409072356</v>
      </c>
      <c r="AB121" s="59" t="n">
        <f aca="false">AB116-AB118-AB119-AB120</f>
        <v>-717.597952119681</v>
      </c>
      <c r="AC121" s="59" t="n">
        <f aca="false">AC116-AC118-AC119-AC120</f>
        <v>-690.275252725781</v>
      </c>
      <c r="AD121" s="59" t="n">
        <f aca="false">AD116-AD118-AD119-AD120</f>
        <v>-1135.09797644774</v>
      </c>
      <c r="AE121" s="59" t="n">
        <f aca="false">AE116-AE118-AE119-AE120</f>
        <v>-988.024147679429</v>
      </c>
      <c r="AF121" s="59" t="n">
        <f aca="false">AF116-AF118-AF119-AF120</f>
        <v>-811.775141075441</v>
      </c>
      <c r="AG121" s="59" t="n">
        <f aca="false">AG116-AG118-AG119-AG120</f>
        <v>-2215.00605479735</v>
      </c>
      <c r="AH121" s="59" t="n">
        <f aca="false">AH116-AH118-AH119-AH120</f>
        <v>-821.377318219488</v>
      </c>
      <c r="AI121" s="59" t="n">
        <f aca="false">AI116-AI118-AI119-AI120</f>
        <v>-794.205544522537</v>
      </c>
      <c r="AJ121" s="59" t="n">
        <f aca="false">AJ116-AJ118-AJ119-AJ120</f>
        <v>-810.069151059969</v>
      </c>
      <c r="AK121" s="59" t="n">
        <f aca="false">AK116-AK118-AK119-AK120</f>
        <v>-848.689775303825</v>
      </c>
      <c r="AL121" s="59" t="n">
        <f aca="false">AL116-AL118-AL119-AL120</f>
        <v>-843.565588712447</v>
      </c>
      <c r="AM121" s="60" t="n">
        <f aca="false">SUMIF($C$6:$AL$6,1,C121:AL121)</f>
        <v>-11106.1063984008</v>
      </c>
      <c r="AN121" s="60" t="n">
        <f aca="false">SUMIF($C$6:$AL$6,2,C121:AL121)</f>
        <v>-12388.3539803869</v>
      </c>
      <c r="AO121" s="60" t="n">
        <f aca="false">SUMIF($C$6:$AL$6,3,C121:AL121)</f>
        <v>-12366.8179933873</v>
      </c>
      <c r="AP121" s="60" t="n">
        <f aca="false">SUM(C121:AL121)</f>
        <v>-35861.278372175</v>
      </c>
    </row>
    <row r="122" customFormat="false" ht="15" hidden="false" customHeight="false" outlineLevel="0" collapsed="false">
      <c r="A122" s="7" t="s">
        <v>792</v>
      </c>
      <c r="B122" s="9" t="s">
        <v>101</v>
      </c>
      <c r="C122" s="8" t="n">
        <f aca="false">SUMPRODUCT(('Startup Costs'!$F$6:$F$32=C$4)*'Startup Costs'!$G$6:$G$32*'Startup Costs'!$E$6:$E$32)</f>
        <v>4253.5</v>
      </c>
      <c r="D122" s="8" t="n">
        <f aca="false">SUMPRODUCT(('Startup Costs'!$F$6:$F$32=D$4)*'Startup Costs'!$G$6:$G$32*'Startup Costs'!$E$6:$E$32)</f>
        <v>1420</v>
      </c>
      <c r="E122" s="8" t="n">
        <f aca="false">SUMPRODUCT(('Startup Costs'!$F$6:$F$32=E$4)*'Startup Costs'!$G$6:$G$32*'Startup Costs'!$E$6:$E$32)</f>
        <v>1975</v>
      </c>
      <c r="F122" s="8" t="n">
        <f aca="false">SUMPRODUCT(('Startup Costs'!$F$6:$F$32=F$4)*'Startup Costs'!$G$6:$G$32*'Startup Costs'!$E$6:$E$32)</f>
        <v>650</v>
      </c>
      <c r="G122" s="8" t="n">
        <f aca="false">SUMPRODUCT(('Startup Costs'!$F$6:$F$32=G$4)*'Startup Costs'!$G$6:$G$32*'Startup Costs'!$E$6:$E$32)</f>
        <v>1037.5</v>
      </c>
      <c r="H122" s="8" t="n">
        <f aca="false">SUMPRODUCT(('Startup Costs'!$F$6:$F$32=H$4)*'Startup Costs'!$G$6:$G$32*'Startup Costs'!$E$6:$E$32)</f>
        <v>4250</v>
      </c>
      <c r="I122" s="8" t="n">
        <f aca="false">SUMPRODUCT(('Startup Costs'!$F$6:$F$32=I$4)*'Startup Costs'!$G$6:$G$32*'Startup Costs'!$E$6:$E$32)</f>
        <v>5250</v>
      </c>
      <c r="J122" s="8" t="n">
        <f aca="false">SUMPRODUCT(('Startup Costs'!$F$6:$F$32=J$4)*'Startup Costs'!$G$6:$G$32*'Startup Costs'!$E$6:$E$32)</f>
        <v>0</v>
      </c>
      <c r="K122" s="8" t="n">
        <f aca="false">SUMPRODUCT(('Startup Costs'!$F$6:$F$32=K$4)*'Startup Costs'!$G$6:$G$32*'Startup Costs'!$E$6:$E$32)</f>
        <v>687.5</v>
      </c>
      <c r="L122" s="8" t="n">
        <f aca="false">SUMPRODUCT(('Startup Costs'!$F$6:$F$32=L$4)*'Startup Costs'!$G$6:$G$32*'Startup Costs'!$E$6:$E$32)</f>
        <v>262.5</v>
      </c>
      <c r="M122" s="8" t="n">
        <f aca="false">SUMPRODUCT(('Startup Costs'!$F$6:$F$32=M$4)*'Startup Costs'!$G$6:$G$32*'Startup Costs'!$E$6:$E$32)</f>
        <v>0</v>
      </c>
      <c r="N122" s="8" t="n">
        <f aca="false">SUMPRODUCT(('Startup Costs'!$F$6:$F$32=N$4)*'Startup Costs'!$G$6:$G$32*'Startup Costs'!$E$6:$E$32)</f>
        <v>0</v>
      </c>
      <c r="O122" s="8" t="n">
        <f aca="false">SUMPRODUCT(('Startup Costs'!$F$6:$F$32=O$4)*'Startup Costs'!$G$6:$G$32*'Startup Costs'!$E$6:$E$32)</f>
        <v>0</v>
      </c>
      <c r="P122" s="8" t="n">
        <f aca="false">SUMPRODUCT(('Startup Costs'!$F$6:$F$32=P$4)*'Startup Costs'!$G$6:$G$32*'Startup Costs'!$E$6:$E$32)</f>
        <v>0</v>
      </c>
      <c r="Q122" s="8" t="n">
        <f aca="false">SUMPRODUCT(('Startup Costs'!$F$6:$F$32=Q$4)*'Startup Costs'!$G$6:$G$32*'Startup Costs'!$E$6:$E$32)</f>
        <v>0</v>
      </c>
      <c r="R122" s="8" t="n">
        <f aca="false">SUMPRODUCT(('Startup Costs'!$F$6:$F$32=R$4)*'Startup Costs'!$G$6:$G$32*'Startup Costs'!$E$6:$E$32)</f>
        <v>0</v>
      </c>
      <c r="S122" s="8" t="n">
        <f aca="false">SUMPRODUCT(('Startup Costs'!$F$6:$F$32=S$4)*'Startup Costs'!$G$6:$G$32*'Startup Costs'!$E$6:$E$32)</f>
        <v>0</v>
      </c>
      <c r="T122" s="8" t="n">
        <f aca="false">SUMPRODUCT(('Startup Costs'!$F$6:$F$32=T$4)*'Startup Costs'!$G$6:$G$32*'Startup Costs'!$E$6:$E$32)</f>
        <v>0</v>
      </c>
      <c r="U122" s="8" t="n">
        <f aca="false">SUMPRODUCT(('Startup Costs'!$F$6:$F$32=U$4)*'Startup Costs'!$G$6:$G$32*'Startup Costs'!$E$6:$E$32)</f>
        <v>0</v>
      </c>
      <c r="V122" s="8" t="n">
        <f aca="false">SUMPRODUCT(('Startup Costs'!$F$6:$F$32=V$4)*'Startup Costs'!$G$6:$G$32*'Startup Costs'!$E$6:$E$32)</f>
        <v>0</v>
      </c>
      <c r="W122" s="8" t="n">
        <f aca="false">SUMPRODUCT(('Startup Costs'!$F$6:$F$32=W$4)*'Startup Costs'!$G$6:$G$32*'Startup Costs'!$E$6:$E$32)</f>
        <v>0</v>
      </c>
      <c r="X122" s="8" t="n">
        <f aca="false">SUMPRODUCT(('Startup Costs'!$F$6:$F$32=X$4)*'Startup Costs'!$G$6:$G$32*'Startup Costs'!$E$6:$E$32)</f>
        <v>0</v>
      </c>
      <c r="Y122" s="8" t="n">
        <f aca="false">SUMPRODUCT(('Startup Costs'!$F$6:$F$32=Y$4)*'Startup Costs'!$G$6:$G$32*'Startup Costs'!$E$6:$E$32)</f>
        <v>0</v>
      </c>
      <c r="Z122" s="8" t="n">
        <f aca="false">SUMPRODUCT(('Startup Costs'!$F$6:$F$32=Z$4)*'Startup Costs'!$G$6:$G$32*'Startup Costs'!$E$6:$E$32)</f>
        <v>0</v>
      </c>
      <c r="AA122" s="8" t="n">
        <f aca="false">SUMPRODUCT(('Startup Costs'!$F$6:$F$32=AA$4)*'Startup Costs'!$G$6:$G$32*'Startup Costs'!$E$6:$E$32)</f>
        <v>0</v>
      </c>
      <c r="AB122" s="8" t="n">
        <f aca="false">SUMPRODUCT(('Startup Costs'!$F$6:$F$32=AB$4)*'Startup Costs'!$G$6:$G$32*'Startup Costs'!$E$6:$E$32)</f>
        <v>0</v>
      </c>
      <c r="AC122" s="8" t="n">
        <f aca="false">SUMPRODUCT(('Startup Costs'!$F$6:$F$32=AC$4)*'Startup Costs'!$G$6:$G$32*'Startup Costs'!$E$6:$E$32)</f>
        <v>0</v>
      </c>
      <c r="AD122" s="8" t="n">
        <f aca="false">SUMPRODUCT(('Startup Costs'!$F$6:$F$32=AD$4)*'Startup Costs'!$G$6:$G$32*'Startup Costs'!$E$6:$E$32)</f>
        <v>0</v>
      </c>
      <c r="AE122" s="8" t="n">
        <f aca="false">SUMPRODUCT(('Startup Costs'!$F$6:$F$32=AE$4)*'Startup Costs'!$G$6:$G$32*'Startup Costs'!$E$6:$E$32)</f>
        <v>0</v>
      </c>
      <c r="AF122" s="8" t="n">
        <f aca="false">SUMPRODUCT(('Startup Costs'!$F$6:$F$32=AF$4)*'Startup Costs'!$G$6:$G$32*'Startup Costs'!$E$6:$E$32)</f>
        <v>0</v>
      </c>
      <c r="AG122" s="8" t="n">
        <f aca="false">SUMPRODUCT(('Startup Costs'!$F$6:$F$32=AG$4)*'Startup Costs'!$G$6:$G$32*'Startup Costs'!$E$6:$E$32)</f>
        <v>0</v>
      </c>
      <c r="AH122" s="8" t="n">
        <f aca="false">SUMPRODUCT(('Startup Costs'!$F$6:$F$32=AH$4)*'Startup Costs'!$G$6:$G$32*'Startup Costs'!$E$6:$E$32)</f>
        <v>0</v>
      </c>
      <c r="AI122" s="8" t="n">
        <f aca="false">SUMPRODUCT(('Startup Costs'!$F$6:$F$32=AI$4)*'Startup Costs'!$G$6:$G$32*'Startup Costs'!$E$6:$E$32)</f>
        <v>0</v>
      </c>
      <c r="AJ122" s="8" t="n">
        <f aca="false">SUMPRODUCT(('Startup Costs'!$F$6:$F$32=AJ$4)*'Startup Costs'!$G$6:$G$32*'Startup Costs'!$E$6:$E$32)</f>
        <v>0</v>
      </c>
      <c r="AK122" s="8" t="n">
        <f aca="false">SUMPRODUCT(('Startup Costs'!$F$6:$F$32=AK$4)*'Startup Costs'!$G$6:$G$32*'Startup Costs'!$E$6:$E$32)</f>
        <v>0</v>
      </c>
      <c r="AL122" s="8" t="n">
        <f aca="false">SUMPRODUCT(('Startup Costs'!$F$6:$F$32=AL$4)*'Startup Costs'!$G$6:$G$32*'Startup Costs'!$E$6:$E$32)</f>
        <v>0</v>
      </c>
      <c r="AM122" s="45" t="n">
        <f aca="false">SUMIF($C$6:$AL$6,1,C122:AL122)</f>
        <v>19786</v>
      </c>
      <c r="AN122" s="45" t="n">
        <f aca="false">SUMIF($C$6:$AL$6,2,C122:AL122)</f>
        <v>0</v>
      </c>
      <c r="AO122" s="45" t="n">
        <f aca="false">SUMIF($C$6:$AL$6,3,C122:AL122)</f>
        <v>0</v>
      </c>
      <c r="AP122" s="45" t="n">
        <f aca="false">SUM(C122:AL122)</f>
        <v>19786</v>
      </c>
    </row>
    <row r="123" customFormat="false" ht="15" hidden="false" customHeight="false" outlineLevel="0" collapsed="false">
      <c r="A123" s="7" t="s">
        <v>793</v>
      </c>
      <c r="B123" s="9" t="s">
        <v>101</v>
      </c>
      <c r="C123" s="8" t="n">
        <f aca="false">IF(AND(Assumptions!$C$146=1,C$4=$B$11),'Retail Readiness Costs'!$H$14,0)+IF(AND(Assumptions!$C$164=1,C$4=MAX(1,Assumptions!$C$165-Assumptions!$C$67)),'Retail Readiness Costs'!$H$23,0)+IF(AND(Assumptions!$C$155=1,C$4=Assumptions!$C$156),Assumptions!$C$66,0)</f>
        <v>0</v>
      </c>
      <c r="D123" s="8" t="n">
        <f aca="false">IF(AND(Assumptions!$C$146=1,D$4=$B$11),'Retail Readiness Costs'!$H$14,0)+IF(AND(Assumptions!$C$164=1,D$4=MAX(1,Assumptions!$C$165-Assumptions!$C$67)),'Retail Readiness Costs'!$H$23,0)+IF(AND(Assumptions!$C$155=1,D$4=Assumptions!$C$156),Assumptions!$C$66,0)</f>
        <v>0</v>
      </c>
      <c r="E123" s="8" t="n">
        <f aca="false">IF(AND(Assumptions!$C$146=1,E$4=$B$11),'Retail Readiness Costs'!$H$14,0)+IF(AND(Assumptions!$C$164=1,E$4=MAX(1,Assumptions!$C$165-Assumptions!$C$67)),'Retail Readiness Costs'!$H$23,0)+IF(AND(Assumptions!$C$155=1,E$4=Assumptions!$C$156),Assumptions!$C$66,0)</f>
        <v>0</v>
      </c>
      <c r="F123" s="8" t="n">
        <f aca="false">IF(AND(Assumptions!$C$146=1,F$4=$B$11),'Retail Readiness Costs'!$H$14,0)+IF(AND(Assumptions!$C$164=1,F$4=MAX(1,Assumptions!$C$165-Assumptions!$C$67)),'Retail Readiness Costs'!$H$23,0)+IF(AND(Assumptions!$C$155=1,F$4=Assumptions!$C$156),Assumptions!$C$66,0)</f>
        <v>0</v>
      </c>
      <c r="G123" s="8" t="n">
        <f aca="false">IF(AND(Assumptions!$C$146=1,G$4=$B$11),'Retail Readiness Costs'!$H$14,0)+IF(AND(Assumptions!$C$164=1,G$4=MAX(1,Assumptions!$C$165-Assumptions!$C$67)),'Retail Readiness Costs'!$H$23,0)+IF(AND(Assumptions!$C$155=1,G$4=Assumptions!$C$156),Assumptions!$C$66,0)</f>
        <v>0</v>
      </c>
      <c r="H123" s="8" t="n">
        <f aca="false">IF(AND(Assumptions!$C$146=1,H$4=$B$11),'Retail Readiness Costs'!$H$14,0)+IF(AND(Assumptions!$C$164=1,H$4=MAX(1,Assumptions!$C$165-Assumptions!$C$67)),'Retail Readiness Costs'!$H$23,0)+IF(AND(Assumptions!$C$155=1,H$4=Assumptions!$C$156),Assumptions!$C$66,0)</f>
        <v>0</v>
      </c>
      <c r="I123" s="8" t="n">
        <f aca="false">IF(AND(Assumptions!$C$146=1,I$4=$B$11),'Retail Readiness Costs'!$H$14,0)+IF(AND(Assumptions!$C$164=1,I$4=MAX(1,Assumptions!$C$165-Assumptions!$C$67)),'Retail Readiness Costs'!$H$23,0)+IF(AND(Assumptions!$C$155=1,I$4=Assumptions!$C$156),Assumptions!$C$66,0)</f>
        <v>0</v>
      </c>
      <c r="J123" s="8" t="n">
        <f aca="false">IF(AND(Assumptions!$C$146=1,J$4=$B$11),'Retail Readiness Costs'!$H$14,0)+IF(AND(Assumptions!$C$164=1,J$4=MAX(1,Assumptions!$C$165-Assumptions!$C$67)),'Retail Readiness Costs'!$H$23,0)+IF(AND(Assumptions!$C$155=1,J$4=Assumptions!$C$156),Assumptions!$C$66,0)</f>
        <v>1875</v>
      </c>
      <c r="K123" s="8" t="n">
        <f aca="false">IF(AND(Assumptions!$C$146=1,K$4=$B$11),'Retail Readiness Costs'!$H$14,0)+IF(AND(Assumptions!$C$164=1,K$4=MAX(1,Assumptions!$C$165-Assumptions!$C$67)),'Retail Readiness Costs'!$H$23,0)+IF(AND(Assumptions!$C$155=1,K$4=Assumptions!$C$156),Assumptions!$C$66,0)</f>
        <v>0</v>
      </c>
      <c r="L123" s="8" t="n">
        <f aca="false">IF(AND(Assumptions!$C$146=1,L$4=$B$11),'Retail Readiness Costs'!$H$14,0)+IF(AND(Assumptions!$C$164=1,L$4=MAX(1,Assumptions!$C$165-Assumptions!$C$67)),'Retail Readiness Costs'!$H$23,0)+IF(AND(Assumptions!$C$155=1,L$4=Assumptions!$C$156),Assumptions!$C$66,0)</f>
        <v>0</v>
      </c>
      <c r="M123" s="8" t="n">
        <f aca="false">IF(AND(Assumptions!$C$146=1,M$4=$B$11),'Retail Readiness Costs'!$H$14,0)+IF(AND(Assumptions!$C$164=1,M$4=MAX(1,Assumptions!$C$165-Assumptions!$C$67)),'Retail Readiness Costs'!$H$23,0)+IF(AND(Assumptions!$C$155=1,M$4=Assumptions!$C$156),Assumptions!$C$66,0)</f>
        <v>0</v>
      </c>
      <c r="N123" s="8" t="n">
        <f aca="false">IF(AND(Assumptions!$C$146=1,N$4=$B$11),'Retail Readiness Costs'!$H$14,0)+IF(AND(Assumptions!$C$164=1,N$4=MAX(1,Assumptions!$C$165-Assumptions!$C$67)),'Retail Readiness Costs'!$H$23,0)+IF(AND(Assumptions!$C$155=1,N$4=Assumptions!$C$156),Assumptions!$C$66,0)</f>
        <v>0</v>
      </c>
      <c r="O123" s="8" t="n">
        <f aca="false">IF(AND(Assumptions!$C$146=1,O$4=$B$11),'Retail Readiness Costs'!$H$14,0)+IF(AND(Assumptions!$C$164=1,O$4=MAX(1,Assumptions!$C$165-Assumptions!$C$67)),'Retail Readiness Costs'!$H$23,0)+IF(AND(Assumptions!$C$155=1,O$4=Assumptions!$C$156),Assumptions!$C$66,0)</f>
        <v>0</v>
      </c>
      <c r="P123" s="8" t="n">
        <f aca="false">IF(AND(Assumptions!$C$146=1,P$4=$B$11),'Retail Readiness Costs'!$H$14,0)+IF(AND(Assumptions!$C$164=1,P$4=MAX(1,Assumptions!$C$165-Assumptions!$C$67)),'Retail Readiness Costs'!$H$23,0)+IF(AND(Assumptions!$C$155=1,P$4=Assumptions!$C$156),Assumptions!$C$66,0)</f>
        <v>0</v>
      </c>
      <c r="Q123" s="8" t="n">
        <f aca="false">IF(AND(Assumptions!$C$146=1,Q$4=$B$11),'Retail Readiness Costs'!$H$14,0)+IF(AND(Assumptions!$C$164=1,Q$4=MAX(1,Assumptions!$C$165-Assumptions!$C$67)),'Retail Readiness Costs'!$H$23,0)+IF(AND(Assumptions!$C$155=1,Q$4=Assumptions!$C$156),Assumptions!$C$66,0)</f>
        <v>0</v>
      </c>
      <c r="R123" s="8" t="n">
        <f aca="false">IF(AND(Assumptions!$C$146=1,R$4=$B$11),'Retail Readiness Costs'!$H$14,0)+IF(AND(Assumptions!$C$164=1,R$4=MAX(1,Assumptions!$C$165-Assumptions!$C$67)),'Retail Readiness Costs'!$H$23,0)+IF(AND(Assumptions!$C$155=1,R$4=Assumptions!$C$156),Assumptions!$C$66,0)</f>
        <v>0</v>
      </c>
      <c r="S123" s="8" t="n">
        <f aca="false">IF(AND(Assumptions!$C$146=1,S$4=$B$11),'Retail Readiness Costs'!$H$14,0)+IF(AND(Assumptions!$C$164=1,S$4=MAX(1,Assumptions!$C$165-Assumptions!$C$67)),'Retail Readiness Costs'!$H$23,0)+IF(AND(Assumptions!$C$155=1,S$4=Assumptions!$C$156),Assumptions!$C$66,0)</f>
        <v>0</v>
      </c>
      <c r="T123" s="8" t="n">
        <f aca="false">IF(AND(Assumptions!$C$146=1,T$4=$B$11),'Retail Readiness Costs'!$H$14,0)+IF(AND(Assumptions!$C$164=1,T$4=MAX(1,Assumptions!$C$165-Assumptions!$C$67)),'Retail Readiness Costs'!$H$23,0)+IF(AND(Assumptions!$C$155=1,T$4=Assumptions!$C$156),Assumptions!$C$66,0)</f>
        <v>0</v>
      </c>
      <c r="U123" s="8" t="n">
        <f aca="false">IF(AND(Assumptions!$C$146=1,U$4=$B$11),'Retail Readiness Costs'!$H$14,0)+IF(AND(Assumptions!$C$164=1,U$4=MAX(1,Assumptions!$C$165-Assumptions!$C$67)),'Retail Readiness Costs'!$H$23,0)+IF(AND(Assumptions!$C$155=1,U$4=Assumptions!$C$156),Assumptions!$C$66,0)</f>
        <v>0</v>
      </c>
      <c r="V123" s="8" t="n">
        <f aca="false">IF(AND(Assumptions!$C$146=1,V$4=$B$11),'Retail Readiness Costs'!$H$14,0)+IF(AND(Assumptions!$C$164=1,V$4=MAX(1,Assumptions!$C$165-Assumptions!$C$67)),'Retail Readiness Costs'!$H$23,0)+IF(AND(Assumptions!$C$155=1,V$4=Assumptions!$C$156),Assumptions!$C$66,0)</f>
        <v>0</v>
      </c>
      <c r="W123" s="8" t="n">
        <f aca="false">IF(AND(Assumptions!$C$146=1,W$4=$B$11),'Retail Readiness Costs'!$H$14,0)+IF(AND(Assumptions!$C$164=1,W$4=MAX(1,Assumptions!$C$165-Assumptions!$C$67)),'Retail Readiness Costs'!$H$23,0)+IF(AND(Assumptions!$C$155=1,W$4=Assumptions!$C$156),Assumptions!$C$66,0)</f>
        <v>0</v>
      </c>
      <c r="X123" s="8" t="n">
        <f aca="false">IF(AND(Assumptions!$C$146=1,X$4=$B$11),'Retail Readiness Costs'!$H$14,0)+IF(AND(Assumptions!$C$164=1,X$4=MAX(1,Assumptions!$C$165-Assumptions!$C$67)),'Retail Readiness Costs'!$H$23,0)+IF(AND(Assumptions!$C$155=1,X$4=Assumptions!$C$156),Assumptions!$C$66,0)</f>
        <v>0</v>
      </c>
      <c r="Y123" s="8" t="n">
        <f aca="false">IF(AND(Assumptions!$C$146=1,Y$4=$B$11),'Retail Readiness Costs'!$H$14,0)+IF(AND(Assumptions!$C$164=1,Y$4=MAX(1,Assumptions!$C$165-Assumptions!$C$67)),'Retail Readiness Costs'!$H$23,0)+IF(AND(Assumptions!$C$155=1,Y$4=Assumptions!$C$156),Assumptions!$C$66,0)</f>
        <v>0</v>
      </c>
      <c r="Z123" s="8" t="n">
        <f aca="false">IF(AND(Assumptions!$C$146=1,Z$4=$B$11),'Retail Readiness Costs'!$H$14,0)+IF(AND(Assumptions!$C$164=1,Z$4=MAX(1,Assumptions!$C$165-Assumptions!$C$67)),'Retail Readiness Costs'!$H$23,0)+IF(AND(Assumptions!$C$155=1,Z$4=Assumptions!$C$156),Assumptions!$C$66,0)</f>
        <v>0</v>
      </c>
      <c r="AA123" s="8" t="n">
        <f aca="false">IF(AND(Assumptions!$C$146=1,AA$4=$B$11),'Retail Readiness Costs'!$H$14,0)+IF(AND(Assumptions!$C$164=1,AA$4=MAX(1,Assumptions!$C$165-Assumptions!$C$67)),'Retail Readiness Costs'!$H$23,0)+IF(AND(Assumptions!$C$155=1,AA$4=Assumptions!$C$156),Assumptions!$C$66,0)</f>
        <v>0</v>
      </c>
      <c r="AB123" s="8" t="n">
        <f aca="false">IF(AND(Assumptions!$C$146=1,AB$4=$B$11),'Retail Readiness Costs'!$H$14,0)+IF(AND(Assumptions!$C$164=1,AB$4=MAX(1,Assumptions!$C$165-Assumptions!$C$67)),'Retail Readiness Costs'!$H$23,0)+IF(AND(Assumptions!$C$155=1,AB$4=Assumptions!$C$156),Assumptions!$C$66,0)</f>
        <v>0</v>
      </c>
      <c r="AC123" s="8" t="n">
        <f aca="false">IF(AND(Assumptions!$C$146=1,AC$4=$B$11),'Retail Readiness Costs'!$H$14,0)+IF(AND(Assumptions!$C$164=1,AC$4=MAX(1,Assumptions!$C$165-Assumptions!$C$67)),'Retail Readiness Costs'!$H$23,0)+IF(AND(Assumptions!$C$155=1,AC$4=Assumptions!$C$156),Assumptions!$C$66,0)</f>
        <v>0</v>
      </c>
      <c r="AD123" s="8" t="n">
        <f aca="false">IF(AND(Assumptions!$C$146=1,AD$4=$B$11),'Retail Readiness Costs'!$H$14,0)+IF(AND(Assumptions!$C$164=1,AD$4=MAX(1,Assumptions!$C$165-Assumptions!$C$67)),'Retail Readiness Costs'!$H$23,0)+IF(AND(Assumptions!$C$155=1,AD$4=Assumptions!$C$156),Assumptions!$C$66,0)</f>
        <v>0</v>
      </c>
      <c r="AE123" s="8" t="n">
        <f aca="false">IF(AND(Assumptions!$C$146=1,AE$4=$B$11),'Retail Readiness Costs'!$H$14,0)+IF(AND(Assumptions!$C$164=1,AE$4=MAX(1,Assumptions!$C$165-Assumptions!$C$67)),'Retail Readiness Costs'!$H$23,0)+IF(AND(Assumptions!$C$155=1,AE$4=Assumptions!$C$156),Assumptions!$C$66,0)</f>
        <v>0</v>
      </c>
      <c r="AF123" s="8" t="n">
        <f aca="false">IF(AND(Assumptions!$C$146=1,AF$4=$B$11),'Retail Readiness Costs'!$H$14,0)+IF(AND(Assumptions!$C$164=1,AF$4=MAX(1,Assumptions!$C$165-Assumptions!$C$67)),'Retail Readiness Costs'!$H$23,0)+IF(AND(Assumptions!$C$155=1,AF$4=Assumptions!$C$156),Assumptions!$C$66,0)</f>
        <v>0</v>
      </c>
      <c r="AG123" s="8" t="n">
        <f aca="false">IF(AND(Assumptions!$C$146=1,AG$4=$B$11),'Retail Readiness Costs'!$H$14,0)+IF(AND(Assumptions!$C$164=1,AG$4=MAX(1,Assumptions!$C$165-Assumptions!$C$67)),'Retail Readiness Costs'!$H$23,0)+IF(AND(Assumptions!$C$155=1,AG$4=Assumptions!$C$156),Assumptions!$C$66,0)</f>
        <v>0</v>
      </c>
      <c r="AH123" s="8" t="n">
        <f aca="false">IF(AND(Assumptions!$C$146=1,AH$4=$B$11),'Retail Readiness Costs'!$H$14,0)+IF(AND(Assumptions!$C$164=1,AH$4=MAX(1,Assumptions!$C$165-Assumptions!$C$67)),'Retail Readiness Costs'!$H$23,0)+IF(AND(Assumptions!$C$155=1,AH$4=Assumptions!$C$156),Assumptions!$C$66,0)</f>
        <v>0</v>
      </c>
      <c r="AI123" s="8" t="n">
        <f aca="false">IF(AND(Assumptions!$C$146=1,AI$4=$B$11),'Retail Readiness Costs'!$H$14,0)+IF(AND(Assumptions!$C$164=1,AI$4=MAX(1,Assumptions!$C$165-Assumptions!$C$67)),'Retail Readiness Costs'!$H$23,0)+IF(AND(Assumptions!$C$155=1,AI$4=Assumptions!$C$156),Assumptions!$C$66,0)</f>
        <v>0</v>
      </c>
      <c r="AJ123" s="8" t="n">
        <f aca="false">IF(AND(Assumptions!$C$146=1,AJ$4=$B$11),'Retail Readiness Costs'!$H$14,0)+IF(AND(Assumptions!$C$164=1,AJ$4=MAX(1,Assumptions!$C$165-Assumptions!$C$67)),'Retail Readiness Costs'!$H$23,0)+IF(AND(Assumptions!$C$155=1,AJ$4=Assumptions!$C$156),Assumptions!$C$66,0)</f>
        <v>0</v>
      </c>
      <c r="AK123" s="8" t="n">
        <f aca="false">IF(AND(Assumptions!$C$146=1,AK$4=$B$11),'Retail Readiness Costs'!$H$14,0)+IF(AND(Assumptions!$C$164=1,AK$4=MAX(1,Assumptions!$C$165-Assumptions!$C$67)),'Retail Readiness Costs'!$H$23,0)+IF(AND(Assumptions!$C$155=1,AK$4=Assumptions!$C$156),Assumptions!$C$66,0)</f>
        <v>0</v>
      </c>
      <c r="AL123" s="8" t="n">
        <f aca="false">IF(AND(Assumptions!$C$146=1,AL$4=$B$11),'Retail Readiness Costs'!$H$14,0)+IF(AND(Assumptions!$C$164=1,AL$4=MAX(1,Assumptions!$C$165-Assumptions!$C$67)),'Retail Readiness Costs'!$H$23,0)+IF(AND(Assumptions!$C$155=1,AL$4=Assumptions!$C$156),Assumptions!$C$66,0)</f>
        <v>0</v>
      </c>
      <c r="AM123" s="45" t="n">
        <f aca="false">SUMIF($C$6:$AL$6,1,C123:AL123)</f>
        <v>1875</v>
      </c>
      <c r="AN123" s="45" t="n">
        <f aca="false">SUMIF($C$6:$AL$6,2,C123:AL123)</f>
        <v>0</v>
      </c>
      <c r="AO123" s="45" t="n">
        <f aca="false">SUMIF($C$6:$AL$6,3,C123:AL123)</f>
        <v>0</v>
      </c>
      <c r="AP123" s="45" t="n">
        <f aca="false">SUM(C123:AL123)</f>
        <v>1875</v>
      </c>
    </row>
    <row r="124" customFormat="false" ht="15" hidden="false" customHeight="false" outlineLevel="0" collapsed="false">
      <c r="A124" s="7" t="s">
        <v>794</v>
      </c>
      <c r="B124" s="9" t="s">
        <v>101</v>
      </c>
      <c r="C124" s="17" t="n">
        <f aca="false">C121-C122-C123</f>
        <v>-5481.38042647641</v>
      </c>
      <c r="D124" s="17" t="n">
        <f aca="false">D121-D122-D123</f>
        <v>-2115.96164162712</v>
      </c>
      <c r="E124" s="17" t="n">
        <f aca="false">E121-E122-E123</f>
        <v>-2715.48989133731</v>
      </c>
      <c r="F124" s="17" t="n">
        <f aca="false">F121-F122-F123</f>
        <v>-1777.72409285721</v>
      </c>
      <c r="G124" s="17" t="n">
        <f aca="false">G121-G122-G123</f>
        <v>-1881.00257844898</v>
      </c>
      <c r="H124" s="17" t="n">
        <f aca="false">H121-H122-H123</f>
        <v>-4915.87237963961</v>
      </c>
      <c r="I124" s="17" t="n">
        <f aca="false">I121-I122-I123</f>
        <v>-7310.54986358903</v>
      </c>
      <c r="J124" s="17" t="n">
        <f aca="false">J121-J122-J123</f>
        <v>-2647.52985370272</v>
      </c>
      <c r="K124" s="17" t="n">
        <f aca="false">K121-K122-K123</f>
        <v>-1433.58174198993</v>
      </c>
      <c r="L124" s="17" t="n">
        <f aca="false">L121-L122-L123</f>
        <v>-1002.97554120794</v>
      </c>
      <c r="M124" s="17" t="n">
        <f aca="false">M121-M122-M123</f>
        <v>-749.64469647214</v>
      </c>
      <c r="N124" s="17" t="n">
        <f aca="false">N121-N122-N123</f>
        <v>-735.393691052382</v>
      </c>
      <c r="O124" s="17" t="n">
        <f aca="false">O121-O122-O123</f>
        <v>-1704.6634123905</v>
      </c>
      <c r="P124" s="17" t="n">
        <f aca="false">P121-P122-P123</f>
        <v>-768.545122036383</v>
      </c>
      <c r="Q124" s="17" t="n">
        <f aca="false">Q121-Q122-Q123</f>
        <v>-742.30519408594</v>
      </c>
      <c r="R124" s="17" t="n">
        <f aca="false">R121-R122-R123</f>
        <v>-1171.23185965032</v>
      </c>
      <c r="S124" s="17" t="n">
        <f aca="false">S121-S122-S123</f>
        <v>-982.468095811214</v>
      </c>
      <c r="T124" s="17" t="n">
        <f aca="false">T121-T122-T123</f>
        <v>-812.405082789675</v>
      </c>
      <c r="U124" s="17" t="n">
        <f aca="false">U121-U122-U123</f>
        <v>-2215.91465045665</v>
      </c>
      <c r="V124" s="17" t="n">
        <f aca="false">V121-V122-V123</f>
        <v>-808.143872540965</v>
      </c>
      <c r="W124" s="17" t="n">
        <f aca="false">W121-W122-W123</f>
        <v>-780.475676423505</v>
      </c>
      <c r="X124" s="17" t="n">
        <f aca="false">X121-X122-X123</f>
        <v>-786.964734816972</v>
      </c>
      <c r="Y124" s="17" t="n">
        <f aca="false">Y121-Y122-Y123</f>
        <v>-812.708036868656</v>
      </c>
      <c r="Z124" s="17" t="n">
        <f aca="false">Z121-Z122-Z123</f>
        <v>-802.528242516179</v>
      </c>
      <c r="AA124" s="17" t="n">
        <f aca="false">AA121-AA122-AA123</f>
        <v>-1691.13409072356</v>
      </c>
      <c r="AB124" s="17" t="n">
        <f aca="false">AB121-AB122-AB123</f>
        <v>-717.597952119681</v>
      </c>
      <c r="AC124" s="17" t="n">
        <f aca="false">AC121-AC122-AC123</f>
        <v>-690.275252725781</v>
      </c>
      <c r="AD124" s="17" t="n">
        <f aca="false">AD121-AD122-AD123</f>
        <v>-1135.09797644774</v>
      </c>
      <c r="AE124" s="17" t="n">
        <f aca="false">AE121-AE122-AE123</f>
        <v>-988.024147679429</v>
      </c>
      <c r="AF124" s="17" t="n">
        <f aca="false">AF121-AF122-AF123</f>
        <v>-811.775141075441</v>
      </c>
      <c r="AG124" s="17" t="n">
        <f aca="false">AG121-AG122-AG123</f>
        <v>-2215.00605479735</v>
      </c>
      <c r="AH124" s="17" t="n">
        <f aca="false">AH121-AH122-AH123</f>
        <v>-821.377318219488</v>
      </c>
      <c r="AI124" s="17" t="n">
        <f aca="false">AI121-AI122-AI123</f>
        <v>-794.205544522537</v>
      </c>
      <c r="AJ124" s="17" t="n">
        <f aca="false">AJ121-AJ122-AJ123</f>
        <v>-810.069151059969</v>
      </c>
      <c r="AK124" s="17" t="n">
        <f aca="false">AK121-AK122-AK123</f>
        <v>-848.689775303825</v>
      </c>
      <c r="AL124" s="17" t="n">
        <f aca="false">AL121-AL122-AL123</f>
        <v>-843.565588712447</v>
      </c>
      <c r="AM124" s="45" t="n">
        <f aca="false">SUMIF($C$6:$AL$6,1,C124:AL124)</f>
        <v>-32767.1063984008</v>
      </c>
      <c r="AN124" s="45" t="n">
        <f aca="false">SUMIF($C$6:$AL$6,2,C124:AL124)</f>
        <v>-12388.3539803869</v>
      </c>
      <c r="AO124" s="45" t="n">
        <f aca="false">SUMIF($C$6:$AL$6,3,C124:AL124)</f>
        <v>-12366.8179933873</v>
      </c>
      <c r="AP124" s="45" t="n">
        <f aca="false">SUM(C124:AL124)</f>
        <v>-57522.278372175</v>
      </c>
    </row>
    <row r="125" customFormat="false" ht="15" hidden="false" customHeight="false" outlineLevel="0" collapsed="false">
      <c r="A125" s="7" t="s">
        <v>795</v>
      </c>
      <c r="B125" s="9" t="s">
        <v>101</v>
      </c>
      <c r="C125" s="17" t="n">
        <f aca="false">C124</f>
        <v>-5481.38042647641</v>
      </c>
      <c r="D125" s="17" t="n">
        <f aca="false">D124+C125</f>
        <v>-7597.34206810353</v>
      </c>
      <c r="E125" s="17" t="n">
        <f aca="false">E124+D125</f>
        <v>-10312.8319594408</v>
      </c>
      <c r="F125" s="17" t="n">
        <f aca="false">F124+E125</f>
        <v>-12090.5560522981</v>
      </c>
      <c r="G125" s="17" t="n">
        <f aca="false">G124+F125</f>
        <v>-13971.558630747</v>
      </c>
      <c r="H125" s="17" t="n">
        <f aca="false">H124+G125</f>
        <v>-18887.4310103867</v>
      </c>
      <c r="I125" s="17" t="n">
        <f aca="false">I124+H125</f>
        <v>-26197.9808739757</v>
      </c>
      <c r="J125" s="17" t="n">
        <f aca="false">J124+I125</f>
        <v>-28845.5107276784</v>
      </c>
      <c r="K125" s="17" t="n">
        <f aca="false">K124+J125</f>
        <v>-30279.0924696683</v>
      </c>
      <c r="L125" s="17" t="n">
        <f aca="false">L124+K125</f>
        <v>-31282.0680108763</v>
      </c>
      <c r="M125" s="17" t="n">
        <f aca="false">M124+L125</f>
        <v>-32031.7127073484</v>
      </c>
      <c r="N125" s="17" t="n">
        <f aca="false">N124+M125</f>
        <v>-32767.1063984008</v>
      </c>
      <c r="O125" s="17" t="n">
        <f aca="false">O124+N125</f>
        <v>-34471.7698107913</v>
      </c>
      <c r="P125" s="17" t="n">
        <f aca="false">P124+O125</f>
        <v>-35240.3149328277</v>
      </c>
      <c r="Q125" s="17" t="n">
        <f aca="false">Q124+P125</f>
        <v>-35982.6201269136</v>
      </c>
      <c r="R125" s="17" t="n">
        <f aca="false">R124+Q125</f>
        <v>-37153.8519865639</v>
      </c>
      <c r="S125" s="17" t="n">
        <f aca="false">S124+R125</f>
        <v>-38136.3200823751</v>
      </c>
      <c r="T125" s="17" t="n">
        <f aca="false">T124+S125</f>
        <v>-38948.7251651648</v>
      </c>
      <c r="U125" s="17" t="n">
        <f aca="false">U124+T125</f>
        <v>-41164.6398156215</v>
      </c>
      <c r="V125" s="17" t="n">
        <f aca="false">V124+U125</f>
        <v>-41972.7836881624</v>
      </c>
      <c r="W125" s="17" t="n">
        <f aca="false">W124+V125</f>
        <v>-42753.2593645859</v>
      </c>
      <c r="X125" s="17" t="n">
        <f aca="false">X124+W125</f>
        <v>-43540.2240994029</v>
      </c>
      <c r="Y125" s="17" t="n">
        <f aca="false">Y124+X125</f>
        <v>-44352.9321362716</v>
      </c>
      <c r="Z125" s="17" t="n">
        <f aca="false">Z124+Y125</f>
        <v>-45155.4603787877</v>
      </c>
      <c r="AA125" s="17" t="n">
        <f aca="false">AA124+Z125</f>
        <v>-46846.5944695113</v>
      </c>
      <c r="AB125" s="17" t="n">
        <f aca="false">AB124+AA125</f>
        <v>-47564.192421631</v>
      </c>
      <c r="AC125" s="17" t="n">
        <f aca="false">AC124+AB125</f>
        <v>-48254.4676743568</v>
      </c>
      <c r="AD125" s="17" t="n">
        <f aca="false">AD124+AC125</f>
        <v>-49389.5656508045</v>
      </c>
      <c r="AE125" s="17" t="n">
        <f aca="false">AE124+AD125</f>
        <v>-50377.5897984839</v>
      </c>
      <c r="AF125" s="17" t="n">
        <f aca="false">AF124+AE125</f>
        <v>-51189.3649395594</v>
      </c>
      <c r="AG125" s="17" t="n">
        <f aca="false">AG124+AF125</f>
        <v>-53404.3709943567</v>
      </c>
      <c r="AH125" s="17" t="n">
        <f aca="false">AH124+AG125</f>
        <v>-54225.7483125762</v>
      </c>
      <c r="AI125" s="17" t="n">
        <f aca="false">AI124+AH125</f>
        <v>-55019.9538570987</v>
      </c>
      <c r="AJ125" s="17" t="n">
        <f aca="false">AJ124+AI125</f>
        <v>-55830.0230081587</v>
      </c>
      <c r="AK125" s="17" t="n">
        <f aca="false">AK124+AJ125</f>
        <v>-56678.7127834625</v>
      </c>
      <c r="AL125" s="17" t="n">
        <f aca="false">AL124+AK125</f>
        <v>-57522.278372175</v>
      </c>
      <c r="AM125" s="45" t="n">
        <f aca="false">N125</f>
        <v>-32767.1063984008</v>
      </c>
      <c r="AN125" s="45" t="n">
        <f aca="false">Z125</f>
        <v>-45155.4603787877</v>
      </c>
      <c r="AO125" s="45" t="n">
        <f aca="false">AL125</f>
        <v>-57522.278372175</v>
      </c>
      <c r="AP125" s="45" t="n">
        <f aca="false">AL125</f>
        <v>-57522.278372175</v>
      </c>
    </row>
    <row r="126" customFormat="false" ht="15" hidden="false" customHeight="false" outlineLevel="0" collapsed="false">
      <c r="A126" s="5" t="s">
        <v>796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</row>
    <row r="127" customFormat="false" ht="15" hidden="false" customHeight="false" outlineLevel="0" collapsed="false">
      <c r="A127" s="7" t="s">
        <v>797</v>
      </c>
      <c r="B127" s="9" t="s">
        <v>342</v>
      </c>
      <c r="C127" s="52" t="n">
        <f aca="false">C82+C102</f>
        <v>-0</v>
      </c>
      <c r="D127" s="52" t="n">
        <f aca="false">D82+D102</f>
        <v>-0</v>
      </c>
      <c r="E127" s="52" t="n">
        <f aca="false">E82+E102</f>
        <v>-0</v>
      </c>
      <c r="F127" s="52" t="n">
        <f aca="false">F82+F102</f>
        <v>0</v>
      </c>
      <c r="G127" s="52" t="n">
        <f aca="false">G82+G102</f>
        <v>0.37125</v>
      </c>
      <c r="H127" s="52" t="n">
        <f aca="false">H82+H102</f>
        <v>0.858</v>
      </c>
      <c r="I127" s="52" t="n">
        <f aca="false">I82+I102</f>
        <v>1.405404</v>
      </c>
      <c r="J127" s="52" t="n">
        <f aca="false">J82+J102</f>
        <v>1.76322432</v>
      </c>
      <c r="K127" s="52" t="n">
        <f aca="false">K82+K102</f>
        <v>2.41283328</v>
      </c>
      <c r="L127" s="52" t="n">
        <f aca="false">L82+L102</f>
        <v>2.860655136768</v>
      </c>
      <c r="M127" s="52" t="n">
        <f aca="false">M82+M102</f>
        <v>2.66191488516096</v>
      </c>
      <c r="N127" s="52" t="n">
        <f aca="false">N82+N102</f>
        <v>2.7683914805674</v>
      </c>
      <c r="O127" s="52" t="n">
        <f aca="false">O82+O102</f>
        <v>3.15596628784683</v>
      </c>
      <c r="P127" s="52" t="n">
        <f aca="false">P82+P102</f>
        <v>4.40506452387885</v>
      </c>
      <c r="Q127" s="52" t="n">
        <f aca="false">Q82+Q102</f>
        <v>4.66597988413936</v>
      </c>
      <c r="R127" s="52" t="n">
        <f aca="false">R82+R102</f>
        <v>4.40675877946495</v>
      </c>
      <c r="S127" s="52" t="n">
        <f aca="false">S82+S102</f>
        <v>3.23632364763906</v>
      </c>
      <c r="T127" s="52" t="n">
        <f aca="false">T82+T102</f>
        <v>3.66783346732427</v>
      </c>
      <c r="U127" s="52" t="n">
        <f aca="false">U82+U102</f>
        <v>3.92824964350429</v>
      </c>
      <c r="V127" s="52" t="n">
        <f aca="false">V82+V102</f>
        <v>3.62521324243396</v>
      </c>
      <c r="W127" s="52" t="n">
        <f aca="false">W82+W102</f>
        <v>3.89233421819225</v>
      </c>
      <c r="X127" s="52" t="n">
        <f aca="false">X82+X102</f>
        <v>3.77167185742829</v>
      </c>
      <c r="Y127" s="52" t="n">
        <f aca="false">Y82+Y102</f>
        <v>3.44214684251614</v>
      </c>
      <c r="Z127" s="52" t="n">
        <f aca="false">Z82+Z102</f>
        <v>3.51098977936646</v>
      </c>
      <c r="AA127" s="52" t="n">
        <f aca="false">AA82+AA102</f>
        <v>3.96328787447308</v>
      </c>
      <c r="AB127" s="52" t="n">
        <f aca="false">AB82+AB102</f>
        <v>5.47768103071911</v>
      </c>
      <c r="AC127" s="52" t="n">
        <f aca="false">AC82+AC102</f>
        <v>5.74524468106578</v>
      </c>
      <c r="AD127" s="52" t="n">
        <f aca="false">AD82+AD102</f>
        <v>5.3728677109967</v>
      </c>
      <c r="AE127" s="52" t="n">
        <f aca="false">AE82+AE102</f>
        <v>3.9071493994368</v>
      </c>
      <c r="AF127" s="52" t="n">
        <f aca="false">AF82+AF102</f>
        <v>4.38468988159019</v>
      </c>
      <c r="AG127" s="52" t="n">
        <f aca="false">AG82+AG102</f>
        <v>4.64996361942639</v>
      </c>
      <c r="AH127" s="52" t="n">
        <f aca="false">AH82+AH102</f>
        <v>4.24918104079964</v>
      </c>
      <c r="AI127" s="52" t="n">
        <f aca="false">AI82+AI102</f>
        <v>4.51755036969225</v>
      </c>
      <c r="AJ127" s="52" t="n">
        <f aca="false">AJ82+AJ102</f>
        <v>4.33458957971971</v>
      </c>
      <c r="AK127" s="52" t="n">
        <f aca="false">AK82+AK102</f>
        <v>3.9171001623046</v>
      </c>
      <c r="AL127" s="52" t="n">
        <f aca="false">AL82+AL102</f>
        <v>3.95627116392765</v>
      </c>
      <c r="AM127" s="53" t="n">
        <f aca="false">SUMIF($C$6:$AL$6,1,C127:AL127)</f>
        <v>15.1016731024964</v>
      </c>
      <c r="AN127" s="53" t="n">
        <f aca="false">SUMIF($C$6:$AL$6,2,C127:AL127)</f>
        <v>45.7085321737347</v>
      </c>
      <c r="AO127" s="53" t="n">
        <f aca="false">SUMIF($C$6:$AL$6,3,C127:AL127)</f>
        <v>54.4755765141519</v>
      </c>
      <c r="AP127" s="53" t="n">
        <f aca="false">SUM(C127:AL127)</f>
        <v>115.285781790383</v>
      </c>
    </row>
    <row r="128" customFormat="false" ht="15" hidden="false" customHeight="false" outlineLevel="0" collapsed="false">
      <c r="A128" s="7" t="s">
        <v>798</v>
      </c>
      <c r="B128" s="9" t="s">
        <v>342</v>
      </c>
      <c r="C128" s="52" t="n">
        <f aca="false">C127</f>
        <v>-0</v>
      </c>
      <c r="D128" s="52" t="n">
        <f aca="false">D127+C128</f>
        <v>-0</v>
      </c>
      <c r="E128" s="52" t="n">
        <f aca="false">E127+D128</f>
        <v>-0</v>
      </c>
      <c r="F128" s="52" t="n">
        <f aca="false">F127+E128</f>
        <v>0</v>
      </c>
      <c r="G128" s="52" t="n">
        <f aca="false">G127+F128</f>
        <v>0.37125</v>
      </c>
      <c r="H128" s="52" t="n">
        <f aca="false">H127+G128</f>
        <v>1.22925</v>
      </c>
      <c r="I128" s="52" t="n">
        <f aca="false">I127+H128</f>
        <v>2.634654</v>
      </c>
      <c r="J128" s="52" t="n">
        <f aca="false">J127+I128</f>
        <v>4.39787832</v>
      </c>
      <c r="K128" s="52" t="n">
        <f aca="false">K127+J128</f>
        <v>6.8107116</v>
      </c>
      <c r="L128" s="52" t="n">
        <f aca="false">L127+K128</f>
        <v>9.671366736768</v>
      </c>
      <c r="M128" s="52" t="n">
        <f aca="false">M127+L128</f>
        <v>12.333281621929</v>
      </c>
      <c r="N128" s="52" t="n">
        <f aca="false">N127+M128</f>
        <v>15.1016731024964</v>
      </c>
      <c r="O128" s="52" t="n">
        <f aca="false">O127+N128</f>
        <v>18.2576393903432</v>
      </c>
      <c r="P128" s="52" t="n">
        <f aca="false">P127+O128</f>
        <v>22.662703914222</v>
      </c>
      <c r="Q128" s="52" t="n">
        <f aca="false">Q127+P128</f>
        <v>27.3286837983614</v>
      </c>
      <c r="R128" s="52" t="n">
        <f aca="false">R127+Q128</f>
        <v>31.7354425778264</v>
      </c>
      <c r="S128" s="52" t="n">
        <f aca="false">S127+R128</f>
        <v>34.9717662254654</v>
      </c>
      <c r="T128" s="52" t="n">
        <f aca="false">T127+S128</f>
        <v>38.6395996927897</v>
      </c>
      <c r="U128" s="52" t="n">
        <f aca="false">U127+T128</f>
        <v>42.567849336294</v>
      </c>
      <c r="V128" s="52" t="n">
        <f aca="false">V127+U128</f>
        <v>46.1930625787279</v>
      </c>
      <c r="W128" s="52" t="n">
        <f aca="false">W127+V128</f>
        <v>50.0853967969202</v>
      </c>
      <c r="X128" s="52" t="n">
        <f aca="false">X127+W128</f>
        <v>53.8570686543485</v>
      </c>
      <c r="Y128" s="52" t="n">
        <f aca="false">Y127+X128</f>
        <v>57.2992154968646</v>
      </c>
      <c r="Z128" s="52" t="n">
        <f aca="false">Z127+Y128</f>
        <v>60.8102052762311</v>
      </c>
      <c r="AA128" s="52" t="n">
        <f aca="false">AA127+Z128</f>
        <v>64.7734931507042</v>
      </c>
      <c r="AB128" s="52" t="n">
        <f aca="false">AB127+AA128</f>
        <v>70.2511741814233</v>
      </c>
      <c r="AC128" s="52" t="n">
        <f aca="false">AC127+AB128</f>
        <v>75.9964188624891</v>
      </c>
      <c r="AD128" s="52" t="n">
        <f aca="false">AD127+AC128</f>
        <v>81.3692865734858</v>
      </c>
      <c r="AE128" s="52" t="n">
        <f aca="false">AE127+AD128</f>
        <v>85.2764359729226</v>
      </c>
      <c r="AF128" s="52" t="n">
        <f aca="false">AF127+AE128</f>
        <v>89.6611258545128</v>
      </c>
      <c r="AG128" s="52" t="n">
        <f aca="false">AG127+AF128</f>
        <v>94.3110894739391</v>
      </c>
      <c r="AH128" s="52" t="n">
        <f aca="false">AH127+AG128</f>
        <v>98.5602705147388</v>
      </c>
      <c r="AI128" s="52" t="n">
        <f aca="false">AI127+AH128</f>
        <v>103.077820884431</v>
      </c>
      <c r="AJ128" s="52" t="n">
        <f aca="false">AJ127+AI128</f>
        <v>107.412410464151</v>
      </c>
      <c r="AK128" s="52" t="n">
        <f aca="false">AK127+AJ128</f>
        <v>111.329510626455</v>
      </c>
      <c r="AL128" s="52" t="n">
        <f aca="false">AL127+AK128</f>
        <v>115.285781790383</v>
      </c>
      <c r="AM128" s="53" t="n">
        <f aca="false">N128</f>
        <v>15.1016731024964</v>
      </c>
      <c r="AN128" s="53" t="n">
        <f aca="false">Z128</f>
        <v>60.8102052762311</v>
      </c>
      <c r="AO128" s="53" t="n">
        <f aca="false">AL128</f>
        <v>115.285781790383</v>
      </c>
      <c r="AP128" s="53" t="n">
        <f aca="false">AL128</f>
        <v>115.285781790383</v>
      </c>
    </row>
    <row r="129" customFormat="false" ht="15" hidden="false" customHeight="false" outlineLevel="0" collapsed="false">
      <c r="A129" s="7" t="s">
        <v>799</v>
      </c>
      <c r="B129" s="9" t="s">
        <v>239</v>
      </c>
      <c r="C129" s="52" t="n">
        <f aca="false">IF($B$13=0,0,IF(C$4=$B$11,$B$13,IF(C$4&gt;$B$11,(INT(C128/$B$13)-INT(0/$B$13))*$B$13,0)))</f>
        <v>0</v>
      </c>
      <c r="D129" s="52" t="n">
        <f aca="false">IF($B$13=0,0,IF(D$4=$B$11,$B$13,IF(D$4&gt;$B$11,(INT(D128/$B$13)-INT(C128/$B$13))*$B$13,0)))</f>
        <v>0</v>
      </c>
      <c r="E129" s="52" t="n">
        <f aca="false">IF($B$13=0,0,IF(E$4=$B$11,$B$13,IF(E$4&gt;$B$11,(INT(E128/$B$13)-INT(D128/$B$13))*$B$13,0)))</f>
        <v>0</v>
      </c>
      <c r="F129" s="52" t="n">
        <f aca="false">IF($B$13=0,0,IF(F$4=$B$11,$B$13,IF(F$4&gt;$B$11,(INT(F128/$B$13)-INT(E128/$B$13))*$B$13,0)))</f>
        <v>0</v>
      </c>
      <c r="G129" s="52" t="n">
        <f aca="false">IF($B$13=0,0,IF(G$4=$B$11,$B$13,IF(G$4&gt;$B$11,(INT(G128/$B$13)-INT(F128/$B$13))*$B$13,0)))</f>
        <v>0</v>
      </c>
      <c r="H129" s="52" t="n">
        <f aca="false">IF($B$13=0,0,IF(H$4=$B$11,$B$13,IF(H$4&gt;$B$11,(INT(H128/$B$13)-INT(G128/$B$13))*$B$13,0)))</f>
        <v>0</v>
      </c>
      <c r="I129" s="52" t="n">
        <f aca="false">IF($B$13=0,0,IF(I$4=$B$11,$B$13,IF(I$4&gt;$B$11,(INT(I128/$B$13)-INT(H128/$B$13))*$B$13,0)))</f>
        <v>0</v>
      </c>
      <c r="J129" s="52" t="n">
        <f aca="false">IF($B$13=0,0,IF(J$4=$B$11,$B$13,IF(J$4&gt;$B$11,(INT(J128/$B$13)-INT(I128/$B$13))*$B$13,0)))</f>
        <v>1000</v>
      </c>
      <c r="K129" s="52" t="n">
        <f aca="false">IF($B$13=0,0,IF(K$4=$B$11,$B$13,IF(K$4&gt;$B$11,(INT(K128/$B$13)-INT(J128/$B$13))*$B$13,0)))</f>
        <v>0</v>
      </c>
      <c r="L129" s="52" t="n">
        <f aca="false">IF($B$13=0,0,IF(L$4=$B$11,$B$13,IF(L$4&gt;$B$11,(INT(L128/$B$13)-INT(K128/$B$13))*$B$13,0)))</f>
        <v>0</v>
      </c>
      <c r="M129" s="52" t="n">
        <f aca="false">IF($B$13=0,0,IF(M$4=$B$11,$B$13,IF(M$4&gt;$B$11,(INT(M128/$B$13)-INT(L128/$B$13))*$B$13,0)))</f>
        <v>0</v>
      </c>
      <c r="N129" s="52" t="n">
        <f aca="false">IF($B$13=0,0,IF(N$4=$B$11,$B$13,IF(N$4&gt;$B$11,(INT(N128/$B$13)-INT(M128/$B$13))*$B$13,0)))</f>
        <v>0</v>
      </c>
      <c r="O129" s="52" t="n">
        <f aca="false">IF($B$13=0,0,IF(O$4=$B$11,$B$13,IF(O$4&gt;$B$11,(INT(O128/$B$13)-INT(N128/$B$13))*$B$13,0)))</f>
        <v>0</v>
      </c>
      <c r="P129" s="52" t="n">
        <f aca="false">IF($B$13=0,0,IF(P$4=$B$11,$B$13,IF(P$4&gt;$B$11,(INT(P128/$B$13)-INT(O128/$B$13))*$B$13,0)))</f>
        <v>0</v>
      </c>
      <c r="Q129" s="52" t="n">
        <f aca="false">IF($B$13=0,0,IF(Q$4=$B$11,$B$13,IF(Q$4&gt;$B$11,(INT(Q128/$B$13)-INT(P128/$B$13))*$B$13,0)))</f>
        <v>0</v>
      </c>
      <c r="R129" s="52" t="n">
        <f aca="false">IF($B$13=0,0,IF(R$4=$B$11,$B$13,IF(R$4&gt;$B$11,(INT(R128/$B$13)-INT(Q128/$B$13))*$B$13,0)))</f>
        <v>0</v>
      </c>
      <c r="S129" s="52" t="n">
        <f aca="false">IF($B$13=0,0,IF(S$4=$B$11,$B$13,IF(S$4&gt;$B$11,(INT(S128/$B$13)-INT(R128/$B$13))*$B$13,0)))</f>
        <v>0</v>
      </c>
      <c r="T129" s="52" t="n">
        <f aca="false">IF($B$13=0,0,IF(T$4=$B$11,$B$13,IF(T$4&gt;$B$11,(INT(T128/$B$13)-INT(S128/$B$13))*$B$13,0)))</f>
        <v>0</v>
      </c>
      <c r="U129" s="52" t="n">
        <f aca="false">IF($B$13=0,0,IF(U$4=$B$11,$B$13,IF(U$4&gt;$B$11,(INT(U128/$B$13)-INT(T128/$B$13))*$B$13,0)))</f>
        <v>0</v>
      </c>
      <c r="V129" s="52" t="n">
        <f aca="false">IF($B$13=0,0,IF(V$4=$B$11,$B$13,IF(V$4&gt;$B$11,(INT(V128/$B$13)-INT(U128/$B$13))*$B$13,0)))</f>
        <v>0</v>
      </c>
      <c r="W129" s="52" t="n">
        <f aca="false">IF($B$13=0,0,IF(W$4=$B$11,$B$13,IF(W$4&gt;$B$11,(INT(W128/$B$13)-INT(V128/$B$13))*$B$13,0)))</f>
        <v>0</v>
      </c>
      <c r="X129" s="52" t="n">
        <f aca="false">IF($B$13=0,0,IF(X$4=$B$11,$B$13,IF(X$4&gt;$B$11,(INT(X128/$B$13)-INT(W128/$B$13))*$B$13,0)))</f>
        <v>0</v>
      </c>
      <c r="Y129" s="52" t="n">
        <f aca="false">IF($B$13=0,0,IF(Y$4=$B$11,$B$13,IF(Y$4&gt;$B$11,(INT(Y128/$B$13)-INT(X128/$B$13))*$B$13,0)))</f>
        <v>0</v>
      </c>
      <c r="Z129" s="52" t="n">
        <f aca="false">IF($B$13=0,0,IF(Z$4=$B$11,$B$13,IF(Z$4&gt;$B$11,(INT(Z128/$B$13)-INT(Y128/$B$13))*$B$13,0)))</f>
        <v>0</v>
      </c>
      <c r="AA129" s="52" t="n">
        <f aca="false">IF($B$13=0,0,IF(AA$4=$B$11,$B$13,IF(AA$4&gt;$B$11,(INT(AA128/$B$13)-INT(Z128/$B$13))*$B$13,0)))</f>
        <v>0</v>
      </c>
      <c r="AB129" s="52" t="n">
        <f aca="false">IF($B$13=0,0,IF(AB$4=$B$11,$B$13,IF(AB$4&gt;$B$11,(INT(AB128/$B$13)-INT(AA128/$B$13))*$B$13,0)))</f>
        <v>0</v>
      </c>
      <c r="AC129" s="52" t="n">
        <f aca="false">IF($B$13=0,0,IF(AC$4=$B$11,$B$13,IF(AC$4&gt;$B$11,(INT(AC128/$B$13)-INT(AB128/$B$13))*$B$13,0)))</f>
        <v>0</v>
      </c>
      <c r="AD129" s="52" t="n">
        <f aca="false">IF($B$13=0,0,IF(AD$4=$B$11,$B$13,IF(AD$4&gt;$B$11,(INT(AD128/$B$13)-INT(AC128/$B$13))*$B$13,0)))</f>
        <v>0</v>
      </c>
      <c r="AE129" s="52" t="n">
        <f aca="false">IF($B$13=0,0,IF(AE$4=$B$11,$B$13,IF(AE$4&gt;$B$11,(INT(AE128/$B$13)-INT(AD128/$B$13))*$B$13,0)))</f>
        <v>0</v>
      </c>
      <c r="AF129" s="52" t="n">
        <f aca="false">IF($B$13=0,0,IF(AF$4=$B$11,$B$13,IF(AF$4&gt;$B$11,(INT(AF128/$B$13)-INT(AE128/$B$13))*$B$13,0)))</f>
        <v>0</v>
      </c>
      <c r="AG129" s="52" t="n">
        <f aca="false">IF($B$13=0,0,IF(AG$4=$B$11,$B$13,IF(AG$4&gt;$B$11,(INT(AG128/$B$13)-INT(AF128/$B$13))*$B$13,0)))</f>
        <v>0</v>
      </c>
      <c r="AH129" s="52" t="n">
        <f aca="false">IF($B$13=0,0,IF(AH$4=$B$11,$B$13,IF(AH$4&gt;$B$11,(INT(AH128/$B$13)-INT(AG128/$B$13))*$B$13,0)))</f>
        <v>0</v>
      </c>
      <c r="AI129" s="52" t="n">
        <f aca="false">IF($B$13=0,0,IF(AI$4=$B$11,$B$13,IF(AI$4&gt;$B$11,(INT(AI128/$B$13)-INT(AH128/$B$13))*$B$13,0)))</f>
        <v>0</v>
      </c>
      <c r="AJ129" s="52" t="n">
        <f aca="false">IF($B$13=0,0,IF(AJ$4=$B$11,$B$13,IF(AJ$4&gt;$B$11,(INT(AJ128/$B$13)-INT(AI128/$B$13))*$B$13,0)))</f>
        <v>0</v>
      </c>
      <c r="AK129" s="52" t="n">
        <f aca="false">IF($B$13=0,0,IF(AK$4=$B$11,$B$13,IF(AK$4&gt;$B$11,(INT(AK128/$B$13)-INT(AJ128/$B$13))*$B$13,0)))</f>
        <v>0</v>
      </c>
      <c r="AL129" s="52" t="n">
        <f aca="false">IF($B$13=0,0,IF(AL$4=$B$11,$B$13,IF(AL$4&gt;$B$11,(INT(AL128/$B$13)-INT(AK128/$B$13))*$B$13,0)))</f>
        <v>0</v>
      </c>
      <c r="AM129" s="53" t="n">
        <f aca="false">SUMIF($C$6:$AL$6,1,C129:AL129)</f>
        <v>1000</v>
      </c>
      <c r="AN129" s="53" t="n">
        <f aca="false">SUMIF($C$6:$AL$6,2,C129:AL129)</f>
        <v>0</v>
      </c>
      <c r="AO129" s="53" t="n">
        <f aca="false">SUMIF($C$6:$AL$6,3,C129:AL129)</f>
        <v>0</v>
      </c>
      <c r="AP129" s="53" t="n">
        <f aca="false">SUM(C129:AL129)</f>
        <v>1000</v>
      </c>
    </row>
    <row r="130" customFormat="false" ht="15" hidden="false" customHeight="false" outlineLevel="0" collapsed="false">
      <c r="A130" s="7" t="s">
        <v>800</v>
      </c>
      <c r="B130" s="9" t="s">
        <v>101</v>
      </c>
      <c r="C130" s="8" t="n">
        <f aca="false">C129*Assumptions!$C$57</f>
        <v>0</v>
      </c>
      <c r="D130" s="8" t="n">
        <f aca="false">D129*Assumptions!$C$57</f>
        <v>0</v>
      </c>
      <c r="E130" s="8" t="n">
        <f aca="false">E129*Assumptions!$C$57</f>
        <v>0</v>
      </c>
      <c r="F130" s="8" t="n">
        <f aca="false">F129*Assumptions!$C$57</f>
        <v>0</v>
      </c>
      <c r="G130" s="8" t="n">
        <f aca="false">G129*Assumptions!$C$57</f>
        <v>0</v>
      </c>
      <c r="H130" s="8" t="n">
        <f aca="false">H129*Assumptions!$C$57</f>
        <v>0</v>
      </c>
      <c r="I130" s="8" t="n">
        <f aca="false">I129*Assumptions!$C$57</f>
        <v>0</v>
      </c>
      <c r="J130" s="8" t="n">
        <f aca="false">J129*Assumptions!$C$57</f>
        <v>3625</v>
      </c>
      <c r="K130" s="8" t="n">
        <f aca="false">K129*Assumptions!$C$57</f>
        <v>0</v>
      </c>
      <c r="L130" s="8" t="n">
        <f aca="false">L129*Assumptions!$C$57</f>
        <v>0</v>
      </c>
      <c r="M130" s="8" t="n">
        <f aca="false">M129*Assumptions!$C$57</f>
        <v>0</v>
      </c>
      <c r="N130" s="8" t="n">
        <f aca="false">N129*Assumptions!$C$57</f>
        <v>0</v>
      </c>
      <c r="O130" s="8" t="n">
        <f aca="false">O129*Assumptions!$C$57</f>
        <v>0</v>
      </c>
      <c r="P130" s="8" t="n">
        <f aca="false">P129*Assumptions!$C$57</f>
        <v>0</v>
      </c>
      <c r="Q130" s="8" t="n">
        <f aca="false">Q129*Assumptions!$C$57</f>
        <v>0</v>
      </c>
      <c r="R130" s="8" t="n">
        <f aca="false">R129*Assumptions!$C$57</f>
        <v>0</v>
      </c>
      <c r="S130" s="8" t="n">
        <f aca="false">S129*Assumptions!$C$57</f>
        <v>0</v>
      </c>
      <c r="T130" s="8" t="n">
        <f aca="false">T129*Assumptions!$C$57</f>
        <v>0</v>
      </c>
      <c r="U130" s="8" t="n">
        <f aca="false">U129*Assumptions!$C$57</f>
        <v>0</v>
      </c>
      <c r="V130" s="8" t="n">
        <f aca="false">V129*Assumptions!$C$57</f>
        <v>0</v>
      </c>
      <c r="W130" s="8" t="n">
        <f aca="false">W129*Assumptions!$C$57</f>
        <v>0</v>
      </c>
      <c r="X130" s="8" t="n">
        <f aca="false">X129*Assumptions!$C$57</f>
        <v>0</v>
      </c>
      <c r="Y130" s="8" t="n">
        <f aca="false">Y129*Assumptions!$C$57</f>
        <v>0</v>
      </c>
      <c r="Z130" s="8" t="n">
        <f aca="false">Z129*Assumptions!$C$57</f>
        <v>0</v>
      </c>
      <c r="AA130" s="8" t="n">
        <f aca="false">AA129*Assumptions!$C$57</f>
        <v>0</v>
      </c>
      <c r="AB130" s="8" t="n">
        <f aca="false">AB129*Assumptions!$C$57</f>
        <v>0</v>
      </c>
      <c r="AC130" s="8" t="n">
        <f aca="false">AC129*Assumptions!$C$57</f>
        <v>0</v>
      </c>
      <c r="AD130" s="8" t="n">
        <f aca="false">AD129*Assumptions!$C$57</f>
        <v>0</v>
      </c>
      <c r="AE130" s="8" t="n">
        <f aca="false">AE129*Assumptions!$C$57</f>
        <v>0</v>
      </c>
      <c r="AF130" s="8" t="n">
        <f aca="false">AF129*Assumptions!$C$57</f>
        <v>0</v>
      </c>
      <c r="AG130" s="8" t="n">
        <f aca="false">AG129*Assumptions!$C$57</f>
        <v>0</v>
      </c>
      <c r="AH130" s="8" t="n">
        <f aca="false">AH129*Assumptions!$C$57</f>
        <v>0</v>
      </c>
      <c r="AI130" s="8" t="n">
        <f aca="false">AI129*Assumptions!$C$57</f>
        <v>0</v>
      </c>
      <c r="AJ130" s="8" t="n">
        <f aca="false">AJ129*Assumptions!$C$57</f>
        <v>0</v>
      </c>
      <c r="AK130" s="8" t="n">
        <f aca="false">AK129*Assumptions!$C$57</f>
        <v>0</v>
      </c>
      <c r="AL130" s="8" t="n">
        <f aca="false">AL129*Assumptions!$C$57</f>
        <v>0</v>
      </c>
      <c r="AM130" s="45" t="n">
        <f aca="false">SUMIF($C$6:$AL$6,1,C130:AL130)</f>
        <v>3625</v>
      </c>
      <c r="AN130" s="45" t="n">
        <f aca="false">SUMIF($C$6:$AL$6,2,C130:AL130)</f>
        <v>0</v>
      </c>
      <c r="AO130" s="45" t="n">
        <f aca="false">SUMIF($C$6:$AL$6,3,C130:AL130)</f>
        <v>0</v>
      </c>
      <c r="AP130" s="45" t="n">
        <f aca="false">SUM(C130:AL130)</f>
        <v>3625</v>
      </c>
    </row>
    <row r="131" customFormat="false" ht="15" hidden="false" customHeight="false" outlineLevel="0" collapsed="false">
      <c r="A131" s="7" t="s">
        <v>801</v>
      </c>
      <c r="B131" s="9" t="s">
        <v>239</v>
      </c>
      <c r="C131" s="52" t="n">
        <f aca="false">C129</f>
        <v>0</v>
      </c>
      <c r="D131" s="52" t="n">
        <f aca="false">D129+C131</f>
        <v>0</v>
      </c>
      <c r="E131" s="52" t="n">
        <f aca="false">E129+D131</f>
        <v>0</v>
      </c>
      <c r="F131" s="52" t="n">
        <f aca="false">F129+E131</f>
        <v>0</v>
      </c>
      <c r="G131" s="52" t="n">
        <f aca="false">G129+F131</f>
        <v>0</v>
      </c>
      <c r="H131" s="52" t="n">
        <f aca="false">H129+G131</f>
        <v>0</v>
      </c>
      <c r="I131" s="52" t="n">
        <f aca="false">I129+H131</f>
        <v>0</v>
      </c>
      <c r="J131" s="52" t="n">
        <f aca="false">J129+I131</f>
        <v>1000</v>
      </c>
      <c r="K131" s="52" t="n">
        <f aca="false">K129+J131</f>
        <v>1000</v>
      </c>
      <c r="L131" s="52" t="n">
        <f aca="false">L129+K131</f>
        <v>1000</v>
      </c>
      <c r="M131" s="52" t="n">
        <f aca="false">M129+L131</f>
        <v>1000</v>
      </c>
      <c r="N131" s="52" t="n">
        <f aca="false">N129+M131</f>
        <v>1000</v>
      </c>
      <c r="O131" s="52" t="n">
        <f aca="false">O129+N131</f>
        <v>1000</v>
      </c>
      <c r="P131" s="52" t="n">
        <f aca="false">P129+O131</f>
        <v>1000</v>
      </c>
      <c r="Q131" s="52" t="n">
        <f aca="false">Q129+P131</f>
        <v>1000</v>
      </c>
      <c r="R131" s="52" t="n">
        <f aca="false">R129+Q131</f>
        <v>1000</v>
      </c>
      <c r="S131" s="52" t="n">
        <f aca="false">S129+R131</f>
        <v>1000</v>
      </c>
      <c r="T131" s="52" t="n">
        <f aca="false">T129+S131</f>
        <v>1000</v>
      </c>
      <c r="U131" s="52" t="n">
        <f aca="false">U129+T131</f>
        <v>1000</v>
      </c>
      <c r="V131" s="52" t="n">
        <f aca="false">V129+U131</f>
        <v>1000</v>
      </c>
      <c r="W131" s="52" t="n">
        <f aca="false">W129+V131</f>
        <v>1000</v>
      </c>
      <c r="X131" s="52" t="n">
        <f aca="false">X129+W131</f>
        <v>1000</v>
      </c>
      <c r="Y131" s="52" t="n">
        <f aca="false">Y129+X131</f>
        <v>1000</v>
      </c>
      <c r="Z131" s="52" t="n">
        <f aca="false">Z129+Y131</f>
        <v>1000</v>
      </c>
      <c r="AA131" s="52" t="n">
        <f aca="false">AA129+Z131</f>
        <v>1000</v>
      </c>
      <c r="AB131" s="52" t="n">
        <f aca="false">AB129+AA131</f>
        <v>1000</v>
      </c>
      <c r="AC131" s="52" t="n">
        <f aca="false">AC129+AB131</f>
        <v>1000</v>
      </c>
      <c r="AD131" s="52" t="n">
        <f aca="false">AD129+AC131</f>
        <v>1000</v>
      </c>
      <c r="AE131" s="52" t="n">
        <f aca="false">AE129+AD131</f>
        <v>1000</v>
      </c>
      <c r="AF131" s="52" t="n">
        <f aca="false">AF129+AE131</f>
        <v>1000</v>
      </c>
      <c r="AG131" s="52" t="n">
        <f aca="false">AG129+AF131</f>
        <v>1000</v>
      </c>
      <c r="AH131" s="52" t="n">
        <f aca="false">AH129+AG131</f>
        <v>1000</v>
      </c>
      <c r="AI131" s="52" t="n">
        <f aca="false">AI129+AH131</f>
        <v>1000</v>
      </c>
      <c r="AJ131" s="52" t="n">
        <f aca="false">AJ129+AI131</f>
        <v>1000</v>
      </c>
      <c r="AK131" s="52" t="n">
        <f aca="false">AK129+AJ131</f>
        <v>1000</v>
      </c>
      <c r="AL131" s="52" t="n">
        <f aca="false">AL129+AK131</f>
        <v>1000</v>
      </c>
      <c r="AM131" s="53" t="n">
        <f aca="false">N131</f>
        <v>1000</v>
      </c>
      <c r="AN131" s="53" t="n">
        <f aca="false">Z131</f>
        <v>1000</v>
      </c>
      <c r="AO131" s="53" t="n">
        <f aca="false">AL131</f>
        <v>1000</v>
      </c>
      <c r="AP131" s="53" t="n">
        <f aca="false">AL131</f>
        <v>1000</v>
      </c>
    </row>
    <row r="132" customFormat="false" ht="15" hidden="false" customHeight="false" outlineLevel="0" collapsed="false">
      <c r="A132" s="7" t="s">
        <v>802</v>
      </c>
      <c r="B132" s="9" t="s">
        <v>239</v>
      </c>
      <c r="C132" s="52" t="n">
        <f aca="false">C131-C128</f>
        <v>0</v>
      </c>
      <c r="D132" s="52" t="n">
        <f aca="false">D131-D128</f>
        <v>0</v>
      </c>
      <c r="E132" s="52" t="n">
        <f aca="false">E131-E128</f>
        <v>0</v>
      </c>
      <c r="F132" s="52" t="n">
        <f aca="false">F131-F128</f>
        <v>0</v>
      </c>
      <c r="G132" s="52" t="n">
        <f aca="false">G131-G128</f>
        <v>-0.37125</v>
      </c>
      <c r="H132" s="52" t="n">
        <f aca="false">H131-H128</f>
        <v>-1.22925</v>
      </c>
      <c r="I132" s="52" t="n">
        <f aca="false">I131-I128</f>
        <v>-2.634654</v>
      </c>
      <c r="J132" s="52" t="n">
        <f aca="false">J131-J128</f>
        <v>995.60212168</v>
      </c>
      <c r="K132" s="52" t="n">
        <f aca="false">K131-K128</f>
        <v>993.1892884</v>
      </c>
      <c r="L132" s="52" t="n">
        <f aca="false">L131-L128</f>
        <v>990.328633263232</v>
      </c>
      <c r="M132" s="52" t="n">
        <f aca="false">M131-M128</f>
        <v>987.666718378071</v>
      </c>
      <c r="N132" s="52" t="n">
        <f aca="false">N131-N128</f>
        <v>984.898326897504</v>
      </c>
      <c r="O132" s="52" t="n">
        <f aca="false">O131-O128</f>
        <v>981.742360609657</v>
      </c>
      <c r="P132" s="52" t="n">
        <f aca="false">P131-P128</f>
        <v>977.337296085778</v>
      </c>
      <c r="Q132" s="52" t="n">
        <f aca="false">Q131-Q128</f>
        <v>972.671316201639</v>
      </c>
      <c r="R132" s="52" t="n">
        <f aca="false">R131-R128</f>
        <v>968.264557422174</v>
      </c>
      <c r="S132" s="52" t="n">
        <f aca="false">S131-S128</f>
        <v>965.028233774535</v>
      </c>
      <c r="T132" s="52" t="n">
        <f aca="false">T131-T128</f>
        <v>961.36040030721</v>
      </c>
      <c r="U132" s="52" t="n">
        <f aca="false">U131-U128</f>
        <v>957.432150663706</v>
      </c>
      <c r="V132" s="52" t="n">
        <f aca="false">V131-V128</f>
        <v>953.806937421272</v>
      </c>
      <c r="W132" s="52" t="n">
        <f aca="false">W131-W128</f>
        <v>949.91460320308</v>
      </c>
      <c r="X132" s="52" t="n">
        <f aca="false">X131-X128</f>
        <v>946.142931345652</v>
      </c>
      <c r="Y132" s="52" t="n">
        <f aca="false">Y131-Y128</f>
        <v>942.700784503135</v>
      </c>
      <c r="Z132" s="52" t="n">
        <f aca="false">Z131-Z128</f>
        <v>939.189794723769</v>
      </c>
      <c r="AA132" s="52" t="n">
        <f aca="false">AA131-AA128</f>
        <v>935.226506849296</v>
      </c>
      <c r="AB132" s="52" t="n">
        <f aca="false">AB131-AB128</f>
        <v>929.748825818577</v>
      </c>
      <c r="AC132" s="52" t="n">
        <f aca="false">AC131-AC128</f>
        <v>924.003581137511</v>
      </c>
      <c r="AD132" s="52" t="n">
        <f aca="false">AD131-AD128</f>
        <v>918.630713426514</v>
      </c>
      <c r="AE132" s="52" t="n">
        <f aca="false">AE131-AE128</f>
        <v>914.723564027078</v>
      </c>
      <c r="AF132" s="52" t="n">
        <f aca="false">AF131-AF128</f>
        <v>910.338874145487</v>
      </c>
      <c r="AG132" s="52" t="n">
        <f aca="false">AG131-AG128</f>
        <v>905.688910526061</v>
      </c>
      <c r="AH132" s="52" t="n">
        <f aca="false">AH131-AH128</f>
        <v>901.439729485261</v>
      </c>
      <c r="AI132" s="52" t="n">
        <f aca="false">AI131-AI128</f>
        <v>896.922179115569</v>
      </c>
      <c r="AJ132" s="52" t="n">
        <f aca="false">AJ131-AJ128</f>
        <v>892.587589535849</v>
      </c>
      <c r="AK132" s="52" t="n">
        <f aca="false">AK131-AK128</f>
        <v>888.670489373545</v>
      </c>
      <c r="AL132" s="52" t="n">
        <f aca="false">AL131-AL128</f>
        <v>884.714218209617</v>
      </c>
      <c r="AM132" s="53" t="n">
        <f aca="false">N132</f>
        <v>984.898326897504</v>
      </c>
      <c r="AN132" s="53" t="n">
        <f aca="false">Z132</f>
        <v>939.189794723769</v>
      </c>
      <c r="AO132" s="53" t="n">
        <f aca="false">AL132</f>
        <v>884.714218209617</v>
      </c>
      <c r="AP132" s="53" t="n">
        <f aca="false">AL132</f>
        <v>884.714218209617</v>
      </c>
    </row>
    <row r="133" customFormat="false" ht="15" hidden="false" customHeight="false" outlineLevel="0" collapsed="false">
      <c r="A133" s="5" t="s">
        <v>803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</row>
    <row r="134" customFormat="false" ht="15" hidden="false" customHeight="false" outlineLevel="0" collapsed="false">
      <c r="A134" s="7" t="s">
        <v>804</v>
      </c>
      <c r="B134" s="9" t="s">
        <v>71</v>
      </c>
      <c r="C134" s="42" t="str">
        <f aca="false">IF(C121&gt;=0,C$4,"")</f>
        <v/>
      </c>
      <c r="D134" s="42" t="str">
        <f aca="false">IF(D121&gt;=0,D$4,"")</f>
        <v/>
      </c>
      <c r="E134" s="42" t="str">
        <f aca="false">IF(E121&gt;=0,E$4,"")</f>
        <v/>
      </c>
      <c r="F134" s="42" t="str">
        <f aca="false">IF(F121&gt;=0,F$4,"")</f>
        <v/>
      </c>
      <c r="G134" s="42" t="str">
        <f aca="false">IF(G121&gt;=0,G$4,"")</f>
        <v/>
      </c>
      <c r="H134" s="42" t="str">
        <f aca="false">IF(H121&gt;=0,H$4,"")</f>
        <v/>
      </c>
      <c r="I134" s="42" t="str">
        <f aca="false">IF(I121&gt;=0,I$4,"")</f>
        <v/>
      </c>
      <c r="J134" s="42" t="str">
        <f aca="false">IF(J121&gt;=0,J$4,"")</f>
        <v/>
      </c>
      <c r="K134" s="42" t="str">
        <f aca="false">IF(K121&gt;=0,K$4,"")</f>
        <v/>
      </c>
      <c r="L134" s="42" t="str">
        <f aca="false">IF(L121&gt;=0,L$4,"")</f>
        <v/>
      </c>
      <c r="M134" s="42" t="str">
        <f aca="false">IF(M121&gt;=0,M$4,"")</f>
        <v/>
      </c>
      <c r="N134" s="42" t="str">
        <f aca="false">IF(N121&gt;=0,N$4,"")</f>
        <v/>
      </c>
      <c r="O134" s="42" t="str">
        <f aca="false">IF(O121&gt;=0,O$4,"")</f>
        <v/>
      </c>
      <c r="P134" s="42" t="str">
        <f aca="false">IF(P121&gt;=0,P$4,"")</f>
        <v/>
      </c>
      <c r="Q134" s="42" t="str">
        <f aca="false">IF(Q121&gt;=0,Q$4,"")</f>
        <v/>
      </c>
      <c r="R134" s="42" t="str">
        <f aca="false">IF(R121&gt;=0,R$4,"")</f>
        <v/>
      </c>
      <c r="S134" s="42" t="str">
        <f aca="false">IF(S121&gt;=0,S$4,"")</f>
        <v/>
      </c>
      <c r="T134" s="42" t="str">
        <f aca="false">IF(T121&gt;=0,T$4,"")</f>
        <v/>
      </c>
      <c r="U134" s="42" t="str">
        <f aca="false">IF(U121&gt;=0,U$4,"")</f>
        <v/>
      </c>
      <c r="V134" s="42" t="str">
        <f aca="false">IF(V121&gt;=0,V$4,"")</f>
        <v/>
      </c>
      <c r="W134" s="42" t="str">
        <f aca="false">IF(W121&gt;=0,W$4,"")</f>
        <v/>
      </c>
      <c r="X134" s="42" t="str">
        <f aca="false">IF(X121&gt;=0,X$4,"")</f>
        <v/>
      </c>
      <c r="Y134" s="42" t="str">
        <f aca="false">IF(Y121&gt;=0,Y$4,"")</f>
        <v/>
      </c>
      <c r="Z134" s="42" t="str">
        <f aca="false">IF(Z121&gt;=0,Z$4,"")</f>
        <v/>
      </c>
      <c r="AA134" s="42" t="str">
        <f aca="false">IF(AA121&gt;=0,AA$4,"")</f>
        <v/>
      </c>
      <c r="AB134" s="42" t="str">
        <f aca="false">IF(AB121&gt;=0,AB$4,"")</f>
        <v/>
      </c>
      <c r="AC134" s="42" t="str">
        <f aca="false">IF(AC121&gt;=0,AC$4,"")</f>
        <v/>
      </c>
      <c r="AD134" s="42" t="str">
        <f aca="false">IF(AD121&gt;=0,AD$4,"")</f>
        <v/>
      </c>
      <c r="AE134" s="42" t="str">
        <f aca="false">IF(AE121&gt;=0,AE$4,"")</f>
        <v/>
      </c>
      <c r="AF134" s="42" t="str">
        <f aca="false">IF(AF121&gt;=0,AF$4,"")</f>
        <v/>
      </c>
      <c r="AG134" s="42" t="str">
        <f aca="false">IF(AG121&gt;=0,AG$4,"")</f>
        <v/>
      </c>
      <c r="AH134" s="42" t="str">
        <f aca="false">IF(AH121&gt;=0,AH$4,"")</f>
        <v/>
      </c>
      <c r="AI134" s="42" t="str">
        <f aca="false">IF(AI121&gt;=0,AI$4,"")</f>
        <v/>
      </c>
      <c r="AJ134" s="42" t="str">
        <f aca="false">IF(AJ121&gt;=0,AJ$4,"")</f>
        <v/>
      </c>
      <c r="AK134" s="42" t="str">
        <f aca="false">IF(AK121&gt;=0,AK$4,"")</f>
        <v/>
      </c>
      <c r="AL134" s="42" t="str">
        <f aca="false">IF(AL121&gt;=0,AL$4,"")</f>
        <v/>
      </c>
    </row>
    <row r="135" customFormat="false" ht="15" hidden="false" customHeight="false" outlineLevel="0" collapsed="false">
      <c r="A135" s="7" t="s">
        <v>805</v>
      </c>
      <c r="B135" s="9" t="s">
        <v>71</v>
      </c>
      <c r="C135" s="42" t="str">
        <f aca="false">IF(COUNTIF(C121:$AL121,"&lt;0")=0,C$4,"")</f>
        <v/>
      </c>
      <c r="D135" s="42" t="str">
        <f aca="false">IF(COUNTIF(D121:$AL121,"&lt;0")=0,D$4,"")</f>
        <v/>
      </c>
      <c r="E135" s="42" t="str">
        <f aca="false">IF(COUNTIF(E121:$AL121,"&lt;0")=0,E$4,"")</f>
        <v/>
      </c>
      <c r="F135" s="42" t="str">
        <f aca="false">IF(COUNTIF(F121:$AL121,"&lt;0")=0,F$4,"")</f>
        <v/>
      </c>
      <c r="G135" s="42" t="str">
        <f aca="false">IF(COUNTIF(G121:$AL121,"&lt;0")=0,G$4,"")</f>
        <v/>
      </c>
      <c r="H135" s="42" t="str">
        <f aca="false">IF(COUNTIF(H121:$AL121,"&lt;0")=0,H$4,"")</f>
        <v/>
      </c>
      <c r="I135" s="42" t="str">
        <f aca="false">IF(COUNTIF(I121:$AL121,"&lt;0")=0,I$4,"")</f>
        <v/>
      </c>
      <c r="J135" s="42" t="str">
        <f aca="false">IF(COUNTIF(J121:$AL121,"&lt;0")=0,J$4,"")</f>
        <v/>
      </c>
      <c r="K135" s="42" t="str">
        <f aca="false">IF(COUNTIF(K121:$AL121,"&lt;0")=0,K$4,"")</f>
        <v/>
      </c>
      <c r="L135" s="42" t="str">
        <f aca="false">IF(COUNTIF(L121:$AL121,"&lt;0")=0,L$4,"")</f>
        <v/>
      </c>
      <c r="M135" s="42" t="str">
        <f aca="false">IF(COUNTIF(M121:$AL121,"&lt;0")=0,M$4,"")</f>
        <v/>
      </c>
      <c r="N135" s="42" t="str">
        <f aca="false">IF(COUNTIF(N121:$AL121,"&lt;0")=0,N$4,"")</f>
        <v/>
      </c>
      <c r="O135" s="42" t="str">
        <f aca="false">IF(COUNTIF(O121:$AL121,"&lt;0")=0,O$4,"")</f>
        <v/>
      </c>
      <c r="P135" s="42" t="str">
        <f aca="false">IF(COUNTIF(P121:$AL121,"&lt;0")=0,P$4,"")</f>
        <v/>
      </c>
      <c r="Q135" s="42" t="str">
        <f aca="false">IF(COUNTIF(Q121:$AL121,"&lt;0")=0,Q$4,"")</f>
        <v/>
      </c>
      <c r="R135" s="42" t="str">
        <f aca="false">IF(COUNTIF(R121:$AL121,"&lt;0")=0,R$4,"")</f>
        <v/>
      </c>
      <c r="S135" s="42" t="str">
        <f aca="false">IF(COUNTIF(S121:$AL121,"&lt;0")=0,S$4,"")</f>
        <v/>
      </c>
      <c r="T135" s="42" t="str">
        <f aca="false">IF(COUNTIF(T121:$AL121,"&lt;0")=0,T$4,"")</f>
        <v/>
      </c>
      <c r="U135" s="42" t="str">
        <f aca="false">IF(COUNTIF(U121:$AL121,"&lt;0")=0,U$4,"")</f>
        <v/>
      </c>
      <c r="V135" s="42" t="str">
        <f aca="false">IF(COUNTIF(V121:$AL121,"&lt;0")=0,V$4,"")</f>
        <v/>
      </c>
      <c r="W135" s="42" t="str">
        <f aca="false">IF(COUNTIF(W121:$AL121,"&lt;0")=0,W$4,"")</f>
        <v/>
      </c>
      <c r="X135" s="42" t="str">
        <f aca="false">IF(COUNTIF(X121:$AL121,"&lt;0")=0,X$4,"")</f>
        <v/>
      </c>
      <c r="Y135" s="42" t="str">
        <f aca="false">IF(COUNTIF(Y121:$AL121,"&lt;0")=0,Y$4,"")</f>
        <v/>
      </c>
      <c r="Z135" s="42" t="str">
        <f aca="false">IF(COUNTIF(Z121:$AL121,"&lt;0")=0,Z$4,"")</f>
        <v/>
      </c>
      <c r="AA135" s="42" t="str">
        <f aca="false">IF(COUNTIF(AA121:$AL121,"&lt;0")=0,AA$4,"")</f>
        <v/>
      </c>
      <c r="AB135" s="42" t="str">
        <f aca="false">IF(COUNTIF(AB121:$AL121,"&lt;0")=0,AB$4,"")</f>
        <v/>
      </c>
      <c r="AC135" s="42" t="str">
        <f aca="false">IF(COUNTIF(AC121:$AL121,"&lt;0")=0,AC$4,"")</f>
        <v/>
      </c>
      <c r="AD135" s="42" t="str">
        <f aca="false">IF(COUNTIF(AD121:$AL121,"&lt;0")=0,AD$4,"")</f>
        <v/>
      </c>
      <c r="AE135" s="42" t="str">
        <f aca="false">IF(COUNTIF(AE121:$AL121,"&lt;0")=0,AE$4,"")</f>
        <v/>
      </c>
      <c r="AF135" s="42" t="str">
        <f aca="false">IF(COUNTIF(AF121:$AL121,"&lt;0")=0,AF$4,"")</f>
        <v/>
      </c>
      <c r="AG135" s="42" t="str">
        <f aca="false">IF(COUNTIF(AG121:$AL121,"&lt;0")=0,AG$4,"")</f>
        <v/>
      </c>
      <c r="AH135" s="42" t="str">
        <f aca="false">IF(COUNTIF(AH121:$AL121,"&lt;0")=0,AH$4,"")</f>
        <v/>
      </c>
      <c r="AI135" s="42" t="str">
        <f aca="false">IF(COUNTIF(AI121:$AL121,"&lt;0")=0,AI$4,"")</f>
        <v/>
      </c>
      <c r="AJ135" s="42" t="str">
        <f aca="false">IF(COUNTIF(AJ121:$AL121,"&lt;0")=0,AJ$4,"")</f>
        <v/>
      </c>
      <c r="AK135" s="42" t="str">
        <f aca="false">IF(COUNTIF(AK121:$AL121,"&lt;0")=0,AK$4,"")</f>
        <v/>
      </c>
      <c r="AL135" s="42" t="str">
        <f aca="false">IF(COUNTIF(AL121:$AL121,"&lt;0")=0,AL$4,"")</f>
        <v/>
      </c>
    </row>
    <row r="137" customFormat="false" ht="15" hidden="false" customHeight="false" outlineLevel="0" collapsed="false">
      <c r="A137" s="3" t="s">
        <v>806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</row>
    <row r="138" customFormat="false" ht="15" hidden="false" customHeight="false" outlineLevel="0" collapsed="false">
      <c r="A138" s="7" t="s">
        <v>751</v>
      </c>
      <c r="B138" s="50" t="n">
        <f aca="false">IF(Assumptions!$D$146=1,Assumptions!$D$147+Assumptions!$C$64,0)</f>
        <v>8</v>
      </c>
    </row>
    <row r="139" customFormat="false" ht="15" hidden="false" customHeight="false" outlineLevel="0" collapsed="false">
      <c r="A139" s="7" t="s">
        <v>752</v>
      </c>
      <c r="B139" s="51" t="n">
        <f aca="false">IF($B$138=0,0,SUMPRODUCT(($C$4:$AL$4&gt;=Assumptions!$D$147)*($C$4:$AL$4&lt;$B$138)*($C$209:$AL$209)))</f>
        <v>9.83901</v>
      </c>
    </row>
    <row r="140" customFormat="false" ht="15" hidden="false" customHeight="false" outlineLevel="0" collapsed="false">
      <c r="A140" s="7" t="s">
        <v>753</v>
      </c>
      <c r="B140" s="51" t="n">
        <f aca="false">IF($B$138=0,0,MAX(Assumptions!$C$62,ROUNDUP($B$139*(1+Assumptions!$C$63)/100,0)*100))</f>
        <v>1000</v>
      </c>
    </row>
    <row r="141" customFormat="false" ht="15" hidden="false" customHeight="false" outlineLevel="0" collapsed="false">
      <c r="A141" s="7" t="s">
        <v>754</v>
      </c>
      <c r="B141" s="51" t="n">
        <f aca="false">IF($B$138=0,0,ROUNDUP((Assumptions!$C$62*Assumptions!$C$57+'Retail Readiness Costs'!$H$14)*(1+Assumptions!$C$65)/(Assumptions!$C$52*(1-Assumptions!$C$21)-Assumptions!$C$22-Assumptions!$C$58),0))</f>
        <v>718</v>
      </c>
    </row>
    <row r="143" customFormat="false" ht="15" hidden="false" customHeight="false" outlineLevel="0" collapsed="false">
      <c r="A143" s="5" t="s">
        <v>571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</row>
    <row r="144" customFormat="false" ht="15" hidden="false" customHeight="false" outlineLevel="0" collapsed="false">
      <c r="A144" s="7" t="s">
        <v>755</v>
      </c>
      <c r="B144" s="9" t="s">
        <v>319</v>
      </c>
      <c r="C144" s="38" t="n">
        <f aca="false">IF(AND(Assumptions!$D$98=1,C$4&gt;=Assumptions!$D$99),1,0)</f>
        <v>1</v>
      </c>
      <c r="D144" s="38" t="n">
        <f aca="false">IF(AND(Assumptions!$D$98=1,D$4&gt;=Assumptions!$D$99),1,0)</f>
        <v>1</v>
      </c>
      <c r="E144" s="38" t="n">
        <f aca="false">IF(AND(Assumptions!$D$98=1,E$4&gt;=Assumptions!$D$99),1,0)</f>
        <v>1</v>
      </c>
      <c r="F144" s="38" t="n">
        <f aca="false">IF(AND(Assumptions!$D$98=1,F$4&gt;=Assumptions!$D$99),1,0)</f>
        <v>1</v>
      </c>
      <c r="G144" s="38" t="n">
        <f aca="false">IF(AND(Assumptions!$D$98=1,G$4&gt;=Assumptions!$D$99),1,0)</f>
        <v>1</v>
      </c>
      <c r="H144" s="38" t="n">
        <f aca="false">IF(AND(Assumptions!$D$98=1,H$4&gt;=Assumptions!$D$99),1,0)</f>
        <v>1</v>
      </c>
      <c r="I144" s="38" t="n">
        <f aca="false">IF(AND(Assumptions!$D$98=1,I$4&gt;=Assumptions!$D$99),1,0)</f>
        <v>1</v>
      </c>
      <c r="J144" s="38" t="n">
        <f aca="false">IF(AND(Assumptions!$D$98=1,J$4&gt;=Assumptions!$D$99),1,0)</f>
        <v>1</v>
      </c>
      <c r="K144" s="38" t="n">
        <f aca="false">IF(AND(Assumptions!$D$98=1,K$4&gt;=Assumptions!$D$99),1,0)</f>
        <v>1</v>
      </c>
      <c r="L144" s="38" t="n">
        <f aca="false">IF(AND(Assumptions!$D$98=1,L$4&gt;=Assumptions!$D$99),1,0)</f>
        <v>1</v>
      </c>
      <c r="M144" s="38" t="n">
        <f aca="false">IF(AND(Assumptions!$D$98=1,M$4&gt;=Assumptions!$D$99),1,0)</f>
        <v>1</v>
      </c>
      <c r="N144" s="38" t="n">
        <f aca="false">IF(AND(Assumptions!$D$98=1,N$4&gt;=Assumptions!$D$99),1,0)</f>
        <v>1</v>
      </c>
      <c r="O144" s="38" t="n">
        <f aca="false">IF(AND(Assumptions!$D$98=1,O$4&gt;=Assumptions!$D$99),1,0)</f>
        <v>1</v>
      </c>
      <c r="P144" s="38" t="n">
        <f aca="false">IF(AND(Assumptions!$D$98=1,P$4&gt;=Assumptions!$D$99),1,0)</f>
        <v>1</v>
      </c>
      <c r="Q144" s="38" t="n">
        <f aca="false">IF(AND(Assumptions!$D$98=1,Q$4&gt;=Assumptions!$D$99),1,0)</f>
        <v>1</v>
      </c>
      <c r="R144" s="38" t="n">
        <f aca="false">IF(AND(Assumptions!$D$98=1,R$4&gt;=Assumptions!$D$99),1,0)</f>
        <v>1</v>
      </c>
      <c r="S144" s="38" t="n">
        <f aca="false">IF(AND(Assumptions!$D$98=1,S$4&gt;=Assumptions!$D$99),1,0)</f>
        <v>1</v>
      </c>
      <c r="T144" s="38" t="n">
        <f aca="false">IF(AND(Assumptions!$D$98=1,T$4&gt;=Assumptions!$D$99),1,0)</f>
        <v>1</v>
      </c>
      <c r="U144" s="38" t="n">
        <f aca="false">IF(AND(Assumptions!$D$98=1,U$4&gt;=Assumptions!$D$99),1,0)</f>
        <v>1</v>
      </c>
      <c r="V144" s="38" t="n">
        <f aca="false">IF(AND(Assumptions!$D$98=1,V$4&gt;=Assumptions!$D$99),1,0)</f>
        <v>1</v>
      </c>
      <c r="W144" s="38" t="n">
        <f aca="false">IF(AND(Assumptions!$D$98=1,W$4&gt;=Assumptions!$D$99),1,0)</f>
        <v>1</v>
      </c>
      <c r="X144" s="38" t="n">
        <f aca="false">IF(AND(Assumptions!$D$98=1,X$4&gt;=Assumptions!$D$99),1,0)</f>
        <v>1</v>
      </c>
      <c r="Y144" s="38" t="n">
        <f aca="false">IF(AND(Assumptions!$D$98=1,Y$4&gt;=Assumptions!$D$99),1,0)</f>
        <v>1</v>
      </c>
      <c r="Z144" s="38" t="n">
        <f aca="false">IF(AND(Assumptions!$D$98=1,Z$4&gt;=Assumptions!$D$99),1,0)</f>
        <v>1</v>
      </c>
      <c r="AA144" s="38" t="n">
        <f aca="false">IF(AND(Assumptions!$D$98=1,AA$4&gt;=Assumptions!$D$99),1,0)</f>
        <v>1</v>
      </c>
      <c r="AB144" s="38" t="n">
        <f aca="false">IF(AND(Assumptions!$D$98=1,AB$4&gt;=Assumptions!$D$99),1,0)</f>
        <v>1</v>
      </c>
      <c r="AC144" s="38" t="n">
        <f aca="false">IF(AND(Assumptions!$D$98=1,AC$4&gt;=Assumptions!$D$99),1,0)</f>
        <v>1</v>
      </c>
      <c r="AD144" s="38" t="n">
        <f aca="false">IF(AND(Assumptions!$D$98=1,AD$4&gt;=Assumptions!$D$99),1,0)</f>
        <v>1</v>
      </c>
      <c r="AE144" s="38" t="n">
        <f aca="false">IF(AND(Assumptions!$D$98=1,AE$4&gt;=Assumptions!$D$99),1,0)</f>
        <v>1</v>
      </c>
      <c r="AF144" s="38" t="n">
        <f aca="false">IF(AND(Assumptions!$D$98=1,AF$4&gt;=Assumptions!$D$99),1,0)</f>
        <v>1</v>
      </c>
      <c r="AG144" s="38" t="n">
        <f aca="false">IF(AND(Assumptions!$D$98=1,AG$4&gt;=Assumptions!$D$99),1,0)</f>
        <v>1</v>
      </c>
      <c r="AH144" s="38" t="n">
        <f aca="false">IF(AND(Assumptions!$D$98=1,AH$4&gt;=Assumptions!$D$99),1,0)</f>
        <v>1</v>
      </c>
      <c r="AI144" s="38" t="n">
        <f aca="false">IF(AND(Assumptions!$D$98=1,AI$4&gt;=Assumptions!$D$99),1,0)</f>
        <v>1</v>
      </c>
      <c r="AJ144" s="38" t="n">
        <f aca="false">IF(AND(Assumptions!$D$98=1,AJ$4&gt;=Assumptions!$D$99),1,0)</f>
        <v>1</v>
      </c>
      <c r="AK144" s="38" t="n">
        <f aca="false">IF(AND(Assumptions!$D$98=1,AK$4&gt;=Assumptions!$D$99),1,0)</f>
        <v>1</v>
      </c>
      <c r="AL144" s="38" t="n">
        <f aca="false">IF(AND(Assumptions!$D$98=1,AL$4&gt;=Assumptions!$D$99),1,0)</f>
        <v>1</v>
      </c>
    </row>
    <row r="145" customFormat="false" ht="15" hidden="false" customHeight="false" outlineLevel="0" collapsed="false">
      <c r="A145" s="7" t="s">
        <v>756</v>
      </c>
      <c r="B145" s="9" t="s">
        <v>327</v>
      </c>
      <c r="C145" s="14" t="n">
        <f aca="false">IF(C144=0,0,Assumptions!$D$100)</f>
        <v>600</v>
      </c>
      <c r="D145" s="14" t="n">
        <f aca="false">IF(D144=0,0,IF(D$4=Assumptions!$D$99,Assumptions!$D$100,C145*(1+CHOOSE(D$6,Assumptions!$D$101,Assumptions!$D$102,Assumptions!$D$103))))</f>
        <v>672</v>
      </c>
      <c r="E145" s="14" t="n">
        <f aca="false">IF(E144=0,0,IF(E$4=Assumptions!$D$99,Assumptions!$D$100,D145*(1+CHOOSE(E$6,Assumptions!$D$101,Assumptions!$D$102,Assumptions!$D$103))))</f>
        <v>752.64</v>
      </c>
      <c r="F145" s="14" t="n">
        <f aca="false">IF(F144=0,0,IF(F$4=Assumptions!$D$99,Assumptions!$D$100,E145*(1+CHOOSE(F$6,Assumptions!$D$101,Assumptions!$D$102,Assumptions!$D$103))))</f>
        <v>842.9568</v>
      </c>
      <c r="G145" s="14" t="n">
        <f aca="false">IF(G144=0,0,IF(G$4=Assumptions!$D$99,Assumptions!$D$100,F145*(1+CHOOSE(G$6,Assumptions!$D$101,Assumptions!$D$102,Assumptions!$D$103))))</f>
        <v>944.111616</v>
      </c>
      <c r="H145" s="14" t="n">
        <f aca="false">IF(H144=0,0,IF(H$4=Assumptions!$D$99,Assumptions!$D$100,G145*(1+CHOOSE(H$6,Assumptions!$D$101,Assumptions!$D$102,Assumptions!$D$103))))</f>
        <v>1057.40500992</v>
      </c>
      <c r="I145" s="14" t="n">
        <f aca="false">IF(I144=0,0,IF(I$4=Assumptions!$D$99,Assumptions!$D$100,H145*(1+CHOOSE(I$6,Assumptions!$D$101,Assumptions!$D$102,Assumptions!$D$103))))</f>
        <v>1184.2936111104</v>
      </c>
      <c r="J145" s="14" t="n">
        <f aca="false">IF(J144=0,0,IF(J$4=Assumptions!$D$99,Assumptions!$D$100,I145*(1+CHOOSE(J$6,Assumptions!$D$101,Assumptions!$D$102,Assumptions!$D$103))))</f>
        <v>1326.40884444365</v>
      </c>
      <c r="K145" s="14" t="n">
        <f aca="false">IF(K144=0,0,IF(K$4=Assumptions!$D$99,Assumptions!$D$100,J145*(1+CHOOSE(K$6,Assumptions!$D$101,Assumptions!$D$102,Assumptions!$D$103))))</f>
        <v>1485.57790577689</v>
      </c>
      <c r="L145" s="14" t="n">
        <f aca="false">IF(L144=0,0,IF(L$4=Assumptions!$D$99,Assumptions!$D$100,K145*(1+CHOOSE(L$6,Assumptions!$D$101,Assumptions!$D$102,Assumptions!$D$103))))</f>
        <v>1663.84725447011</v>
      </c>
      <c r="M145" s="14" t="n">
        <f aca="false">IF(M144=0,0,IF(M$4=Assumptions!$D$99,Assumptions!$D$100,L145*(1+CHOOSE(M$6,Assumptions!$D$101,Assumptions!$D$102,Assumptions!$D$103))))</f>
        <v>1863.50892500653</v>
      </c>
      <c r="N145" s="14" t="n">
        <f aca="false">IF(N144=0,0,IF(N$4=Assumptions!$D$99,Assumptions!$D$100,M145*(1+CHOOSE(N$6,Assumptions!$D$101,Assumptions!$D$102,Assumptions!$D$103))))</f>
        <v>2087.12999600731</v>
      </c>
      <c r="O145" s="14" t="n">
        <f aca="false">IF(O144=0,0,IF(O$4=Assumptions!$D$99,Assumptions!$D$100,N145*(1+CHOOSE(O$6,Assumptions!$D$101,Assumptions!$D$102,Assumptions!$D$103))))</f>
        <v>2212.35779576775</v>
      </c>
      <c r="P145" s="14" t="n">
        <f aca="false">IF(P144=0,0,IF(P$4=Assumptions!$D$99,Assumptions!$D$100,O145*(1+CHOOSE(P$6,Assumptions!$D$101,Assumptions!$D$102,Assumptions!$D$103))))</f>
        <v>2345.09926351381</v>
      </c>
      <c r="Q145" s="14" t="n">
        <f aca="false">IF(Q144=0,0,IF(Q$4=Assumptions!$D$99,Assumptions!$D$100,P145*(1+CHOOSE(Q$6,Assumptions!$D$101,Assumptions!$D$102,Assumptions!$D$103))))</f>
        <v>2485.80521932464</v>
      </c>
      <c r="R145" s="14" t="n">
        <f aca="false">IF(R144=0,0,IF(R$4=Assumptions!$D$99,Assumptions!$D$100,Q145*(1+CHOOSE(R$6,Assumptions!$D$101,Assumptions!$D$102,Assumptions!$D$103))))</f>
        <v>2634.95353248412</v>
      </c>
      <c r="S145" s="14" t="n">
        <f aca="false">IF(S144=0,0,IF(S$4=Assumptions!$D$99,Assumptions!$D$100,R145*(1+CHOOSE(S$6,Assumptions!$D$101,Assumptions!$D$102,Assumptions!$D$103))))</f>
        <v>2793.05074443317</v>
      </c>
      <c r="T145" s="14" t="n">
        <f aca="false">IF(T144=0,0,IF(T$4=Assumptions!$D$99,Assumptions!$D$100,S145*(1+CHOOSE(T$6,Assumptions!$D$101,Assumptions!$D$102,Assumptions!$D$103))))</f>
        <v>2960.63378909916</v>
      </c>
      <c r="U145" s="14" t="n">
        <f aca="false">IF(U144=0,0,IF(U$4=Assumptions!$D$99,Assumptions!$D$100,T145*(1+CHOOSE(U$6,Assumptions!$D$101,Assumptions!$D$102,Assumptions!$D$103))))</f>
        <v>3138.27181644511</v>
      </c>
      <c r="V145" s="14" t="n">
        <f aca="false">IF(V144=0,0,IF(V$4=Assumptions!$D$99,Assumptions!$D$100,U145*(1+CHOOSE(V$6,Assumptions!$D$101,Assumptions!$D$102,Assumptions!$D$103))))</f>
        <v>3326.56812543182</v>
      </c>
      <c r="W145" s="14" t="n">
        <f aca="false">IF(W144=0,0,IF(W$4=Assumptions!$D$99,Assumptions!$D$100,V145*(1+CHOOSE(W$6,Assumptions!$D$101,Assumptions!$D$102,Assumptions!$D$103))))</f>
        <v>3526.16221295773</v>
      </c>
      <c r="X145" s="14" t="n">
        <f aca="false">IF(X144=0,0,IF(X$4=Assumptions!$D$99,Assumptions!$D$100,W145*(1+CHOOSE(X$6,Assumptions!$D$101,Assumptions!$D$102,Assumptions!$D$103))))</f>
        <v>3737.73194573519</v>
      </c>
      <c r="Y145" s="14" t="n">
        <f aca="false">IF(Y144=0,0,IF(Y$4=Assumptions!$D$99,Assumptions!$D$100,X145*(1+CHOOSE(Y$6,Assumptions!$D$101,Assumptions!$D$102,Assumptions!$D$103))))</f>
        <v>3961.9958624793</v>
      </c>
      <c r="Z145" s="14" t="n">
        <f aca="false">IF(Z144=0,0,IF(Z$4=Assumptions!$D$99,Assumptions!$D$100,Y145*(1+CHOOSE(Z$6,Assumptions!$D$101,Assumptions!$D$102,Assumptions!$D$103))))</f>
        <v>4199.71561422806</v>
      </c>
      <c r="AA145" s="14" t="n">
        <f aca="false">IF(AA144=0,0,IF(AA$4=Assumptions!$D$99,Assumptions!$D$100,Z145*(1+CHOOSE(AA$6,Assumptions!$D$101,Assumptions!$D$102,Assumptions!$D$103))))</f>
        <v>4325.7070826549</v>
      </c>
      <c r="AB145" s="14" t="n">
        <f aca="false">IF(AB144=0,0,IF(AB$4=Assumptions!$D$99,Assumptions!$D$100,AA145*(1+CHOOSE(AB$6,Assumptions!$D$101,Assumptions!$D$102,Assumptions!$D$103))))</f>
        <v>4455.47829513455</v>
      </c>
      <c r="AC145" s="14" t="n">
        <f aca="false">IF(AC144=0,0,IF(AC$4=Assumptions!$D$99,Assumptions!$D$100,AB145*(1+CHOOSE(AC$6,Assumptions!$D$101,Assumptions!$D$102,Assumptions!$D$103))))</f>
        <v>4589.14264398858</v>
      </c>
      <c r="AD145" s="14" t="n">
        <f aca="false">IF(AD144=0,0,IF(AD$4=Assumptions!$D$99,Assumptions!$D$100,AC145*(1+CHOOSE(AD$6,Assumptions!$D$101,Assumptions!$D$102,Assumptions!$D$103))))</f>
        <v>4726.81692330824</v>
      </c>
      <c r="AE145" s="14" t="n">
        <f aca="false">IF(AE144=0,0,IF(AE$4=Assumptions!$D$99,Assumptions!$D$100,AD145*(1+CHOOSE(AE$6,Assumptions!$D$101,Assumptions!$D$102,Assumptions!$D$103))))</f>
        <v>4868.62143100749</v>
      </c>
      <c r="AF145" s="14" t="n">
        <f aca="false">IF(AF144=0,0,IF(AF$4=Assumptions!$D$99,Assumptions!$D$100,AE145*(1+CHOOSE(AF$6,Assumptions!$D$101,Assumptions!$D$102,Assumptions!$D$103))))</f>
        <v>5014.68007393771</v>
      </c>
      <c r="AG145" s="14" t="n">
        <f aca="false">IF(AG144=0,0,IF(AG$4=Assumptions!$D$99,Assumptions!$D$100,AF145*(1+CHOOSE(AG$6,Assumptions!$D$101,Assumptions!$D$102,Assumptions!$D$103))))</f>
        <v>5165.12047615585</v>
      </c>
      <c r="AH145" s="14" t="n">
        <f aca="false">IF(AH144=0,0,IF(AH$4=Assumptions!$D$99,Assumptions!$D$100,AG145*(1+CHOOSE(AH$6,Assumptions!$D$101,Assumptions!$D$102,Assumptions!$D$103))))</f>
        <v>5320.07409044052</v>
      </c>
      <c r="AI145" s="14" t="n">
        <f aca="false">IF(AI144=0,0,IF(AI$4=Assumptions!$D$99,Assumptions!$D$100,AH145*(1+CHOOSE(AI$6,Assumptions!$D$101,Assumptions!$D$102,Assumptions!$D$103))))</f>
        <v>5479.67631315374</v>
      </c>
      <c r="AJ145" s="14" t="n">
        <f aca="false">IF(AJ144=0,0,IF(AJ$4=Assumptions!$D$99,Assumptions!$D$100,AI145*(1+CHOOSE(AJ$6,Assumptions!$D$101,Assumptions!$D$102,Assumptions!$D$103))))</f>
        <v>5644.06660254835</v>
      </c>
      <c r="AK145" s="14" t="n">
        <f aca="false">IF(AK144=0,0,IF(AK$4=Assumptions!$D$99,Assumptions!$D$100,AJ145*(1+CHOOSE(AK$6,Assumptions!$D$101,Assumptions!$D$102,Assumptions!$D$103))))</f>
        <v>5813.3886006248</v>
      </c>
      <c r="AL145" s="14" t="n">
        <f aca="false">IF(AL144=0,0,IF(AL$4=Assumptions!$D$99,Assumptions!$D$100,AK145*(1+CHOOSE(AL$6,Assumptions!$D$101,Assumptions!$D$102,Assumptions!$D$103))))</f>
        <v>5987.79025864355</v>
      </c>
    </row>
    <row r="146" customFormat="false" ht="15" hidden="false" customHeight="false" outlineLevel="0" collapsed="false">
      <c r="A146" s="7" t="s">
        <v>757</v>
      </c>
      <c r="B146" s="9" t="s">
        <v>327</v>
      </c>
      <c r="C146" s="52" t="n">
        <f aca="false">C145*C$7</f>
        <v>570</v>
      </c>
      <c r="D146" s="52" t="n">
        <f aca="false">D145*D$7</f>
        <v>873.6</v>
      </c>
      <c r="E146" s="52" t="n">
        <f aca="false">E145*E$7</f>
        <v>1016.064</v>
      </c>
      <c r="F146" s="52" t="n">
        <f aca="false">F145*F$7</f>
        <v>1053.696</v>
      </c>
      <c r="G146" s="52" t="n">
        <f aca="false">G145*G$7</f>
        <v>849.7004544</v>
      </c>
      <c r="H146" s="52" t="n">
        <f aca="false">H145*H$7</f>
        <v>1057.40500992</v>
      </c>
      <c r="I146" s="52" t="n">
        <f aca="false">I145*I$7</f>
        <v>1243.50829166592</v>
      </c>
      <c r="J146" s="52" t="n">
        <f aca="false">J145*J$7</f>
        <v>1260.08840222147</v>
      </c>
      <c r="K146" s="52" t="n">
        <f aca="false">K145*K$7</f>
        <v>1485.57790577689</v>
      </c>
      <c r="L146" s="52" t="n">
        <f aca="false">L145*L$7</f>
        <v>1580.65489174661</v>
      </c>
      <c r="M146" s="52" t="n">
        <f aca="false">M145*M$7</f>
        <v>1583.98258625555</v>
      </c>
      <c r="N146" s="52" t="n">
        <f aca="false">N145*N$7</f>
        <v>1774.06049660621</v>
      </c>
      <c r="O146" s="52" t="n">
        <f aca="false">O145*O$7</f>
        <v>2101.73990597936</v>
      </c>
      <c r="P146" s="52" t="n">
        <f aca="false">P145*P$7</f>
        <v>3048.62904256796</v>
      </c>
      <c r="Q146" s="52" t="n">
        <f aca="false">Q145*Q$7</f>
        <v>3355.83704608827</v>
      </c>
      <c r="R146" s="52" t="n">
        <f aca="false">R145*R$7</f>
        <v>3293.69191560515</v>
      </c>
      <c r="S146" s="52" t="n">
        <f aca="false">S145*S$7</f>
        <v>2513.74566998985</v>
      </c>
      <c r="T146" s="52" t="n">
        <f aca="false">T145*T$7</f>
        <v>2960.63378909916</v>
      </c>
      <c r="U146" s="52" t="n">
        <f aca="false">U145*U$7</f>
        <v>3295.18540726737</v>
      </c>
      <c r="V146" s="52" t="n">
        <f aca="false">V145*V$7</f>
        <v>3160.23971916023</v>
      </c>
      <c r="W146" s="52" t="n">
        <f aca="false">W145*W$7</f>
        <v>3526.16221295773</v>
      </c>
      <c r="X146" s="52" t="n">
        <f aca="false">X145*X$7</f>
        <v>3550.84534844843</v>
      </c>
      <c r="Y146" s="52" t="n">
        <f aca="false">Y145*Y$7</f>
        <v>3367.69648310741</v>
      </c>
      <c r="Z146" s="52" t="n">
        <f aca="false">Z145*Z$7</f>
        <v>3569.75827209385</v>
      </c>
      <c r="AA146" s="52" t="n">
        <f aca="false">AA145*AA$7</f>
        <v>4109.42172852216</v>
      </c>
      <c r="AB146" s="52" t="n">
        <f aca="false">AB145*AB$7</f>
        <v>5792.12178367491</v>
      </c>
      <c r="AC146" s="52" t="n">
        <f aca="false">AC145*AC$7</f>
        <v>6195.34256938459</v>
      </c>
      <c r="AD146" s="52" t="n">
        <f aca="false">AD145*AD$7</f>
        <v>5908.5211541353</v>
      </c>
      <c r="AE146" s="52" t="n">
        <f aca="false">AE145*AE$7</f>
        <v>4381.75928790674</v>
      </c>
      <c r="AF146" s="52" t="n">
        <f aca="false">AF145*AF$7</f>
        <v>5014.68007393771</v>
      </c>
      <c r="AG146" s="52" t="n">
        <f aca="false">AG145*AG$7</f>
        <v>5423.37649996364</v>
      </c>
      <c r="AH146" s="52" t="n">
        <f aca="false">AH145*AH$7</f>
        <v>5054.0703859185</v>
      </c>
      <c r="AI146" s="52" t="n">
        <f aca="false">AI145*AI$7</f>
        <v>5479.67631315374</v>
      </c>
      <c r="AJ146" s="52" t="n">
        <f aca="false">AJ145*AJ$7</f>
        <v>5361.86327242093</v>
      </c>
      <c r="AK146" s="52" t="n">
        <f aca="false">AK145*AK$7</f>
        <v>4941.38031053108</v>
      </c>
      <c r="AL146" s="52" t="n">
        <f aca="false">AL145*AL$7</f>
        <v>5089.62171984701</v>
      </c>
      <c r="AM146" s="53" t="n">
        <f aca="false">SUMIF($C$6:$AL$6,1,C146:AL146)</f>
        <v>14348.3380385926</v>
      </c>
      <c r="AN146" s="53" t="n">
        <f aca="false">SUMIF($C$6:$AL$6,2,C146:AL146)</f>
        <v>37744.1648123648</v>
      </c>
      <c r="AO146" s="53" t="n">
        <f aca="false">SUMIF($C$6:$AL$6,3,C146:AL146)</f>
        <v>62751.8350993963</v>
      </c>
      <c r="AP146" s="53" t="n">
        <f aca="false">SUM(C146:AL146)</f>
        <v>114844.337950354</v>
      </c>
    </row>
    <row r="147" customFormat="false" ht="15" hidden="false" customHeight="false" outlineLevel="0" collapsed="false">
      <c r="A147" s="7" t="s">
        <v>758</v>
      </c>
      <c r="B147" s="9" t="s">
        <v>96</v>
      </c>
      <c r="C147" s="54" t="n">
        <f aca="false">Assumptions!$D$104*MIN(1,(C$4-Assumptions!$D$99+1)/Assumptions!$C$10)*C144</f>
        <v>0.0025</v>
      </c>
      <c r="D147" s="54" t="n">
        <f aca="false">Assumptions!$D$104*MIN(1,(D$4-Assumptions!$D$99+1)/Assumptions!$C$10)*D144</f>
        <v>0.005</v>
      </c>
      <c r="E147" s="54" t="n">
        <f aca="false">Assumptions!$D$104*MIN(1,(E$4-Assumptions!$D$99+1)/Assumptions!$C$10)*E144</f>
        <v>0.0075</v>
      </c>
      <c r="F147" s="54" t="n">
        <f aca="false">Assumptions!$D$104*MIN(1,(F$4-Assumptions!$D$99+1)/Assumptions!$C$10)*F144</f>
        <v>0.01</v>
      </c>
      <c r="G147" s="54" t="n">
        <f aca="false">Assumptions!$D$104*MIN(1,(G$4-Assumptions!$D$99+1)/Assumptions!$C$10)*G144</f>
        <v>0.0125</v>
      </c>
      <c r="H147" s="54" t="n">
        <f aca="false">Assumptions!$D$104*MIN(1,(H$4-Assumptions!$D$99+1)/Assumptions!$C$10)*H144</f>
        <v>0.015</v>
      </c>
      <c r="I147" s="54" t="n">
        <f aca="false">Assumptions!$D$104*MIN(1,(I$4-Assumptions!$D$99+1)/Assumptions!$C$10)*I144</f>
        <v>0.015</v>
      </c>
      <c r="J147" s="54" t="n">
        <f aca="false">Assumptions!$D$104*MIN(1,(J$4-Assumptions!$D$99+1)/Assumptions!$C$10)*J144</f>
        <v>0.015</v>
      </c>
      <c r="K147" s="54" t="n">
        <f aca="false">Assumptions!$D$104*MIN(1,(K$4-Assumptions!$D$99+1)/Assumptions!$C$10)*K144</f>
        <v>0.015</v>
      </c>
      <c r="L147" s="54" t="n">
        <f aca="false">Assumptions!$D$104*MIN(1,(L$4-Assumptions!$D$99+1)/Assumptions!$C$10)*L144</f>
        <v>0.015</v>
      </c>
      <c r="M147" s="54" t="n">
        <f aca="false">Assumptions!$D$104*MIN(1,(M$4-Assumptions!$D$99+1)/Assumptions!$C$10)*M144</f>
        <v>0.015</v>
      </c>
      <c r="N147" s="54" t="n">
        <f aca="false">Assumptions!$D$104*MIN(1,(N$4-Assumptions!$D$99+1)/Assumptions!$C$10)*N144</f>
        <v>0.015</v>
      </c>
      <c r="O147" s="54" t="n">
        <f aca="false">Assumptions!$D$104*MIN(1,(O$4-Assumptions!$D$99+1)/Assumptions!$C$10)*O144</f>
        <v>0.015</v>
      </c>
      <c r="P147" s="54" t="n">
        <f aca="false">Assumptions!$D$104*MIN(1,(P$4-Assumptions!$D$99+1)/Assumptions!$C$10)*P144</f>
        <v>0.015</v>
      </c>
      <c r="Q147" s="54" t="n">
        <f aca="false">Assumptions!$D$104*MIN(1,(Q$4-Assumptions!$D$99+1)/Assumptions!$C$10)*Q144</f>
        <v>0.015</v>
      </c>
      <c r="R147" s="54" t="n">
        <f aca="false">Assumptions!$D$104*MIN(1,(R$4-Assumptions!$D$99+1)/Assumptions!$C$10)*R144</f>
        <v>0.015</v>
      </c>
      <c r="S147" s="54" t="n">
        <f aca="false">Assumptions!$D$104*MIN(1,(S$4-Assumptions!$D$99+1)/Assumptions!$C$10)*S144</f>
        <v>0.015</v>
      </c>
      <c r="T147" s="54" t="n">
        <f aca="false">Assumptions!$D$104*MIN(1,(T$4-Assumptions!$D$99+1)/Assumptions!$C$10)*T144</f>
        <v>0.015</v>
      </c>
      <c r="U147" s="54" t="n">
        <f aca="false">Assumptions!$D$104*MIN(1,(U$4-Assumptions!$D$99+1)/Assumptions!$C$10)*U144</f>
        <v>0.015</v>
      </c>
      <c r="V147" s="54" t="n">
        <f aca="false">Assumptions!$D$104*MIN(1,(V$4-Assumptions!$D$99+1)/Assumptions!$C$10)*V144</f>
        <v>0.015</v>
      </c>
      <c r="W147" s="54" t="n">
        <f aca="false">Assumptions!$D$104*MIN(1,(W$4-Assumptions!$D$99+1)/Assumptions!$C$10)*W144</f>
        <v>0.015</v>
      </c>
      <c r="X147" s="54" t="n">
        <f aca="false">Assumptions!$D$104*MIN(1,(X$4-Assumptions!$D$99+1)/Assumptions!$C$10)*X144</f>
        <v>0.015</v>
      </c>
      <c r="Y147" s="54" t="n">
        <f aca="false">Assumptions!$D$104*MIN(1,(Y$4-Assumptions!$D$99+1)/Assumptions!$C$10)*Y144</f>
        <v>0.015</v>
      </c>
      <c r="Z147" s="54" t="n">
        <f aca="false">Assumptions!$D$104*MIN(1,(Z$4-Assumptions!$D$99+1)/Assumptions!$C$10)*Z144</f>
        <v>0.015</v>
      </c>
      <c r="AA147" s="54" t="n">
        <f aca="false">Assumptions!$D$104*MIN(1,(AA$4-Assumptions!$D$99+1)/Assumptions!$C$10)*AA144</f>
        <v>0.015</v>
      </c>
      <c r="AB147" s="54" t="n">
        <f aca="false">Assumptions!$D$104*MIN(1,(AB$4-Assumptions!$D$99+1)/Assumptions!$C$10)*AB144</f>
        <v>0.015</v>
      </c>
      <c r="AC147" s="54" t="n">
        <f aca="false">Assumptions!$D$104*MIN(1,(AC$4-Assumptions!$D$99+1)/Assumptions!$C$10)*AC144</f>
        <v>0.015</v>
      </c>
      <c r="AD147" s="54" t="n">
        <f aca="false">Assumptions!$D$104*MIN(1,(AD$4-Assumptions!$D$99+1)/Assumptions!$C$10)*AD144</f>
        <v>0.015</v>
      </c>
      <c r="AE147" s="54" t="n">
        <f aca="false">Assumptions!$D$104*MIN(1,(AE$4-Assumptions!$D$99+1)/Assumptions!$C$10)*AE144</f>
        <v>0.015</v>
      </c>
      <c r="AF147" s="54" t="n">
        <f aca="false">Assumptions!$D$104*MIN(1,(AF$4-Assumptions!$D$99+1)/Assumptions!$C$10)*AF144</f>
        <v>0.015</v>
      </c>
      <c r="AG147" s="54" t="n">
        <f aca="false">Assumptions!$D$104*MIN(1,(AG$4-Assumptions!$D$99+1)/Assumptions!$C$10)*AG144</f>
        <v>0.015</v>
      </c>
      <c r="AH147" s="54" t="n">
        <f aca="false">Assumptions!$D$104*MIN(1,(AH$4-Assumptions!$D$99+1)/Assumptions!$C$10)*AH144</f>
        <v>0.015</v>
      </c>
      <c r="AI147" s="54" t="n">
        <f aca="false">Assumptions!$D$104*MIN(1,(AI$4-Assumptions!$D$99+1)/Assumptions!$C$10)*AI144</f>
        <v>0.015</v>
      </c>
      <c r="AJ147" s="54" t="n">
        <f aca="false">Assumptions!$D$104*MIN(1,(AJ$4-Assumptions!$D$99+1)/Assumptions!$C$10)*AJ144</f>
        <v>0.015</v>
      </c>
      <c r="AK147" s="54" t="n">
        <f aca="false">Assumptions!$D$104*MIN(1,(AK$4-Assumptions!$D$99+1)/Assumptions!$C$10)*AK144</f>
        <v>0.015</v>
      </c>
      <c r="AL147" s="54" t="n">
        <f aca="false">Assumptions!$D$104*MIN(1,(AL$4-Assumptions!$D$99+1)/Assumptions!$C$10)*AL144</f>
        <v>0.015</v>
      </c>
    </row>
    <row r="148" customFormat="false" ht="15" hidden="false" customHeight="false" outlineLevel="0" collapsed="false">
      <c r="A148" s="7" t="s">
        <v>759</v>
      </c>
      <c r="B148" s="9" t="s">
        <v>760</v>
      </c>
      <c r="C148" s="55" t="n">
        <f aca="false">(C146-C186)*C147</f>
        <v>1.425</v>
      </c>
      <c r="D148" s="55" t="n">
        <f aca="false">(D146-D186)*D147</f>
        <v>4.368</v>
      </c>
      <c r="E148" s="55" t="n">
        <f aca="false">(E146-E186)*E147</f>
        <v>7.62048</v>
      </c>
      <c r="F148" s="55" t="n">
        <f aca="false">(F146-F186)*F147</f>
        <v>8.429568</v>
      </c>
      <c r="G148" s="55" t="n">
        <f aca="false">(G146-G186)*G147</f>
        <v>8.49700454400001</v>
      </c>
      <c r="H148" s="55" t="n">
        <f aca="false">(H146-H186)*H147</f>
        <v>12.68886011904</v>
      </c>
      <c r="I148" s="55" t="n">
        <f aca="false">(I146-I186)*I147</f>
        <v>14.922099499991</v>
      </c>
      <c r="J148" s="55" t="n">
        <f aca="false">(J146-J186)*J147</f>
        <v>15.1210608266576</v>
      </c>
      <c r="K148" s="55" t="n">
        <f aca="false">(K146-K186)*K147</f>
        <v>17.8269348693226</v>
      </c>
      <c r="L148" s="55" t="n">
        <f aca="false">(L146-L186)*L147</f>
        <v>18.9678587009593</v>
      </c>
      <c r="M148" s="55" t="n">
        <f aca="false">(M146-M186)*M147</f>
        <v>19.0077910350666</v>
      </c>
      <c r="N148" s="55" t="n">
        <f aca="false">(N146-N186)*N147</f>
        <v>21.2887259592746</v>
      </c>
      <c r="O148" s="55" t="n">
        <f aca="false">(O146-O186)*O147</f>
        <v>25.2208788717523</v>
      </c>
      <c r="P148" s="55" t="n">
        <f aca="false">(P146-P186)*P147</f>
        <v>36.5835485108155</v>
      </c>
      <c r="Q148" s="55" t="n">
        <f aca="false">(Q146-Q186)*Q147</f>
        <v>40.2700445530592</v>
      </c>
      <c r="R148" s="55" t="n">
        <f aca="false">(R146-R186)*R147</f>
        <v>39.5243029872618</v>
      </c>
      <c r="S148" s="55" t="n">
        <f aca="false">(S146-S186)*S147</f>
        <v>30.1649480398782</v>
      </c>
      <c r="T148" s="55" t="n">
        <f aca="false">(T146-T186)*T147</f>
        <v>35.5276054691899</v>
      </c>
      <c r="U148" s="55" t="n">
        <f aca="false">(U146-U186)*U147</f>
        <v>39.5422248872084</v>
      </c>
      <c r="V148" s="55" t="n">
        <f aca="false">(V146-V186)*V147</f>
        <v>37.9228766299227</v>
      </c>
      <c r="W148" s="55" t="n">
        <f aca="false">(W146-W186)*W147</f>
        <v>42.3139465554927</v>
      </c>
      <c r="X148" s="55" t="n">
        <f aca="false">(X146-X186)*X147</f>
        <v>42.6101441813812</v>
      </c>
      <c r="Y148" s="55" t="n">
        <f aca="false">(Y146-Y186)*Y147</f>
        <v>40.4123577972889</v>
      </c>
      <c r="Z148" s="55" t="n">
        <f aca="false">(Z146-Z186)*Z147</f>
        <v>42.8370992651262</v>
      </c>
      <c r="AA148" s="55" t="n">
        <f aca="false">(AA146-AA186)*AA147</f>
        <v>49.3130607422659</v>
      </c>
      <c r="AB148" s="55" t="n">
        <f aca="false">(AB146-AB186)*AB147</f>
        <v>69.5054614040989</v>
      </c>
      <c r="AC148" s="55" t="n">
        <f aca="false">(AC146-AC186)*AC147</f>
        <v>74.3441108326151</v>
      </c>
      <c r="AD148" s="55" t="n">
        <f aca="false">(AD146-AD186)*AD147</f>
        <v>70.9022538496236</v>
      </c>
      <c r="AE148" s="55" t="n">
        <f aca="false">(AE146-AE186)*AE147</f>
        <v>52.5811114548809</v>
      </c>
      <c r="AF148" s="55" t="n">
        <f aca="false">(AF146-AF186)*AF147</f>
        <v>60.1761608872526</v>
      </c>
      <c r="AG148" s="55" t="n">
        <f aca="false">(AG146-AG186)*AG147</f>
        <v>65.0805179995637</v>
      </c>
      <c r="AH148" s="55" t="n">
        <f aca="false">(AH146-AH186)*AH147</f>
        <v>60.6488446310219</v>
      </c>
      <c r="AI148" s="55" t="n">
        <f aca="false">(AI146-AI186)*AI147</f>
        <v>65.7561157578449</v>
      </c>
      <c r="AJ148" s="55" t="n">
        <f aca="false">(AJ146-AJ186)*AJ147</f>
        <v>64.3423592690512</v>
      </c>
      <c r="AK148" s="55" t="n">
        <f aca="false">(AK146-AK186)*AK147</f>
        <v>59.296563726373</v>
      </c>
      <c r="AL148" s="55" t="n">
        <f aca="false">(AL146-AL186)*AL147</f>
        <v>61.0754606381642</v>
      </c>
      <c r="AM148" s="53" t="n">
        <f aca="false">SUMIF($C$6:$AL$6,1,C148:AL148)</f>
        <v>150.163383554312</v>
      </c>
      <c r="AN148" s="53" t="n">
        <f aca="false">SUMIF($C$6:$AL$6,2,C148:AL148)</f>
        <v>452.929977748377</v>
      </c>
      <c r="AO148" s="53" t="n">
        <f aca="false">SUMIF($C$6:$AL$6,3,C148:AL148)</f>
        <v>753.022021192756</v>
      </c>
      <c r="AP148" s="53" t="n">
        <f aca="false">SUM(C148:AL148)</f>
        <v>1356.11538249544</v>
      </c>
    </row>
    <row r="149" customFormat="false" ht="15" hidden="false" customHeight="false" outlineLevel="0" collapsed="false">
      <c r="A149" s="7" t="s">
        <v>761</v>
      </c>
      <c r="B149" s="9" t="s">
        <v>342</v>
      </c>
      <c r="C149" s="56" t="n">
        <f aca="false">C148*Assumptions!$D$105</f>
        <v>1.78125</v>
      </c>
      <c r="D149" s="56" t="n">
        <f aca="false">D148*Assumptions!$D$105</f>
        <v>5.46</v>
      </c>
      <c r="E149" s="56" t="n">
        <f aca="false">E148*Assumptions!$D$105</f>
        <v>9.5256</v>
      </c>
      <c r="F149" s="56" t="n">
        <f aca="false">F148*Assumptions!$D$105</f>
        <v>10.53696</v>
      </c>
      <c r="G149" s="56" t="n">
        <f aca="false">G148*Assumptions!$D$105</f>
        <v>10.62125568</v>
      </c>
      <c r="H149" s="56" t="n">
        <f aca="false">H148*Assumptions!$D$105</f>
        <v>15.8610751488</v>
      </c>
      <c r="I149" s="56" t="n">
        <f aca="false">I148*Assumptions!$D$105</f>
        <v>18.6526243749888</v>
      </c>
      <c r="J149" s="56" t="n">
        <f aca="false">J148*Assumptions!$D$105</f>
        <v>18.901326033322</v>
      </c>
      <c r="K149" s="56" t="n">
        <f aca="false">K148*Assumptions!$D$105</f>
        <v>22.2836685866533</v>
      </c>
      <c r="L149" s="56" t="n">
        <f aca="false">L148*Assumptions!$D$105</f>
        <v>23.7098233761991</v>
      </c>
      <c r="M149" s="56" t="n">
        <f aca="false">M148*Assumptions!$D$105</f>
        <v>23.7597387938332</v>
      </c>
      <c r="N149" s="56" t="n">
        <f aca="false">N148*Assumptions!$D$105</f>
        <v>26.6109074490932</v>
      </c>
      <c r="O149" s="56" t="n">
        <f aca="false">O148*Assumptions!$D$105</f>
        <v>31.5260985896904</v>
      </c>
      <c r="P149" s="56" t="n">
        <f aca="false">P148*Assumptions!$D$105</f>
        <v>45.7294356385194</v>
      </c>
      <c r="Q149" s="56" t="n">
        <f aca="false">Q148*Assumptions!$D$105</f>
        <v>50.337555691324</v>
      </c>
      <c r="R149" s="56" t="n">
        <f aca="false">R148*Assumptions!$D$105</f>
        <v>49.4053787340773</v>
      </c>
      <c r="S149" s="56" t="n">
        <f aca="false">S148*Assumptions!$D$105</f>
        <v>37.7061850498478</v>
      </c>
      <c r="T149" s="56" t="n">
        <f aca="false">T148*Assumptions!$D$105</f>
        <v>44.4095068364874</v>
      </c>
      <c r="U149" s="56" t="n">
        <f aca="false">U148*Assumptions!$D$105</f>
        <v>49.4277811090105</v>
      </c>
      <c r="V149" s="56" t="n">
        <f aca="false">V148*Assumptions!$D$105</f>
        <v>47.4035957874034</v>
      </c>
      <c r="W149" s="56" t="n">
        <f aca="false">W148*Assumptions!$D$105</f>
        <v>52.8924331943659</v>
      </c>
      <c r="X149" s="56" t="n">
        <f aca="false">X148*Assumptions!$D$105</f>
        <v>53.2626802267264</v>
      </c>
      <c r="Y149" s="56" t="n">
        <f aca="false">Y148*Assumptions!$D$105</f>
        <v>50.5154472466111</v>
      </c>
      <c r="Z149" s="56" t="n">
        <f aca="false">Z148*Assumptions!$D$105</f>
        <v>53.5463740814078</v>
      </c>
      <c r="AA149" s="56" t="n">
        <f aca="false">AA148*Assumptions!$D$105</f>
        <v>61.6413259278323</v>
      </c>
      <c r="AB149" s="56" t="n">
        <f aca="false">AB148*Assumptions!$D$105</f>
        <v>86.8818267551237</v>
      </c>
      <c r="AC149" s="56" t="n">
        <f aca="false">AC148*Assumptions!$D$105</f>
        <v>92.9301385407688</v>
      </c>
      <c r="AD149" s="56" t="n">
        <f aca="false">AD148*Assumptions!$D$105</f>
        <v>88.6278173120295</v>
      </c>
      <c r="AE149" s="56" t="n">
        <f aca="false">AE148*Assumptions!$D$105</f>
        <v>65.7263893186011</v>
      </c>
      <c r="AF149" s="56" t="n">
        <f aca="false">AF148*Assumptions!$D$105</f>
        <v>75.2202011090657</v>
      </c>
      <c r="AG149" s="56" t="n">
        <f aca="false">AG148*Assumptions!$D$105</f>
        <v>81.3506474994546</v>
      </c>
      <c r="AH149" s="56" t="n">
        <f aca="false">AH148*Assumptions!$D$105</f>
        <v>75.8110557887774</v>
      </c>
      <c r="AI149" s="56" t="n">
        <f aca="false">AI148*Assumptions!$D$105</f>
        <v>82.1951446973061</v>
      </c>
      <c r="AJ149" s="56" t="n">
        <f aca="false">AJ148*Assumptions!$D$105</f>
        <v>80.427949086314</v>
      </c>
      <c r="AK149" s="56" t="n">
        <f aca="false">AK148*Assumptions!$D$105</f>
        <v>74.1207046579662</v>
      </c>
      <c r="AL149" s="56" t="n">
        <f aca="false">AL148*Assumptions!$D$105</f>
        <v>76.3443257977052</v>
      </c>
      <c r="AM149" s="53" t="n">
        <f aca="false">SUMIF($C$6:$AL$6,1,C149:AL149)</f>
        <v>187.70422944289</v>
      </c>
      <c r="AN149" s="53" t="n">
        <f aca="false">SUMIF($C$6:$AL$6,2,C149:AL149)</f>
        <v>566.162472185471</v>
      </c>
      <c r="AO149" s="53" t="n">
        <f aca="false">SUMIF($C$6:$AL$6,3,C149:AL149)</f>
        <v>941.277526490945</v>
      </c>
      <c r="AP149" s="53" t="n">
        <f aca="false">SUM(C149:AL149)</f>
        <v>1695.14422811931</v>
      </c>
    </row>
    <row r="150" customFormat="false" ht="15" hidden="false" customHeight="false" outlineLevel="0" collapsed="false">
      <c r="A150" s="7" t="s">
        <v>762</v>
      </c>
      <c r="B150" s="9" t="s">
        <v>101</v>
      </c>
      <c r="C150" s="15" t="n">
        <f aca="false">'Unit Economics'!$E$50*Assumptions!$D$105*C144</f>
        <v>11.408625</v>
      </c>
      <c r="D150" s="15" t="n">
        <f aca="false">'Unit Economics'!$E$50*Assumptions!$D$105*D144</f>
        <v>11.408625</v>
      </c>
      <c r="E150" s="15" t="n">
        <f aca="false">'Unit Economics'!$E$50*Assumptions!$D$105*E144</f>
        <v>11.408625</v>
      </c>
      <c r="F150" s="15" t="n">
        <f aca="false">'Unit Economics'!$E$50*Assumptions!$D$105*F144</f>
        <v>11.408625</v>
      </c>
      <c r="G150" s="15" t="n">
        <f aca="false">'Unit Economics'!$E$50*Assumptions!$D$105*G144</f>
        <v>11.408625</v>
      </c>
      <c r="H150" s="15" t="n">
        <f aca="false">'Unit Economics'!$E$50*Assumptions!$D$105*H144</f>
        <v>11.408625</v>
      </c>
      <c r="I150" s="15" t="n">
        <f aca="false">'Unit Economics'!$E$50*Assumptions!$D$105*I144</f>
        <v>11.408625</v>
      </c>
      <c r="J150" s="15" t="n">
        <f aca="false">'Unit Economics'!$E$50*Assumptions!$D$105*J144</f>
        <v>11.408625</v>
      </c>
      <c r="K150" s="15" t="n">
        <f aca="false">'Unit Economics'!$E$50*Assumptions!$D$105*K144</f>
        <v>11.408625</v>
      </c>
      <c r="L150" s="15" t="n">
        <f aca="false">'Unit Economics'!$E$50*Assumptions!$D$105*L144</f>
        <v>11.408625</v>
      </c>
      <c r="M150" s="15" t="n">
        <f aca="false">'Unit Economics'!$E$50*Assumptions!$D$105*M144</f>
        <v>11.408625</v>
      </c>
      <c r="N150" s="15" t="n">
        <f aca="false">'Unit Economics'!$E$50*Assumptions!$D$105*N144</f>
        <v>11.408625</v>
      </c>
      <c r="O150" s="15" t="n">
        <f aca="false">'Unit Economics'!$E$50*Assumptions!$D$105*O144</f>
        <v>11.408625</v>
      </c>
      <c r="P150" s="15" t="n">
        <f aca="false">'Unit Economics'!$E$50*Assumptions!$D$105*P144</f>
        <v>11.408625</v>
      </c>
      <c r="Q150" s="15" t="n">
        <f aca="false">'Unit Economics'!$E$50*Assumptions!$D$105*Q144</f>
        <v>11.408625</v>
      </c>
      <c r="R150" s="15" t="n">
        <f aca="false">'Unit Economics'!$E$50*Assumptions!$D$105*R144</f>
        <v>11.408625</v>
      </c>
      <c r="S150" s="15" t="n">
        <f aca="false">'Unit Economics'!$E$50*Assumptions!$D$105*S144</f>
        <v>11.408625</v>
      </c>
      <c r="T150" s="15" t="n">
        <f aca="false">'Unit Economics'!$E$50*Assumptions!$D$105*T144</f>
        <v>11.408625</v>
      </c>
      <c r="U150" s="15" t="n">
        <f aca="false">'Unit Economics'!$E$50*Assumptions!$D$105*U144</f>
        <v>11.408625</v>
      </c>
      <c r="V150" s="15" t="n">
        <f aca="false">'Unit Economics'!$E$50*Assumptions!$D$105*V144</f>
        <v>11.408625</v>
      </c>
      <c r="W150" s="15" t="n">
        <f aca="false">'Unit Economics'!$E$50*Assumptions!$D$105*W144</f>
        <v>11.408625</v>
      </c>
      <c r="X150" s="15" t="n">
        <f aca="false">'Unit Economics'!$E$50*Assumptions!$D$105*X144</f>
        <v>11.408625</v>
      </c>
      <c r="Y150" s="15" t="n">
        <f aca="false">'Unit Economics'!$E$50*Assumptions!$D$105*Y144</f>
        <v>11.408625</v>
      </c>
      <c r="Z150" s="15" t="n">
        <f aca="false">'Unit Economics'!$E$50*Assumptions!$D$105*Z144</f>
        <v>11.408625</v>
      </c>
      <c r="AA150" s="15" t="n">
        <f aca="false">'Unit Economics'!$E$50*Assumptions!$D$105*AA144</f>
        <v>11.408625</v>
      </c>
      <c r="AB150" s="15" t="n">
        <f aca="false">'Unit Economics'!$E$50*Assumptions!$D$105*AB144</f>
        <v>11.408625</v>
      </c>
      <c r="AC150" s="15" t="n">
        <f aca="false">'Unit Economics'!$E$50*Assumptions!$D$105*AC144</f>
        <v>11.408625</v>
      </c>
      <c r="AD150" s="15" t="n">
        <f aca="false">'Unit Economics'!$E$50*Assumptions!$D$105*AD144</f>
        <v>11.408625</v>
      </c>
      <c r="AE150" s="15" t="n">
        <f aca="false">'Unit Economics'!$E$50*Assumptions!$D$105*AE144</f>
        <v>11.408625</v>
      </c>
      <c r="AF150" s="15" t="n">
        <f aca="false">'Unit Economics'!$E$50*Assumptions!$D$105*AF144</f>
        <v>11.408625</v>
      </c>
      <c r="AG150" s="15" t="n">
        <f aca="false">'Unit Economics'!$E$50*Assumptions!$D$105*AG144</f>
        <v>11.408625</v>
      </c>
      <c r="AH150" s="15" t="n">
        <f aca="false">'Unit Economics'!$E$50*Assumptions!$D$105*AH144</f>
        <v>11.408625</v>
      </c>
      <c r="AI150" s="15" t="n">
        <f aca="false">'Unit Economics'!$E$50*Assumptions!$D$105*AI144</f>
        <v>11.408625</v>
      </c>
      <c r="AJ150" s="15" t="n">
        <f aca="false">'Unit Economics'!$E$50*Assumptions!$D$105*AJ144</f>
        <v>11.408625</v>
      </c>
      <c r="AK150" s="15" t="n">
        <f aca="false">'Unit Economics'!$E$50*Assumptions!$D$105*AK144</f>
        <v>11.408625</v>
      </c>
      <c r="AL150" s="15" t="n">
        <f aca="false">'Unit Economics'!$E$50*Assumptions!$D$105*AL144</f>
        <v>11.408625</v>
      </c>
    </row>
    <row r="151" customFormat="false" ht="15" hidden="false" customHeight="false" outlineLevel="0" collapsed="false">
      <c r="A151" s="7" t="s">
        <v>763</v>
      </c>
      <c r="B151" s="9" t="s">
        <v>101</v>
      </c>
      <c r="C151" s="8" t="n">
        <f aca="false">C149*'Unit Economics'!$E$50</f>
        <v>16.257290625</v>
      </c>
      <c r="D151" s="8" t="n">
        <f aca="false">D149*'Unit Economics'!$E$50</f>
        <v>49.832874</v>
      </c>
      <c r="E151" s="8" t="n">
        <f aca="false">E149*'Unit Economics'!$E$50</f>
        <v>86.93919864</v>
      </c>
      <c r="F151" s="8" t="n">
        <f aca="false">F149*'Unit Economics'!$E$50</f>
        <v>96.169780224</v>
      </c>
      <c r="G151" s="8" t="n">
        <f aca="false">G149*'Unit Economics'!$E$50</f>
        <v>96.9391384657921</v>
      </c>
      <c r="H151" s="8" t="n">
        <f aca="false">H149*'Unit Economics'!$E$50</f>
        <v>144.762446775583</v>
      </c>
      <c r="I151" s="8" t="n">
        <f aca="false">I149*'Unit Economics'!$E$50</f>
        <v>170.240637408085</v>
      </c>
      <c r="J151" s="8" t="n">
        <f aca="false">J149*'Unit Economics'!$E$50</f>
        <v>172.510512573527</v>
      </c>
      <c r="K151" s="8" t="n">
        <f aca="false">K149*'Unit Economics'!$E$50</f>
        <v>203.380814823526</v>
      </c>
      <c r="L151" s="8" t="n">
        <f aca="false">L149*'Unit Economics'!$E$50</f>
        <v>216.397186972232</v>
      </c>
      <c r="M151" s="8" t="n">
        <f aca="false">M149*'Unit Economics'!$E$50</f>
        <v>216.852759997436</v>
      </c>
      <c r="N151" s="8" t="n">
        <f aca="false">N149*'Unit Economics'!$E$50</f>
        <v>242.875091197129</v>
      </c>
      <c r="O151" s="8" t="n">
        <f aca="false">O149*'Unit Economics'!$E$50</f>
        <v>287.735549218246</v>
      </c>
      <c r="P151" s="8" t="n">
        <f aca="false">P149*'Unit Economics'!$E$50</f>
        <v>417.367986129203</v>
      </c>
      <c r="Q151" s="8" t="n">
        <f aca="false">Q149*'Unit Economics'!$E$50</f>
        <v>459.425837039145</v>
      </c>
      <c r="R151" s="8" t="n">
        <f aca="false">R149*'Unit Economics'!$E$50</f>
        <v>450.91795116805</v>
      </c>
      <c r="S151" s="8" t="n">
        <f aca="false">S149*'Unit Economics'!$E$50</f>
        <v>344.140580331456</v>
      </c>
      <c r="T151" s="8" t="n">
        <f aca="false">T149*'Unit Economics'!$E$50</f>
        <v>405.321127945937</v>
      </c>
      <c r="U151" s="8" t="n">
        <f aca="false">U149*'Unit Economics'!$E$50</f>
        <v>451.122415403828</v>
      </c>
      <c r="V151" s="8" t="n">
        <f aca="false">V149*'Unit Economics'!$E$50</f>
        <v>432.647878392052</v>
      </c>
      <c r="W151" s="8" t="n">
        <f aca="false">W149*'Unit Economics'!$E$50</f>
        <v>482.743948521658</v>
      </c>
      <c r="X151" s="8" t="n">
        <f aca="false">X149*'Unit Economics'!$E$50</f>
        <v>486.12315616131</v>
      </c>
      <c r="Y151" s="8" t="n">
        <f aca="false">Y149*'Unit Economics'!$E$50</f>
        <v>461.049435475095</v>
      </c>
      <c r="Z151" s="8" t="n">
        <f aca="false">Z149*'Unit Economics'!$E$50</f>
        <v>488.712401603601</v>
      </c>
      <c r="AA151" s="8" t="n">
        <f aca="false">AA149*'Unit Economics'!$E$50</f>
        <v>562.594217610733</v>
      </c>
      <c r="AB151" s="8" t="n">
        <f aca="false">AB149*'Unit Economics'!$E$50</f>
        <v>792.961744611338</v>
      </c>
      <c r="AC151" s="8" t="n">
        <f aca="false">AC149*'Unit Economics'!$E$50</f>
        <v>848.164081447743</v>
      </c>
      <c r="AD151" s="8" t="n">
        <f aca="false">AD149*'Unit Economics'!$E$50</f>
        <v>808.897225825162</v>
      </c>
      <c r="AE151" s="8" t="n">
        <f aca="false">AE149*'Unit Economics'!$E$50</f>
        <v>599.878182671941</v>
      </c>
      <c r="AF151" s="8" t="n">
        <f aca="false">AF149*'Unit Economics'!$E$50</f>
        <v>686.527253502332</v>
      </c>
      <c r="AG151" s="8" t="n">
        <f aca="false">AG149*'Unit Economics'!$E$50</f>
        <v>742.479224662772</v>
      </c>
      <c r="AH151" s="8" t="n">
        <f aca="false">AH149*'Unit Economics'!$E$50</f>
        <v>691.919925078593</v>
      </c>
      <c r="AI151" s="8" t="n">
        <f aca="false">AI149*'Unit Economics'!$E$50</f>
        <v>750.186866137843</v>
      </c>
      <c r="AJ151" s="8" t="n">
        <f aca="false">AJ149*'Unit Economics'!$E$50</f>
        <v>734.057848515879</v>
      </c>
      <c r="AK151" s="8" t="n">
        <f aca="false">AK149*'Unit Economics'!$E$50</f>
        <v>676.492259342792</v>
      </c>
      <c r="AL151" s="8" t="n">
        <f aca="false">AL149*'Unit Economics'!$E$50</f>
        <v>696.787027123076</v>
      </c>
      <c r="AM151" s="45" t="n">
        <f aca="false">SUMIF($C$6:$AL$6,1,C151:AL151)</f>
        <v>1713.15773170231</v>
      </c>
      <c r="AN151" s="45" t="n">
        <f aca="false">SUMIF($C$6:$AL$6,2,C151:AL151)</f>
        <v>5167.30826738958</v>
      </c>
      <c r="AO151" s="45" t="n">
        <f aca="false">SUMIF($C$6:$AL$6,3,C151:AL151)</f>
        <v>8590.9458565302</v>
      </c>
      <c r="AP151" s="45" t="n">
        <f aca="false">SUM(C151:AL151)</f>
        <v>15471.4118556221</v>
      </c>
    </row>
    <row r="152" customFormat="false" ht="15" hidden="false" customHeight="false" outlineLevel="0" collapsed="false">
      <c r="A152" s="7" t="s">
        <v>764</v>
      </c>
      <c r="B152" s="9" t="s">
        <v>101</v>
      </c>
      <c r="C152" s="8" t="n">
        <f aca="false">C149*'Unit Economics'!$F$50</f>
        <v>14.480995884375</v>
      </c>
      <c r="D152" s="8" t="n">
        <f aca="false">D149*'Unit Economics'!$F$50</f>
        <v>44.388063174</v>
      </c>
      <c r="E152" s="8" t="n">
        <f aca="false">E149*'Unit Economics'!$F$50</f>
        <v>77.44009790664</v>
      </c>
      <c r="F152" s="8" t="n">
        <f aca="false">F149*'Unit Economics'!$F$50</f>
        <v>85.662132993024</v>
      </c>
      <c r="G152" s="8" t="n">
        <f aca="false">G149*'Unit Economics'!$F$50</f>
        <v>86.3474300569682</v>
      </c>
      <c r="H152" s="8" t="n">
        <f aca="false">H149*'Unit Economics'!$F$50</f>
        <v>128.945495551739</v>
      </c>
      <c r="I152" s="8" t="n">
        <f aca="false">I149*'Unit Economics'!$F$50</f>
        <v>151.639902768845</v>
      </c>
      <c r="J152" s="8" t="n">
        <f aca="false">J149*'Unit Economics'!$F$50</f>
        <v>153.661768139097</v>
      </c>
      <c r="K152" s="8" t="n">
        <f aca="false">K149*'Unit Economics'!$F$50</f>
        <v>181.159137174514</v>
      </c>
      <c r="L152" s="8" t="n">
        <f aca="false">L149*'Unit Economics'!$F$50</f>
        <v>192.753321953683</v>
      </c>
      <c r="M152" s="8" t="n">
        <f aca="false">M149*'Unit Economics'!$F$50</f>
        <v>193.159118420954</v>
      </c>
      <c r="N152" s="8" t="n">
        <f aca="false">N149*'Unit Economics'!$F$50</f>
        <v>216.338212631468</v>
      </c>
      <c r="O152" s="8" t="n">
        <f aca="false">O149*'Unit Economics'!$F$50</f>
        <v>256.297153082222</v>
      </c>
      <c r="P152" s="8" t="n">
        <f aca="false">P149*'Unit Economics'!$F$50</f>
        <v>371.765765207686</v>
      </c>
      <c r="Q152" s="8" t="n">
        <f aca="false">Q149*'Unit Economics'!$F$50</f>
        <v>409.228315393999</v>
      </c>
      <c r="R152" s="8" t="n">
        <f aca="false">R149*'Unit Economics'!$F$50</f>
        <v>401.650013257073</v>
      </c>
      <c r="S152" s="8" t="n">
        <f aca="false">S149*'Unit Economics'!$F$50</f>
        <v>306.539290117798</v>
      </c>
      <c r="T152" s="8" t="n">
        <f aca="false">T149*'Unit Economics'!$F$50</f>
        <v>361.035163916518</v>
      </c>
      <c r="U152" s="8" t="n">
        <f aca="false">U149*'Unit Economics'!$F$50</f>
        <v>401.832137439084</v>
      </c>
      <c r="V152" s="8" t="n">
        <f aca="false">V149*'Unit Economics'!$F$50</f>
        <v>385.37615466777</v>
      </c>
      <c r="W152" s="8" t="n">
        <f aca="false">W149*'Unit Economics'!$F$50</f>
        <v>429.998656787195</v>
      </c>
      <c r="X152" s="8" t="n">
        <f aca="false">X149*'Unit Economics'!$F$50</f>
        <v>433.008647384706</v>
      </c>
      <c r="Y152" s="8" t="n">
        <f aca="false">Y149*'Unit Economics'!$F$50</f>
        <v>410.674517151179</v>
      </c>
      <c r="Z152" s="8" t="n">
        <f aca="false">Z149*'Unit Economics'!$F$50</f>
        <v>435.31498818025</v>
      </c>
      <c r="AA152" s="8" t="n">
        <f aca="false">AA149*'Unit Economics'!$F$50</f>
        <v>501.124371687499</v>
      </c>
      <c r="AB152" s="8" t="n">
        <f aca="false">AB149*'Unit Economics'!$F$50</f>
        <v>706.321614410065</v>
      </c>
      <c r="AC152" s="8" t="n">
        <f aca="false">AC149*'Unit Economics'!$F$50</f>
        <v>755.492465259381</v>
      </c>
      <c r="AD152" s="8" t="n">
        <f aca="false">AD149*'Unit Economics'!$F$50</f>
        <v>720.515962238113</v>
      </c>
      <c r="AE152" s="8" t="n">
        <f aca="false">AE149*'Unit Economics'!$F$50</f>
        <v>534.334637595785</v>
      </c>
      <c r="AF152" s="8" t="n">
        <f aca="false">AF149*'Unit Economics'!$F$50</f>
        <v>611.516307470731</v>
      </c>
      <c r="AG152" s="8" t="n">
        <f aca="false">AG149*'Unit Economics'!$F$50</f>
        <v>661.354886529596</v>
      </c>
      <c r="AH152" s="8" t="n">
        <f aca="false">AH149*'Unit Economics'!$F$50</f>
        <v>616.319768065914</v>
      </c>
      <c r="AI152" s="8" t="n">
        <f aca="false">AI149*'Unit Economics'!$F$50</f>
        <v>668.22038011357</v>
      </c>
      <c r="AJ152" s="8" t="n">
        <f aca="false">AJ149*'Unit Economics'!$F$50</f>
        <v>653.853641941128</v>
      </c>
      <c r="AK152" s="8" t="n">
        <f aca="false">AK149*'Unit Economics'!$F$50</f>
        <v>602.577751073113</v>
      </c>
      <c r="AL152" s="8" t="n">
        <f aca="false">AL149*'Unit Economics'!$F$50</f>
        <v>620.655083605307</v>
      </c>
      <c r="AM152" s="45" t="n">
        <f aca="false">SUMIF($C$6:$AL$6,1,C152:AL152)</f>
        <v>1525.97567665531</v>
      </c>
      <c r="AN152" s="45" t="n">
        <f aca="false">SUMIF($C$6:$AL$6,2,C152:AL152)</f>
        <v>4602.72080258548</v>
      </c>
      <c r="AO152" s="45" t="n">
        <f aca="false">SUMIF($C$6:$AL$6,3,C152:AL152)</f>
        <v>7652.2868699902</v>
      </c>
      <c r="AP152" s="45" t="n">
        <f aca="false">SUM(C152:AL152)</f>
        <v>13780.983349231</v>
      </c>
    </row>
    <row r="153" customFormat="false" ht="15" hidden="false" customHeight="false" outlineLevel="0" collapsed="false">
      <c r="A153" s="5" t="s">
        <v>572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</row>
    <row r="154" customFormat="false" ht="15" hidden="false" customHeight="false" outlineLevel="0" collapsed="false">
      <c r="A154" s="7" t="s">
        <v>755</v>
      </c>
      <c r="B154" s="9" t="s">
        <v>319</v>
      </c>
      <c r="C154" s="38" t="n">
        <f aca="false">IF(AND(Assumptions!$D$108=1,C$4&gt;=Assumptions!$D$109),1,0)</f>
        <v>1</v>
      </c>
      <c r="D154" s="38" t="n">
        <f aca="false">IF(AND(Assumptions!$D$108=1,D$4&gt;=Assumptions!$D$109),1,0)</f>
        <v>1</v>
      </c>
      <c r="E154" s="38" t="n">
        <f aca="false">IF(AND(Assumptions!$D$108=1,E$4&gt;=Assumptions!$D$109),1,0)</f>
        <v>1</v>
      </c>
      <c r="F154" s="38" t="n">
        <f aca="false">IF(AND(Assumptions!$D$108=1,F$4&gt;=Assumptions!$D$109),1,0)</f>
        <v>1</v>
      </c>
      <c r="G154" s="38" t="n">
        <f aca="false">IF(AND(Assumptions!$D$108=1,G$4&gt;=Assumptions!$D$109),1,0)</f>
        <v>1</v>
      </c>
      <c r="H154" s="38" t="n">
        <f aca="false">IF(AND(Assumptions!$D$108=1,H$4&gt;=Assumptions!$D$109),1,0)</f>
        <v>1</v>
      </c>
      <c r="I154" s="38" t="n">
        <f aca="false">IF(AND(Assumptions!$D$108=1,I$4&gt;=Assumptions!$D$109),1,0)</f>
        <v>1</v>
      </c>
      <c r="J154" s="38" t="n">
        <f aca="false">IF(AND(Assumptions!$D$108=1,J$4&gt;=Assumptions!$D$109),1,0)</f>
        <v>1</v>
      </c>
      <c r="K154" s="38" t="n">
        <f aca="false">IF(AND(Assumptions!$D$108=1,K$4&gt;=Assumptions!$D$109),1,0)</f>
        <v>1</v>
      </c>
      <c r="L154" s="38" t="n">
        <f aca="false">IF(AND(Assumptions!$D$108=1,L$4&gt;=Assumptions!$D$109),1,0)</f>
        <v>1</v>
      </c>
      <c r="M154" s="38" t="n">
        <f aca="false">IF(AND(Assumptions!$D$108=1,M$4&gt;=Assumptions!$D$109),1,0)</f>
        <v>1</v>
      </c>
      <c r="N154" s="38" t="n">
        <f aca="false">IF(AND(Assumptions!$D$108=1,N$4&gt;=Assumptions!$D$109),1,0)</f>
        <v>1</v>
      </c>
      <c r="O154" s="38" t="n">
        <f aca="false">IF(AND(Assumptions!$D$108=1,O$4&gt;=Assumptions!$D$109),1,0)</f>
        <v>1</v>
      </c>
      <c r="P154" s="38" t="n">
        <f aca="false">IF(AND(Assumptions!$D$108=1,P$4&gt;=Assumptions!$D$109),1,0)</f>
        <v>1</v>
      </c>
      <c r="Q154" s="38" t="n">
        <f aca="false">IF(AND(Assumptions!$D$108=1,Q$4&gt;=Assumptions!$D$109),1,0)</f>
        <v>1</v>
      </c>
      <c r="R154" s="38" t="n">
        <f aca="false">IF(AND(Assumptions!$D$108=1,R$4&gt;=Assumptions!$D$109),1,0)</f>
        <v>1</v>
      </c>
      <c r="S154" s="38" t="n">
        <f aca="false">IF(AND(Assumptions!$D$108=1,S$4&gt;=Assumptions!$D$109),1,0)</f>
        <v>1</v>
      </c>
      <c r="T154" s="38" t="n">
        <f aca="false">IF(AND(Assumptions!$D$108=1,T$4&gt;=Assumptions!$D$109),1,0)</f>
        <v>1</v>
      </c>
      <c r="U154" s="38" t="n">
        <f aca="false">IF(AND(Assumptions!$D$108=1,U$4&gt;=Assumptions!$D$109),1,0)</f>
        <v>1</v>
      </c>
      <c r="V154" s="38" t="n">
        <f aca="false">IF(AND(Assumptions!$D$108=1,V$4&gt;=Assumptions!$D$109),1,0)</f>
        <v>1</v>
      </c>
      <c r="W154" s="38" t="n">
        <f aca="false">IF(AND(Assumptions!$D$108=1,W$4&gt;=Assumptions!$D$109),1,0)</f>
        <v>1</v>
      </c>
      <c r="X154" s="38" t="n">
        <f aca="false">IF(AND(Assumptions!$D$108=1,X$4&gt;=Assumptions!$D$109),1,0)</f>
        <v>1</v>
      </c>
      <c r="Y154" s="38" t="n">
        <f aca="false">IF(AND(Assumptions!$D$108=1,Y$4&gt;=Assumptions!$D$109),1,0)</f>
        <v>1</v>
      </c>
      <c r="Z154" s="38" t="n">
        <f aca="false">IF(AND(Assumptions!$D$108=1,Z$4&gt;=Assumptions!$D$109),1,0)</f>
        <v>1</v>
      </c>
      <c r="AA154" s="38" t="n">
        <f aca="false">IF(AND(Assumptions!$D$108=1,AA$4&gt;=Assumptions!$D$109),1,0)</f>
        <v>1</v>
      </c>
      <c r="AB154" s="38" t="n">
        <f aca="false">IF(AND(Assumptions!$D$108=1,AB$4&gt;=Assumptions!$D$109),1,0)</f>
        <v>1</v>
      </c>
      <c r="AC154" s="38" t="n">
        <f aca="false">IF(AND(Assumptions!$D$108=1,AC$4&gt;=Assumptions!$D$109),1,0)</f>
        <v>1</v>
      </c>
      <c r="AD154" s="38" t="n">
        <f aca="false">IF(AND(Assumptions!$D$108=1,AD$4&gt;=Assumptions!$D$109),1,0)</f>
        <v>1</v>
      </c>
      <c r="AE154" s="38" t="n">
        <f aca="false">IF(AND(Assumptions!$D$108=1,AE$4&gt;=Assumptions!$D$109),1,0)</f>
        <v>1</v>
      </c>
      <c r="AF154" s="38" t="n">
        <f aca="false">IF(AND(Assumptions!$D$108=1,AF$4&gt;=Assumptions!$D$109),1,0)</f>
        <v>1</v>
      </c>
      <c r="AG154" s="38" t="n">
        <f aca="false">IF(AND(Assumptions!$D$108=1,AG$4&gt;=Assumptions!$D$109),1,0)</f>
        <v>1</v>
      </c>
      <c r="AH154" s="38" t="n">
        <f aca="false">IF(AND(Assumptions!$D$108=1,AH$4&gt;=Assumptions!$D$109),1,0)</f>
        <v>1</v>
      </c>
      <c r="AI154" s="38" t="n">
        <f aca="false">IF(AND(Assumptions!$D$108=1,AI$4&gt;=Assumptions!$D$109),1,0)</f>
        <v>1</v>
      </c>
      <c r="AJ154" s="38" t="n">
        <f aca="false">IF(AND(Assumptions!$D$108=1,AJ$4&gt;=Assumptions!$D$109),1,0)</f>
        <v>1</v>
      </c>
      <c r="AK154" s="38" t="n">
        <f aca="false">IF(AND(Assumptions!$D$108=1,AK$4&gt;=Assumptions!$D$109),1,0)</f>
        <v>1</v>
      </c>
      <c r="AL154" s="38" t="n">
        <f aca="false">IF(AND(Assumptions!$D$108=1,AL$4&gt;=Assumptions!$D$109),1,0)</f>
        <v>1</v>
      </c>
    </row>
    <row r="155" customFormat="false" ht="15" hidden="false" customHeight="false" outlineLevel="0" collapsed="false">
      <c r="A155" s="7" t="s">
        <v>756</v>
      </c>
      <c r="B155" s="9" t="s">
        <v>327</v>
      </c>
      <c r="C155" s="14" t="n">
        <f aca="false">IF(C154=0,0,Assumptions!$D$110)</f>
        <v>800</v>
      </c>
      <c r="D155" s="14" t="n">
        <f aca="false">IF(D154=0,0,IF(D$4=Assumptions!$D$109,Assumptions!$D$110,C155*(1+CHOOSE(D$6,Assumptions!$D$111,Assumptions!$D$112,Assumptions!$D$113))))</f>
        <v>896</v>
      </c>
      <c r="E155" s="14" t="n">
        <f aca="false">IF(E154=0,0,IF(E$4=Assumptions!$D$109,Assumptions!$D$110,D155*(1+CHOOSE(E$6,Assumptions!$D$111,Assumptions!$D$112,Assumptions!$D$113))))</f>
        <v>1003.52</v>
      </c>
      <c r="F155" s="14" t="n">
        <f aca="false">IF(F154=0,0,IF(F$4=Assumptions!$D$109,Assumptions!$D$110,E155*(1+CHOOSE(F$6,Assumptions!$D$111,Assumptions!$D$112,Assumptions!$D$113))))</f>
        <v>1123.9424</v>
      </c>
      <c r="G155" s="14" t="n">
        <f aca="false">IF(G154=0,0,IF(G$4=Assumptions!$D$109,Assumptions!$D$110,F155*(1+CHOOSE(G$6,Assumptions!$D$111,Assumptions!$D$112,Assumptions!$D$113))))</f>
        <v>1258.815488</v>
      </c>
      <c r="H155" s="14" t="n">
        <f aca="false">IF(H154=0,0,IF(H$4=Assumptions!$D$109,Assumptions!$D$110,G155*(1+CHOOSE(H$6,Assumptions!$D$111,Assumptions!$D$112,Assumptions!$D$113))))</f>
        <v>1409.87334656</v>
      </c>
      <c r="I155" s="14" t="n">
        <f aca="false">IF(I154=0,0,IF(I$4=Assumptions!$D$109,Assumptions!$D$110,H155*(1+CHOOSE(I$6,Assumptions!$D$111,Assumptions!$D$112,Assumptions!$D$113))))</f>
        <v>1579.0581481472</v>
      </c>
      <c r="J155" s="14" t="n">
        <f aca="false">IF(J154=0,0,IF(J$4=Assumptions!$D$109,Assumptions!$D$110,I155*(1+CHOOSE(J$6,Assumptions!$D$111,Assumptions!$D$112,Assumptions!$D$113))))</f>
        <v>1768.54512592486</v>
      </c>
      <c r="K155" s="14" t="n">
        <f aca="false">IF(K154=0,0,IF(K$4=Assumptions!$D$109,Assumptions!$D$110,J155*(1+CHOOSE(K$6,Assumptions!$D$111,Assumptions!$D$112,Assumptions!$D$113))))</f>
        <v>1980.77054103585</v>
      </c>
      <c r="L155" s="14" t="n">
        <f aca="false">IF(L154=0,0,IF(L$4=Assumptions!$D$109,Assumptions!$D$110,K155*(1+CHOOSE(L$6,Assumptions!$D$111,Assumptions!$D$112,Assumptions!$D$113))))</f>
        <v>2218.46300596015</v>
      </c>
      <c r="M155" s="14" t="n">
        <f aca="false">IF(M154=0,0,IF(M$4=Assumptions!$D$109,Assumptions!$D$110,L155*(1+CHOOSE(M$6,Assumptions!$D$111,Assumptions!$D$112,Assumptions!$D$113))))</f>
        <v>2484.67856667537</v>
      </c>
      <c r="N155" s="14" t="n">
        <f aca="false">IF(N154=0,0,IF(N$4=Assumptions!$D$109,Assumptions!$D$110,M155*(1+CHOOSE(N$6,Assumptions!$D$111,Assumptions!$D$112,Assumptions!$D$113))))</f>
        <v>2782.83999467641</v>
      </c>
      <c r="O155" s="14" t="n">
        <f aca="false">IF(O154=0,0,IF(O$4=Assumptions!$D$109,Assumptions!$D$110,N155*(1+CHOOSE(O$6,Assumptions!$D$111,Assumptions!$D$112,Assumptions!$D$113))))</f>
        <v>2921.98199441023</v>
      </c>
      <c r="P155" s="14" t="n">
        <f aca="false">IF(P154=0,0,IF(P$4=Assumptions!$D$109,Assumptions!$D$110,O155*(1+CHOOSE(P$6,Assumptions!$D$111,Assumptions!$D$112,Assumptions!$D$113))))</f>
        <v>3068.08109413075</v>
      </c>
      <c r="Q155" s="14" t="n">
        <f aca="false">IF(Q154=0,0,IF(Q$4=Assumptions!$D$109,Assumptions!$D$110,P155*(1+CHOOSE(Q$6,Assumptions!$D$111,Assumptions!$D$112,Assumptions!$D$113))))</f>
        <v>3221.48514883728</v>
      </c>
      <c r="R155" s="14" t="n">
        <f aca="false">IF(R154=0,0,IF(R$4=Assumptions!$D$109,Assumptions!$D$110,Q155*(1+CHOOSE(R$6,Assumptions!$D$111,Assumptions!$D$112,Assumptions!$D$113))))</f>
        <v>3382.55940627915</v>
      </c>
      <c r="S155" s="14" t="n">
        <f aca="false">IF(S154=0,0,IF(S$4=Assumptions!$D$109,Assumptions!$D$110,R155*(1+CHOOSE(S$6,Assumptions!$D$111,Assumptions!$D$112,Assumptions!$D$113))))</f>
        <v>3551.68737659311</v>
      </c>
      <c r="T155" s="14" t="n">
        <f aca="false">IF(T154=0,0,IF(T$4=Assumptions!$D$109,Assumptions!$D$110,S155*(1+CHOOSE(T$6,Assumptions!$D$111,Assumptions!$D$112,Assumptions!$D$113))))</f>
        <v>3729.27174542276</v>
      </c>
      <c r="U155" s="14" t="n">
        <f aca="false">IF(U154=0,0,IF(U$4=Assumptions!$D$109,Assumptions!$D$110,T155*(1+CHOOSE(U$6,Assumptions!$D$111,Assumptions!$D$112,Assumptions!$D$113))))</f>
        <v>3915.7353326939</v>
      </c>
      <c r="V155" s="14" t="n">
        <f aca="false">IF(V154=0,0,IF(V$4=Assumptions!$D$109,Assumptions!$D$110,U155*(1+CHOOSE(V$6,Assumptions!$D$111,Assumptions!$D$112,Assumptions!$D$113))))</f>
        <v>4111.52209932859</v>
      </c>
      <c r="W155" s="14" t="n">
        <f aca="false">IF(W154=0,0,IF(W$4=Assumptions!$D$109,Assumptions!$D$110,V155*(1+CHOOSE(W$6,Assumptions!$D$111,Assumptions!$D$112,Assumptions!$D$113))))</f>
        <v>4317.09820429502</v>
      </c>
      <c r="X155" s="14" t="n">
        <f aca="false">IF(X154=0,0,IF(X$4=Assumptions!$D$109,Assumptions!$D$110,W155*(1+CHOOSE(X$6,Assumptions!$D$111,Assumptions!$D$112,Assumptions!$D$113))))</f>
        <v>4532.95311450978</v>
      </c>
      <c r="Y155" s="14" t="n">
        <f aca="false">IF(Y154=0,0,IF(Y$4=Assumptions!$D$109,Assumptions!$D$110,X155*(1+CHOOSE(Y$6,Assumptions!$D$111,Assumptions!$D$112,Assumptions!$D$113))))</f>
        <v>4759.60077023526</v>
      </c>
      <c r="Z155" s="14" t="n">
        <f aca="false">IF(Z154=0,0,IF(Z$4=Assumptions!$D$109,Assumptions!$D$110,Y155*(1+CHOOSE(Z$6,Assumptions!$D$111,Assumptions!$D$112,Assumptions!$D$113))))</f>
        <v>4997.58080874703</v>
      </c>
      <c r="AA155" s="14" t="n">
        <f aca="false">IF(AA154=0,0,IF(AA$4=Assumptions!$D$109,Assumptions!$D$110,Z155*(1+CHOOSE(AA$6,Assumptions!$D$111,Assumptions!$D$112,Assumptions!$D$113))))</f>
        <v>5097.53242492197</v>
      </c>
      <c r="AB155" s="14" t="n">
        <f aca="false">IF(AB154=0,0,IF(AB$4=Assumptions!$D$109,Assumptions!$D$110,AA155*(1+CHOOSE(AB$6,Assumptions!$D$111,Assumptions!$D$112,Assumptions!$D$113))))</f>
        <v>5199.48307342041</v>
      </c>
      <c r="AC155" s="14" t="n">
        <f aca="false">IF(AC154=0,0,IF(AC$4=Assumptions!$D$109,Assumptions!$D$110,AB155*(1+CHOOSE(AC$6,Assumptions!$D$111,Assumptions!$D$112,Assumptions!$D$113))))</f>
        <v>5303.47273488882</v>
      </c>
      <c r="AD155" s="14" t="n">
        <f aca="false">IF(AD154=0,0,IF(AD$4=Assumptions!$D$109,Assumptions!$D$110,AC155*(1+CHOOSE(AD$6,Assumptions!$D$111,Assumptions!$D$112,Assumptions!$D$113))))</f>
        <v>5409.54218958659</v>
      </c>
      <c r="AE155" s="14" t="n">
        <f aca="false">IF(AE154=0,0,IF(AE$4=Assumptions!$D$109,Assumptions!$D$110,AD155*(1+CHOOSE(AE$6,Assumptions!$D$111,Assumptions!$D$112,Assumptions!$D$113))))</f>
        <v>5517.73303337833</v>
      </c>
      <c r="AF155" s="14" t="n">
        <f aca="false">IF(AF154=0,0,IF(AF$4=Assumptions!$D$109,Assumptions!$D$110,AE155*(1+CHOOSE(AF$6,Assumptions!$D$111,Assumptions!$D$112,Assumptions!$D$113))))</f>
        <v>5628.08769404589</v>
      </c>
      <c r="AG155" s="14" t="n">
        <f aca="false">IF(AG154=0,0,IF(AG$4=Assumptions!$D$109,Assumptions!$D$110,AF155*(1+CHOOSE(AG$6,Assumptions!$D$111,Assumptions!$D$112,Assumptions!$D$113))))</f>
        <v>5740.64944792681</v>
      </c>
      <c r="AH155" s="14" t="n">
        <f aca="false">IF(AH154=0,0,IF(AH$4=Assumptions!$D$109,Assumptions!$D$110,AG155*(1+CHOOSE(AH$6,Assumptions!$D$111,Assumptions!$D$112,Assumptions!$D$113))))</f>
        <v>5855.46243688535</v>
      </c>
      <c r="AI155" s="14" t="n">
        <f aca="false">IF(AI154=0,0,IF(AI$4=Assumptions!$D$109,Assumptions!$D$110,AH155*(1+CHOOSE(AI$6,Assumptions!$D$111,Assumptions!$D$112,Assumptions!$D$113))))</f>
        <v>5972.57168562305</v>
      </c>
      <c r="AJ155" s="14" t="n">
        <f aca="false">IF(AJ154=0,0,IF(AJ$4=Assumptions!$D$109,Assumptions!$D$110,AI155*(1+CHOOSE(AJ$6,Assumptions!$D$111,Assumptions!$D$112,Assumptions!$D$113))))</f>
        <v>6092.02311933551</v>
      </c>
      <c r="AK155" s="14" t="n">
        <f aca="false">IF(AK154=0,0,IF(AK$4=Assumptions!$D$109,Assumptions!$D$110,AJ155*(1+CHOOSE(AK$6,Assumptions!$D$111,Assumptions!$D$112,Assumptions!$D$113))))</f>
        <v>6213.86358172222</v>
      </c>
      <c r="AL155" s="14" t="n">
        <f aca="false">IF(AL154=0,0,IF(AL$4=Assumptions!$D$109,Assumptions!$D$110,AK155*(1+CHOOSE(AL$6,Assumptions!$D$111,Assumptions!$D$112,Assumptions!$D$113))))</f>
        <v>6338.14085335667</v>
      </c>
    </row>
    <row r="156" customFormat="false" ht="15" hidden="false" customHeight="false" outlineLevel="0" collapsed="false">
      <c r="A156" s="7" t="s">
        <v>765</v>
      </c>
      <c r="B156" s="9" t="s">
        <v>327</v>
      </c>
      <c r="C156" s="52" t="n">
        <f aca="false">C155*C$7</f>
        <v>760</v>
      </c>
      <c r="D156" s="52" t="n">
        <f aca="false">D155*D$7</f>
        <v>1164.8</v>
      </c>
      <c r="E156" s="52" t="n">
        <f aca="false">E155*E$7</f>
        <v>1354.752</v>
      </c>
      <c r="F156" s="52" t="n">
        <f aca="false">F155*F$7</f>
        <v>1404.928</v>
      </c>
      <c r="G156" s="52" t="n">
        <f aca="false">G155*G$7</f>
        <v>1132.9339392</v>
      </c>
      <c r="H156" s="52" t="n">
        <f aca="false">H155*H$7</f>
        <v>1409.87334656</v>
      </c>
      <c r="I156" s="52" t="n">
        <f aca="false">I155*I$7</f>
        <v>1658.01105555456</v>
      </c>
      <c r="J156" s="52" t="n">
        <f aca="false">J155*J$7</f>
        <v>1680.11786962862</v>
      </c>
      <c r="K156" s="52" t="n">
        <f aca="false">K155*K$7</f>
        <v>1980.77054103585</v>
      </c>
      <c r="L156" s="52" t="n">
        <f aca="false">L155*L$7</f>
        <v>2107.53985566214</v>
      </c>
      <c r="M156" s="52" t="n">
        <f aca="false">M155*M$7</f>
        <v>2111.97678167406</v>
      </c>
      <c r="N156" s="52" t="n">
        <f aca="false">N155*N$7</f>
        <v>2365.41399547495</v>
      </c>
      <c r="O156" s="52" t="n">
        <f aca="false">O155*O$7</f>
        <v>2775.88289468972</v>
      </c>
      <c r="P156" s="52" t="n">
        <f aca="false">P155*P$7</f>
        <v>3988.50542236997</v>
      </c>
      <c r="Q156" s="52" t="n">
        <f aca="false">Q155*Q$7</f>
        <v>4349.00495093033</v>
      </c>
      <c r="R156" s="52" t="n">
        <f aca="false">R155*R$7</f>
        <v>4228.19925784894</v>
      </c>
      <c r="S156" s="52" t="n">
        <f aca="false">S155*S$7</f>
        <v>3196.5186389338</v>
      </c>
      <c r="T156" s="52" t="n">
        <f aca="false">T155*T$7</f>
        <v>3729.27174542276</v>
      </c>
      <c r="U156" s="52" t="n">
        <f aca="false">U155*U$7</f>
        <v>4111.52209932859</v>
      </c>
      <c r="V156" s="52" t="n">
        <f aca="false">V155*V$7</f>
        <v>3905.94599436216</v>
      </c>
      <c r="W156" s="52" t="n">
        <f aca="false">W155*W$7</f>
        <v>4317.09820429502</v>
      </c>
      <c r="X156" s="52" t="n">
        <f aca="false">X155*X$7</f>
        <v>4306.30545878429</v>
      </c>
      <c r="Y156" s="52" t="n">
        <f aca="false">Y155*Y$7</f>
        <v>4045.66065469997</v>
      </c>
      <c r="Z156" s="52" t="n">
        <f aca="false">Z155*Z$7</f>
        <v>4247.94368743497</v>
      </c>
      <c r="AA156" s="52" t="n">
        <f aca="false">AA155*AA$7</f>
        <v>4842.65580367587</v>
      </c>
      <c r="AB156" s="52" t="n">
        <f aca="false">AB155*AB$7</f>
        <v>6759.32799544653</v>
      </c>
      <c r="AC156" s="52" t="n">
        <f aca="false">AC155*AC$7</f>
        <v>7159.6881920999</v>
      </c>
      <c r="AD156" s="52" t="n">
        <f aca="false">AD155*AD$7</f>
        <v>6761.92773698324</v>
      </c>
      <c r="AE156" s="52" t="n">
        <f aca="false">AE155*AE$7</f>
        <v>4965.95973004049</v>
      </c>
      <c r="AF156" s="52" t="n">
        <f aca="false">AF155*AF$7</f>
        <v>5628.08769404589</v>
      </c>
      <c r="AG156" s="52" t="n">
        <f aca="false">AG155*AG$7</f>
        <v>6027.68192032315</v>
      </c>
      <c r="AH156" s="52" t="n">
        <f aca="false">AH155*AH$7</f>
        <v>5562.68931504108</v>
      </c>
      <c r="AI156" s="52" t="n">
        <f aca="false">AI155*AI$7</f>
        <v>5972.57168562305</v>
      </c>
      <c r="AJ156" s="52" t="n">
        <f aca="false">AJ155*AJ$7</f>
        <v>5787.42196336874</v>
      </c>
      <c r="AK156" s="52" t="n">
        <f aca="false">AK155*AK$7</f>
        <v>5281.78404446389</v>
      </c>
      <c r="AL156" s="52" t="n">
        <f aca="false">AL155*AL$7</f>
        <v>5387.41972535317</v>
      </c>
      <c r="AM156" s="53" t="n">
        <f aca="false">SUMIF($C$6:$AL$6,1,C156:AL156)</f>
        <v>19131.1173847902</v>
      </c>
      <c r="AN156" s="53" t="n">
        <f aca="false">SUMIF($C$6:$AL$6,2,C156:AL156)</f>
        <v>47201.8590091005</v>
      </c>
      <c r="AO156" s="53" t="n">
        <f aca="false">SUMIF($C$6:$AL$6,3,C156:AL156)</f>
        <v>70137.215806465</v>
      </c>
      <c r="AP156" s="53" t="n">
        <f aca="false">SUM(C156:AL156)</f>
        <v>136470.192200356</v>
      </c>
    </row>
    <row r="157" customFormat="false" ht="15" hidden="false" customHeight="false" outlineLevel="0" collapsed="false">
      <c r="A157" s="7" t="s">
        <v>758</v>
      </c>
      <c r="B157" s="9" t="s">
        <v>96</v>
      </c>
      <c r="C157" s="54" t="n">
        <f aca="false">Assumptions!$D$114*MIN(1,(C$4-Assumptions!$D$109+1)/Assumptions!$C$10)*C154</f>
        <v>0.00333333333333333</v>
      </c>
      <c r="D157" s="54" t="n">
        <f aca="false">Assumptions!$D$114*MIN(1,(D$4-Assumptions!$D$109+1)/Assumptions!$C$10)*D154</f>
        <v>0.00666666666666667</v>
      </c>
      <c r="E157" s="54" t="n">
        <f aca="false">Assumptions!$D$114*MIN(1,(E$4-Assumptions!$D$109+1)/Assumptions!$C$10)*E154</f>
        <v>0.01</v>
      </c>
      <c r="F157" s="54" t="n">
        <f aca="false">Assumptions!$D$114*MIN(1,(F$4-Assumptions!$D$109+1)/Assumptions!$C$10)*F154</f>
        <v>0.0133333333333333</v>
      </c>
      <c r="G157" s="54" t="n">
        <f aca="false">Assumptions!$D$114*MIN(1,(G$4-Assumptions!$D$109+1)/Assumptions!$C$10)*G154</f>
        <v>0.0166666666666667</v>
      </c>
      <c r="H157" s="54" t="n">
        <f aca="false">Assumptions!$D$114*MIN(1,(H$4-Assumptions!$D$109+1)/Assumptions!$C$10)*H154</f>
        <v>0.02</v>
      </c>
      <c r="I157" s="54" t="n">
        <f aca="false">Assumptions!$D$114*MIN(1,(I$4-Assumptions!$D$109+1)/Assumptions!$C$10)*I154</f>
        <v>0.02</v>
      </c>
      <c r="J157" s="54" t="n">
        <f aca="false">Assumptions!$D$114*MIN(1,(J$4-Assumptions!$D$109+1)/Assumptions!$C$10)*J154</f>
        <v>0.02</v>
      </c>
      <c r="K157" s="54" t="n">
        <f aca="false">Assumptions!$D$114*MIN(1,(K$4-Assumptions!$D$109+1)/Assumptions!$C$10)*K154</f>
        <v>0.02</v>
      </c>
      <c r="L157" s="54" t="n">
        <f aca="false">Assumptions!$D$114*MIN(1,(L$4-Assumptions!$D$109+1)/Assumptions!$C$10)*L154</f>
        <v>0.02</v>
      </c>
      <c r="M157" s="54" t="n">
        <f aca="false">Assumptions!$D$114*MIN(1,(M$4-Assumptions!$D$109+1)/Assumptions!$C$10)*M154</f>
        <v>0.02</v>
      </c>
      <c r="N157" s="54" t="n">
        <f aca="false">Assumptions!$D$114*MIN(1,(N$4-Assumptions!$D$109+1)/Assumptions!$C$10)*N154</f>
        <v>0.02</v>
      </c>
      <c r="O157" s="54" t="n">
        <f aca="false">Assumptions!$D$114*MIN(1,(O$4-Assumptions!$D$109+1)/Assumptions!$C$10)*O154</f>
        <v>0.02</v>
      </c>
      <c r="P157" s="54" t="n">
        <f aca="false">Assumptions!$D$114*MIN(1,(P$4-Assumptions!$D$109+1)/Assumptions!$C$10)*P154</f>
        <v>0.02</v>
      </c>
      <c r="Q157" s="54" t="n">
        <f aca="false">Assumptions!$D$114*MIN(1,(Q$4-Assumptions!$D$109+1)/Assumptions!$C$10)*Q154</f>
        <v>0.02</v>
      </c>
      <c r="R157" s="54" t="n">
        <f aca="false">Assumptions!$D$114*MIN(1,(R$4-Assumptions!$D$109+1)/Assumptions!$C$10)*R154</f>
        <v>0.02</v>
      </c>
      <c r="S157" s="54" t="n">
        <f aca="false">Assumptions!$D$114*MIN(1,(S$4-Assumptions!$D$109+1)/Assumptions!$C$10)*S154</f>
        <v>0.02</v>
      </c>
      <c r="T157" s="54" t="n">
        <f aca="false">Assumptions!$D$114*MIN(1,(T$4-Assumptions!$D$109+1)/Assumptions!$C$10)*T154</f>
        <v>0.02</v>
      </c>
      <c r="U157" s="54" t="n">
        <f aca="false">Assumptions!$D$114*MIN(1,(U$4-Assumptions!$D$109+1)/Assumptions!$C$10)*U154</f>
        <v>0.02</v>
      </c>
      <c r="V157" s="54" t="n">
        <f aca="false">Assumptions!$D$114*MIN(1,(V$4-Assumptions!$D$109+1)/Assumptions!$C$10)*V154</f>
        <v>0.02</v>
      </c>
      <c r="W157" s="54" t="n">
        <f aca="false">Assumptions!$D$114*MIN(1,(W$4-Assumptions!$D$109+1)/Assumptions!$C$10)*W154</f>
        <v>0.02</v>
      </c>
      <c r="X157" s="54" t="n">
        <f aca="false">Assumptions!$D$114*MIN(1,(X$4-Assumptions!$D$109+1)/Assumptions!$C$10)*X154</f>
        <v>0.02</v>
      </c>
      <c r="Y157" s="54" t="n">
        <f aca="false">Assumptions!$D$114*MIN(1,(Y$4-Assumptions!$D$109+1)/Assumptions!$C$10)*Y154</f>
        <v>0.02</v>
      </c>
      <c r="Z157" s="54" t="n">
        <f aca="false">Assumptions!$D$114*MIN(1,(Z$4-Assumptions!$D$109+1)/Assumptions!$C$10)*Z154</f>
        <v>0.02</v>
      </c>
      <c r="AA157" s="54" t="n">
        <f aca="false">Assumptions!$D$114*MIN(1,(AA$4-Assumptions!$D$109+1)/Assumptions!$C$10)*AA154</f>
        <v>0.02</v>
      </c>
      <c r="AB157" s="54" t="n">
        <f aca="false">Assumptions!$D$114*MIN(1,(AB$4-Assumptions!$D$109+1)/Assumptions!$C$10)*AB154</f>
        <v>0.02</v>
      </c>
      <c r="AC157" s="54" t="n">
        <f aca="false">Assumptions!$D$114*MIN(1,(AC$4-Assumptions!$D$109+1)/Assumptions!$C$10)*AC154</f>
        <v>0.02</v>
      </c>
      <c r="AD157" s="54" t="n">
        <f aca="false">Assumptions!$D$114*MIN(1,(AD$4-Assumptions!$D$109+1)/Assumptions!$C$10)*AD154</f>
        <v>0.02</v>
      </c>
      <c r="AE157" s="54" t="n">
        <f aca="false">Assumptions!$D$114*MIN(1,(AE$4-Assumptions!$D$109+1)/Assumptions!$C$10)*AE154</f>
        <v>0.02</v>
      </c>
      <c r="AF157" s="54" t="n">
        <f aca="false">Assumptions!$D$114*MIN(1,(AF$4-Assumptions!$D$109+1)/Assumptions!$C$10)*AF154</f>
        <v>0.02</v>
      </c>
      <c r="AG157" s="54" t="n">
        <f aca="false">Assumptions!$D$114*MIN(1,(AG$4-Assumptions!$D$109+1)/Assumptions!$C$10)*AG154</f>
        <v>0.02</v>
      </c>
      <c r="AH157" s="54" t="n">
        <f aca="false">Assumptions!$D$114*MIN(1,(AH$4-Assumptions!$D$109+1)/Assumptions!$C$10)*AH154</f>
        <v>0.02</v>
      </c>
      <c r="AI157" s="54" t="n">
        <f aca="false">Assumptions!$D$114*MIN(1,(AI$4-Assumptions!$D$109+1)/Assumptions!$C$10)*AI154</f>
        <v>0.02</v>
      </c>
      <c r="AJ157" s="54" t="n">
        <f aca="false">Assumptions!$D$114*MIN(1,(AJ$4-Assumptions!$D$109+1)/Assumptions!$C$10)*AJ154</f>
        <v>0.02</v>
      </c>
      <c r="AK157" s="54" t="n">
        <f aca="false">Assumptions!$D$114*MIN(1,(AK$4-Assumptions!$D$109+1)/Assumptions!$C$10)*AK154</f>
        <v>0.02</v>
      </c>
      <c r="AL157" s="54" t="n">
        <f aca="false">Assumptions!$D$114*MIN(1,(AL$4-Assumptions!$D$109+1)/Assumptions!$C$10)*AL154</f>
        <v>0.02</v>
      </c>
    </row>
    <row r="158" customFormat="false" ht="15" hidden="false" customHeight="false" outlineLevel="0" collapsed="false">
      <c r="A158" s="7" t="s">
        <v>766</v>
      </c>
      <c r="B158" s="9" t="s">
        <v>760</v>
      </c>
      <c r="C158" s="55" t="n">
        <f aca="false">C156*C157</f>
        <v>2.53333333333333</v>
      </c>
      <c r="D158" s="55" t="n">
        <f aca="false">D156*D157</f>
        <v>7.76533333333333</v>
      </c>
      <c r="E158" s="55" t="n">
        <f aca="false">E156*E157</f>
        <v>13.54752</v>
      </c>
      <c r="F158" s="55" t="n">
        <f aca="false">F156*F157</f>
        <v>18.7323733333333</v>
      </c>
      <c r="G158" s="55" t="n">
        <f aca="false">G156*G157</f>
        <v>18.88223232</v>
      </c>
      <c r="H158" s="55" t="n">
        <f aca="false">H156*H157</f>
        <v>28.1974669312</v>
      </c>
      <c r="I158" s="55" t="n">
        <f aca="false">I156*I157</f>
        <v>33.1602211110912</v>
      </c>
      <c r="J158" s="55" t="n">
        <f aca="false">J156*J157</f>
        <v>33.6023573925724</v>
      </c>
      <c r="K158" s="55" t="n">
        <f aca="false">K156*K157</f>
        <v>39.615410820717</v>
      </c>
      <c r="L158" s="55" t="n">
        <f aca="false">L156*L157</f>
        <v>42.1507971132429</v>
      </c>
      <c r="M158" s="55" t="n">
        <f aca="false">M156*M157</f>
        <v>42.2395356334813</v>
      </c>
      <c r="N158" s="55" t="n">
        <f aca="false">N156*N157</f>
        <v>47.308279909499</v>
      </c>
      <c r="O158" s="55" t="n">
        <f aca="false">O156*O157</f>
        <v>55.5176578937945</v>
      </c>
      <c r="P158" s="55" t="n">
        <f aca="false">P156*P157</f>
        <v>79.7701084473994</v>
      </c>
      <c r="Q158" s="55" t="n">
        <f aca="false">Q156*Q157</f>
        <v>86.9800990186067</v>
      </c>
      <c r="R158" s="55" t="n">
        <f aca="false">R156*R157</f>
        <v>84.5639851569787</v>
      </c>
      <c r="S158" s="55" t="n">
        <f aca="false">S156*S157</f>
        <v>63.9303727786759</v>
      </c>
      <c r="T158" s="55" t="n">
        <f aca="false">T156*T157</f>
        <v>74.5854349084552</v>
      </c>
      <c r="U158" s="55" t="n">
        <f aca="false">U156*U157</f>
        <v>82.2304419865719</v>
      </c>
      <c r="V158" s="55" t="n">
        <f aca="false">V156*V157</f>
        <v>78.1189198872433</v>
      </c>
      <c r="W158" s="55" t="n">
        <f aca="false">W156*W157</f>
        <v>86.3419640859005</v>
      </c>
      <c r="X158" s="55" t="n">
        <f aca="false">X156*X157</f>
        <v>86.1261091756857</v>
      </c>
      <c r="Y158" s="55" t="n">
        <f aca="false">Y156*Y157</f>
        <v>80.9132130939995</v>
      </c>
      <c r="Z158" s="55" t="n">
        <f aca="false">Z156*Z157</f>
        <v>84.9588737486995</v>
      </c>
      <c r="AA158" s="55" t="n">
        <f aca="false">AA156*AA157</f>
        <v>96.8531160735174</v>
      </c>
      <c r="AB158" s="55" t="n">
        <f aca="false">AB156*AB157</f>
        <v>135.186559908931</v>
      </c>
      <c r="AC158" s="55" t="n">
        <f aca="false">AC156*AC157</f>
        <v>143.193763841998</v>
      </c>
      <c r="AD158" s="55" t="n">
        <f aca="false">AD156*AD157</f>
        <v>135.238554739665</v>
      </c>
      <c r="AE158" s="55" t="n">
        <f aca="false">AE156*AE157</f>
        <v>99.3191946008099</v>
      </c>
      <c r="AF158" s="55" t="n">
        <f aca="false">AF156*AF157</f>
        <v>112.561753880918</v>
      </c>
      <c r="AG158" s="55" t="n">
        <f aca="false">AG156*AG157</f>
        <v>120.553638406463</v>
      </c>
      <c r="AH158" s="55" t="n">
        <f aca="false">AH156*AH157</f>
        <v>111.253786300822</v>
      </c>
      <c r="AI158" s="55" t="n">
        <f aca="false">AI156*AI157</f>
        <v>119.451433712461</v>
      </c>
      <c r="AJ158" s="55" t="n">
        <f aca="false">AJ156*AJ157</f>
        <v>115.748439267375</v>
      </c>
      <c r="AK158" s="55" t="n">
        <f aca="false">AK156*AK157</f>
        <v>105.635680889278</v>
      </c>
      <c r="AL158" s="55" t="n">
        <f aca="false">AL156*AL157</f>
        <v>107.748394507063</v>
      </c>
      <c r="AM158" s="53" t="n">
        <f aca="false">SUMIF($C$6:$AL$6,1,C158:AL158)</f>
        <v>327.734861231804</v>
      </c>
      <c r="AN158" s="53" t="n">
        <f aca="false">SUMIF($C$6:$AL$6,2,C158:AL158)</f>
        <v>944.037180182011</v>
      </c>
      <c r="AO158" s="53" t="n">
        <f aca="false">SUMIF($C$6:$AL$6,3,C158:AL158)</f>
        <v>1402.7443161293</v>
      </c>
      <c r="AP158" s="53" t="n">
        <f aca="false">SUM(C158:AL158)</f>
        <v>2674.51635754311</v>
      </c>
    </row>
    <row r="159" customFormat="false" ht="15" hidden="false" customHeight="false" outlineLevel="0" collapsed="false">
      <c r="A159" s="7" t="s">
        <v>761</v>
      </c>
      <c r="B159" s="9" t="s">
        <v>342</v>
      </c>
      <c r="C159" s="56" t="n">
        <f aca="false">C158*Assumptions!$D$115</f>
        <v>3.04</v>
      </c>
      <c r="D159" s="56" t="n">
        <f aca="false">D158*Assumptions!$D$115</f>
        <v>9.3184</v>
      </c>
      <c r="E159" s="56" t="n">
        <f aca="false">E158*Assumptions!$D$115</f>
        <v>16.257024</v>
      </c>
      <c r="F159" s="56" t="n">
        <f aca="false">F158*Assumptions!$D$115</f>
        <v>22.478848</v>
      </c>
      <c r="G159" s="56" t="n">
        <f aca="false">G158*Assumptions!$D$115</f>
        <v>22.658678784</v>
      </c>
      <c r="H159" s="56" t="n">
        <f aca="false">H158*Assumptions!$D$115</f>
        <v>33.83696031744</v>
      </c>
      <c r="I159" s="56" t="n">
        <f aca="false">I158*Assumptions!$D$115</f>
        <v>39.7922653333095</v>
      </c>
      <c r="J159" s="56" t="n">
        <f aca="false">J158*Assumptions!$D$115</f>
        <v>40.3228288710869</v>
      </c>
      <c r="K159" s="56" t="n">
        <f aca="false">K158*Assumptions!$D$115</f>
        <v>47.5384929848604</v>
      </c>
      <c r="L159" s="56" t="n">
        <f aca="false">L158*Assumptions!$D$115</f>
        <v>50.5809565358914</v>
      </c>
      <c r="M159" s="56" t="n">
        <f aca="false">M158*Assumptions!$D$115</f>
        <v>50.6874427601775</v>
      </c>
      <c r="N159" s="56" t="n">
        <f aca="false">N158*Assumptions!$D$115</f>
        <v>56.7699358913988</v>
      </c>
      <c r="O159" s="56" t="n">
        <f aca="false">O158*Assumptions!$D$115</f>
        <v>66.6211894725533</v>
      </c>
      <c r="P159" s="56" t="n">
        <f aca="false">P158*Assumptions!$D$115</f>
        <v>95.7241301368793</v>
      </c>
      <c r="Q159" s="56" t="n">
        <f aca="false">Q158*Assumptions!$D$115</f>
        <v>104.376118822328</v>
      </c>
      <c r="R159" s="56" t="n">
        <f aca="false">R158*Assumptions!$D$115</f>
        <v>101.476782188374</v>
      </c>
      <c r="S159" s="56" t="n">
        <f aca="false">S158*Assumptions!$D$115</f>
        <v>76.7164473344111</v>
      </c>
      <c r="T159" s="56" t="n">
        <f aca="false">T158*Assumptions!$D$115</f>
        <v>89.5025218901463</v>
      </c>
      <c r="U159" s="56" t="n">
        <f aca="false">U158*Assumptions!$D$115</f>
        <v>98.6765303838863</v>
      </c>
      <c r="V159" s="56" t="n">
        <f aca="false">V158*Assumptions!$D$115</f>
        <v>93.7427038646919</v>
      </c>
      <c r="W159" s="56" t="n">
        <f aca="false">W158*Assumptions!$D$115</f>
        <v>103.610356903081</v>
      </c>
      <c r="X159" s="56" t="n">
        <f aca="false">X158*Assumptions!$D$115</f>
        <v>103.351331010823</v>
      </c>
      <c r="Y159" s="56" t="n">
        <f aca="false">Y158*Assumptions!$D$115</f>
        <v>97.0958557127994</v>
      </c>
      <c r="Z159" s="56" t="n">
        <f aca="false">Z158*Assumptions!$D$115</f>
        <v>101.950648498439</v>
      </c>
      <c r="AA159" s="56" t="n">
        <f aca="false">AA158*Assumptions!$D$115</f>
        <v>116.223739288221</v>
      </c>
      <c r="AB159" s="56" t="n">
        <f aca="false">AB158*Assumptions!$D$115</f>
        <v>162.223871890717</v>
      </c>
      <c r="AC159" s="56" t="n">
        <f aca="false">AC158*Assumptions!$D$115</f>
        <v>171.832516610398</v>
      </c>
      <c r="AD159" s="56" t="n">
        <f aca="false">AD158*Assumptions!$D$115</f>
        <v>162.286265687598</v>
      </c>
      <c r="AE159" s="56" t="n">
        <f aca="false">AE158*Assumptions!$D$115</f>
        <v>119.183033520972</v>
      </c>
      <c r="AF159" s="56" t="n">
        <f aca="false">AF158*Assumptions!$D$115</f>
        <v>135.074104657101</v>
      </c>
      <c r="AG159" s="56" t="n">
        <f aca="false">AG158*Assumptions!$D$115</f>
        <v>144.664366087756</v>
      </c>
      <c r="AH159" s="56" t="n">
        <f aca="false">AH158*Assumptions!$D$115</f>
        <v>133.504543560986</v>
      </c>
      <c r="AI159" s="56" t="n">
        <f aca="false">AI158*Assumptions!$D$115</f>
        <v>143.341720454953</v>
      </c>
      <c r="AJ159" s="56" t="n">
        <f aca="false">AJ158*Assumptions!$D$115</f>
        <v>138.89812712085</v>
      </c>
      <c r="AK159" s="56" t="n">
        <f aca="false">AK158*Assumptions!$D$115</f>
        <v>126.762817067133</v>
      </c>
      <c r="AL159" s="56" t="n">
        <f aca="false">AL158*Assumptions!$D$115</f>
        <v>129.298073408476</v>
      </c>
      <c r="AM159" s="53" t="n">
        <f aca="false">SUMIF($C$6:$AL$6,1,C159:AL159)</f>
        <v>393.281833478165</v>
      </c>
      <c r="AN159" s="53" t="n">
        <f aca="false">SUMIF($C$6:$AL$6,2,C159:AL159)</f>
        <v>1132.84461621841</v>
      </c>
      <c r="AO159" s="53" t="n">
        <f aca="false">SUMIF($C$6:$AL$6,3,C159:AL159)</f>
        <v>1683.29317935516</v>
      </c>
      <c r="AP159" s="53" t="n">
        <f aca="false">SUM(C159:AL159)</f>
        <v>3209.41962905174</v>
      </c>
    </row>
    <row r="160" customFormat="false" ht="15" hidden="false" customHeight="false" outlineLevel="0" collapsed="false">
      <c r="A160" s="7" t="s">
        <v>762</v>
      </c>
      <c r="B160" s="9" t="s">
        <v>101</v>
      </c>
      <c r="C160" s="15" t="n">
        <f aca="false">'Unit Economics'!$E$51*Assumptions!$D$115*C154</f>
        <v>10.5145714285714</v>
      </c>
      <c r="D160" s="15" t="n">
        <f aca="false">'Unit Economics'!$E$51*Assumptions!$D$115*D154</f>
        <v>10.5145714285714</v>
      </c>
      <c r="E160" s="15" t="n">
        <f aca="false">'Unit Economics'!$E$51*Assumptions!$D$115*E154</f>
        <v>10.5145714285714</v>
      </c>
      <c r="F160" s="15" t="n">
        <f aca="false">'Unit Economics'!$E$51*Assumptions!$D$115*F154</f>
        <v>10.5145714285714</v>
      </c>
      <c r="G160" s="15" t="n">
        <f aca="false">'Unit Economics'!$E$51*Assumptions!$D$115*G154</f>
        <v>10.5145714285714</v>
      </c>
      <c r="H160" s="15" t="n">
        <f aca="false">'Unit Economics'!$E$51*Assumptions!$D$115*H154</f>
        <v>10.5145714285714</v>
      </c>
      <c r="I160" s="15" t="n">
        <f aca="false">'Unit Economics'!$E$51*Assumptions!$D$115*I154</f>
        <v>10.5145714285714</v>
      </c>
      <c r="J160" s="15" t="n">
        <f aca="false">'Unit Economics'!$E$51*Assumptions!$D$115*J154</f>
        <v>10.5145714285714</v>
      </c>
      <c r="K160" s="15" t="n">
        <f aca="false">'Unit Economics'!$E$51*Assumptions!$D$115*K154</f>
        <v>10.5145714285714</v>
      </c>
      <c r="L160" s="15" t="n">
        <f aca="false">'Unit Economics'!$E$51*Assumptions!$D$115*L154</f>
        <v>10.5145714285714</v>
      </c>
      <c r="M160" s="15" t="n">
        <f aca="false">'Unit Economics'!$E$51*Assumptions!$D$115*M154</f>
        <v>10.5145714285714</v>
      </c>
      <c r="N160" s="15" t="n">
        <f aca="false">'Unit Economics'!$E$51*Assumptions!$D$115*N154</f>
        <v>10.5145714285714</v>
      </c>
      <c r="O160" s="15" t="n">
        <f aca="false">'Unit Economics'!$E$51*Assumptions!$D$115*O154</f>
        <v>10.5145714285714</v>
      </c>
      <c r="P160" s="15" t="n">
        <f aca="false">'Unit Economics'!$E$51*Assumptions!$D$115*P154</f>
        <v>10.5145714285714</v>
      </c>
      <c r="Q160" s="15" t="n">
        <f aca="false">'Unit Economics'!$E$51*Assumptions!$D$115*Q154</f>
        <v>10.5145714285714</v>
      </c>
      <c r="R160" s="15" t="n">
        <f aca="false">'Unit Economics'!$E$51*Assumptions!$D$115*R154</f>
        <v>10.5145714285714</v>
      </c>
      <c r="S160" s="15" t="n">
        <f aca="false">'Unit Economics'!$E$51*Assumptions!$D$115*S154</f>
        <v>10.5145714285714</v>
      </c>
      <c r="T160" s="15" t="n">
        <f aca="false">'Unit Economics'!$E$51*Assumptions!$D$115*T154</f>
        <v>10.5145714285714</v>
      </c>
      <c r="U160" s="15" t="n">
        <f aca="false">'Unit Economics'!$E$51*Assumptions!$D$115*U154</f>
        <v>10.5145714285714</v>
      </c>
      <c r="V160" s="15" t="n">
        <f aca="false">'Unit Economics'!$E$51*Assumptions!$D$115*V154</f>
        <v>10.5145714285714</v>
      </c>
      <c r="W160" s="15" t="n">
        <f aca="false">'Unit Economics'!$E$51*Assumptions!$D$115*W154</f>
        <v>10.5145714285714</v>
      </c>
      <c r="X160" s="15" t="n">
        <f aca="false">'Unit Economics'!$E$51*Assumptions!$D$115*X154</f>
        <v>10.5145714285714</v>
      </c>
      <c r="Y160" s="15" t="n">
        <f aca="false">'Unit Economics'!$E$51*Assumptions!$D$115*Y154</f>
        <v>10.5145714285714</v>
      </c>
      <c r="Z160" s="15" t="n">
        <f aca="false">'Unit Economics'!$E$51*Assumptions!$D$115*Z154</f>
        <v>10.5145714285714</v>
      </c>
      <c r="AA160" s="15" t="n">
        <f aca="false">'Unit Economics'!$E$51*Assumptions!$D$115*AA154</f>
        <v>10.5145714285714</v>
      </c>
      <c r="AB160" s="15" t="n">
        <f aca="false">'Unit Economics'!$E$51*Assumptions!$D$115*AB154</f>
        <v>10.5145714285714</v>
      </c>
      <c r="AC160" s="15" t="n">
        <f aca="false">'Unit Economics'!$E$51*Assumptions!$D$115*AC154</f>
        <v>10.5145714285714</v>
      </c>
      <c r="AD160" s="15" t="n">
        <f aca="false">'Unit Economics'!$E$51*Assumptions!$D$115*AD154</f>
        <v>10.5145714285714</v>
      </c>
      <c r="AE160" s="15" t="n">
        <f aca="false">'Unit Economics'!$E$51*Assumptions!$D$115*AE154</f>
        <v>10.5145714285714</v>
      </c>
      <c r="AF160" s="15" t="n">
        <f aca="false">'Unit Economics'!$E$51*Assumptions!$D$115*AF154</f>
        <v>10.5145714285714</v>
      </c>
      <c r="AG160" s="15" t="n">
        <f aca="false">'Unit Economics'!$E$51*Assumptions!$D$115*AG154</f>
        <v>10.5145714285714</v>
      </c>
      <c r="AH160" s="15" t="n">
        <f aca="false">'Unit Economics'!$E$51*Assumptions!$D$115*AH154</f>
        <v>10.5145714285714</v>
      </c>
      <c r="AI160" s="15" t="n">
        <f aca="false">'Unit Economics'!$E$51*Assumptions!$D$115*AI154</f>
        <v>10.5145714285714</v>
      </c>
      <c r="AJ160" s="15" t="n">
        <f aca="false">'Unit Economics'!$E$51*Assumptions!$D$115*AJ154</f>
        <v>10.5145714285714</v>
      </c>
      <c r="AK160" s="15" t="n">
        <f aca="false">'Unit Economics'!$E$51*Assumptions!$D$115*AK154</f>
        <v>10.5145714285714</v>
      </c>
      <c r="AL160" s="15" t="n">
        <f aca="false">'Unit Economics'!$E$51*Assumptions!$D$115*AL154</f>
        <v>10.5145714285714</v>
      </c>
    </row>
    <row r="161" customFormat="false" ht="15" hidden="false" customHeight="false" outlineLevel="0" collapsed="false">
      <c r="A161" s="7" t="s">
        <v>763</v>
      </c>
      <c r="B161" s="9" t="s">
        <v>101</v>
      </c>
      <c r="C161" s="8" t="n">
        <f aca="false">C159*'Unit Economics'!$E$51</f>
        <v>26.6369142857143</v>
      </c>
      <c r="D161" s="8" t="n">
        <f aca="false">D159*'Unit Economics'!$E$51</f>
        <v>81.649152</v>
      </c>
      <c r="E161" s="8" t="n">
        <f aca="false">E159*'Unit Economics'!$E$51</f>
        <v>142.44636672</v>
      </c>
      <c r="F161" s="8" t="n">
        <f aca="false">F159*'Unit Economics'!$E$51</f>
        <v>196.96287744</v>
      </c>
      <c r="G161" s="8" t="n">
        <f aca="false">G159*'Unit Economics'!$E$51</f>
        <v>198.53858045952</v>
      </c>
      <c r="H161" s="8" t="n">
        <f aca="false">H159*'Unit Economics'!$E$51</f>
        <v>296.484280152883</v>
      </c>
      <c r="I161" s="8" t="n">
        <f aca="false">I159*'Unit Economics'!$E$51</f>
        <v>348.665513459791</v>
      </c>
      <c r="J161" s="8" t="n">
        <f aca="false">J159*'Unit Economics'!$E$51</f>
        <v>353.314386972588</v>
      </c>
      <c r="K161" s="8" t="n">
        <f aca="false">K159*'Unit Economics'!$E$51</f>
        <v>416.53906674663</v>
      </c>
      <c r="L161" s="8" t="n">
        <f aca="false">L159*'Unit Economics'!$E$51</f>
        <v>443.197567018414</v>
      </c>
      <c r="M161" s="8" t="n">
        <f aca="false">M159*'Unit Economics'!$E$51</f>
        <v>444.130614527927</v>
      </c>
      <c r="N161" s="8" t="n">
        <f aca="false">N159*'Unit Economics'!$E$51</f>
        <v>497.426288271278</v>
      </c>
      <c r="O161" s="8" t="n">
        <f aca="false">O159*'Unit Economics'!$E$51</f>
        <v>583.744379471294</v>
      </c>
      <c r="P161" s="8" t="n">
        <f aca="false">P159*'Unit Economics'!$E$51</f>
        <v>838.74850313507</v>
      </c>
      <c r="Q161" s="8" t="n">
        <f aca="false">Q159*'Unit Economics'!$E$51</f>
        <v>914.558463995355</v>
      </c>
      <c r="R161" s="8" t="n">
        <f aca="false">R159*'Unit Economics'!$E$51</f>
        <v>889.154062217707</v>
      </c>
      <c r="S161" s="8" t="n">
        <f aca="false">S159*'Unit Economics'!$E$51</f>
        <v>672.200471036586</v>
      </c>
      <c r="T161" s="8" t="n">
        <f aca="false">T159*'Unit Economics'!$E$51</f>
        <v>784.233882876017</v>
      </c>
      <c r="U161" s="8" t="n">
        <f aca="false">U159*'Unit Economics'!$E$51</f>
        <v>864.617855870809</v>
      </c>
      <c r="V161" s="8" t="n">
        <f aca="false">V159*'Unit Economics'!$E$51</f>
        <v>821.386963077269</v>
      </c>
      <c r="W161" s="8" t="n">
        <f aca="false">W159*'Unit Economics'!$E$51</f>
        <v>907.848748664349</v>
      </c>
      <c r="X161" s="8" t="n">
        <f aca="false">X159*'Unit Economics'!$E$51</f>
        <v>905.579126792689</v>
      </c>
      <c r="Y161" s="8" t="n">
        <f aca="false">Y159*'Unit Economics'!$E$51</f>
        <v>850.767758592079</v>
      </c>
      <c r="Z161" s="8" t="n">
        <f aca="false">Z159*'Unit Economics'!$E$51</f>
        <v>893.306146521683</v>
      </c>
      <c r="AA161" s="8" t="n">
        <f aca="false">AA159*'Unit Economics'!$E$51</f>
        <v>1018.36900703472</v>
      </c>
      <c r="AB161" s="8" t="n">
        <f aca="false">AB159*'Unit Economics'!$E$51</f>
        <v>1421.4287403453</v>
      </c>
      <c r="AC161" s="8" t="n">
        <f aca="false">AC159*'Unit Economics'!$E$51</f>
        <v>1505.62105804268</v>
      </c>
      <c r="AD161" s="8" t="n">
        <f aca="false">AD159*'Unit Economics'!$E$51</f>
        <v>1421.97544370697</v>
      </c>
      <c r="AE161" s="8" t="n">
        <f aca="false">AE159*'Unit Economics'!$E$51</f>
        <v>1044.2987658584</v>
      </c>
      <c r="AF161" s="8" t="n">
        <f aca="false">AF159*'Unit Economics'!$E$51</f>
        <v>1183.53860130619</v>
      </c>
      <c r="AG161" s="8" t="n">
        <f aca="false">AG159*'Unit Economics'!$E$51</f>
        <v>1267.56984199893</v>
      </c>
      <c r="AH161" s="8" t="n">
        <f aca="false">AH159*'Unit Economics'!$E$51</f>
        <v>1169.78588275901</v>
      </c>
      <c r="AI161" s="8" t="n">
        <f aca="false">AI159*'Unit Economics'!$E$51</f>
        <v>1255.98063201494</v>
      </c>
      <c r="AJ161" s="8" t="n">
        <f aca="false">AJ159*'Unit Economics'!$E$51</f>
        <v>1217.04523242247</v>
      </c>
      <c r="AK161" s="8" t="n">
        <f aca="false">AK159*'Unit Economics'!$E$51</f>
        <v>1110.71391211609</v>
      </c>
      <c r="AL161" s="8" t="n">
        <f aca="false">AL159*'Unit Economics'!$E$51</f>
        <v>1132.92819035841</v>
      </c>
      <c r="AM161" s="45" t="n">
        <f aca="false">SUMIF($C$6:$AL$6,1,C161:AL161)</f>
        <v>3445.99160805475</v>
      </c>
      <c r="AN161" s="45" t="n">
        <f aca="false">SUMIF($C$6:$AL$6,2,C161:AL161)</f>
        <v>9926.14636225091</v>
      </c>
      <c r="AO161" s="45" t="n">
        <f aca="false">SUMIF($C$6:$AL$6,3,C161:AL161)</f>
        <v>14749.2553079641</v>
      </c>
      <c r="AP161" s="45" t="n">
        <f aca="false">SUM(C161:AL161)</f>
        <v>28121.3932782698</v>
      </c>
    </row>
    <row r="162" customFormat="false" ht="15" hidden="false" customHeight="false" outlineLevel="0" collapsed="false">
      <c r="A162" s="7" t="s">
        <v>764</v>
      </c>
      <c r="B162" s="9" t="s">
        <v>101</v>
      </c>
      <c r="C162" s="8" t="n">
        <f aca="false">C159*'Unit Economics'!$F$51</f>
        <v>21.8061154285714</v>
      </c>
      <c r="D162" s="8" t="n">
        <f aca="false">D159*'Unit Economics'!$F$51</f>
        <v>66.84148224</v>
      </c>
      <c r="E162" s="8" t="n">
        <f aca="false">E159*'Unit Economics'!$F$51</f>
        <v>116.6126782464</v>
      </c>
      <c r="F162" s="8" t="n">
        <f aca="false">F159*'Unit Economics'!$F$51</f>
        <v>161.2422217728</v>
      </c>
      <c r="G162" s="8" t="n">
        <f aca="false">G159*'Unit Economics'!$F$51</f>
        <v>162.532159546982</v>
      </c>
      <c r="H162" s="8" t="n">
        <f aca="false">H159*'Unit Economics'!$F$51</f>
        <v>242.71469159016</v>
      </c>
      <c r="I162" s="8" t="n">
        <f aca="false">I159*'Unit Economics'!$F$51</f>
        <v>285.432477310029</v>
      </c>
      <c r="J162" s="8" t="n">
        <f aca="false">J159*'Unit Economics'!$F$51</f>
        <v>289.238243674162</v>
      </c>
      <c r="K162" s="8" t="n">
        <f aca="false">K159*'Unit Economics'!$F$51</f>
        <v>340.996666226381</v>
      </c>
      <c r="L162" s="8" t="n">
        <f aca="false">L159*'Unit Economics'!$F$51</f>
        <v>362.820452864869</v>
      </c>
      <c r="M162" s="8" t="n">
        <f aca="false">M159*'Unit Economics'!$F$51</f>
        <v>363.584285397217</v>
      </c>
      <c r="N162" s="8" t="n">
        <f aca="false">N159*'Unit Economics'!$F$51</f>
        <v>407.214399644883</v>
      </c>
      <c r="O162" s="8" t="n">
        <f aca="false">O159*'Unit Economics'!$F$51</f>
        <v>477.878074877377</v>
      </c>
      <c r="P162" s="8" t="n">
        <f aca="false">P159*'Unit Economics'!$F$51</f>
        <v>686.635339165915</v>
      </c>
      <c r="Q162" s="8" t="n">
        <f aca="false">Q159*'Unit Economics'!$F$51</f>
        <v>748.696610205912</v>
      </c>
      <c r="R162" s="8" t="n">
        <f aca="false">R159*'Unit Economics'!$F$51</f>
        <v>727.899482144636</v>
      </c>
      <c r="S162" s="8" t="n">
        <f aca="false">S159*'Unit Economics'!$F$51</f>
        <v>550.292008501345</v>
      </c>
      <c r="T162" s="8" t="n">
        <f aca="false">T159*'Unit Economics'!$F$51</f>
        <v>642.007343251569</v>
      </c>
      <c r="U162" s="8" t="n">
        <f aca="false">U159*'Unit Economics'!$F$51</f>
        <v>707.813095934855</v>
      </c>
      <c r="V162" s="8" t="n">
        <f aca="false">V159*'Unit Economics'!$F$51</f>
        <v>672.422441138112</v>
      </c>
      <c r="W162" s="8" t="n">
        <f aca="false">W159*'Unit Economics'!$F$51</f>
        <v>743.203750731598</v>
      </c>
      <c r="X162" s="8" t="n">
        <f aca="false">X159*'Unit Economics'!$F$51</f>
        <v>741.345741354769</v>
      </c>
      <c r="Y162" s="8" t="n">
        <f aca="false">Y159*'Unit Economics'!$F$51</f>
        <v>696.474814904349</v>
      </c>
      <c r="Z162" s="8" t="n">
        <f aca="false">Z159*'Unit Economics'!$F$51</f>
        <v>731.298555649566</v>
      </c>
      <c r="AA162" s="8" t="n">
        <f aca="false">AA159*'Unit Economics'!$F$51</f>
        <v>833.680353440505</v>
      </c>
      <c r="AB162" s="8" t="n">
        <f aca="false">AB159*'Unit Economics'!$F$51</f>
        <v>1163.64226174959</v>
      </c>
      <c r="AC162" s="8" t="n">
        <f aca="false">AC159*'Unit Economics'!$F$51</f>
        <v>1232.56568802245</v>
      </c>
      <c r="AD162" s="8" t="n">
        <f aca="false">AD159*'Unit Economics'!$F$51</f>
        <v>1164.08981646565</v>
      </c>
      <c r="AE162" s="8" t="n">
        <f aca="false">AE159*'Unit Economics'!$F$51</f>
        <v>854.907561212372</v>
      </c>
      <c r="AF162" s="8" t="n">
        <f aca="false">AF159*'Unit Economics'!$F$51</f>
        <v>968.895236040688</v>
      </c>
      <c r="AG162" s="8" t="n">
        <f aca="false">AG159*'Unit Economics'!$F$51</f>
        <v>1037.68679779958</v>
      </c>
      <c r="AH162" s="8" t="n">
        <f aca="false">AH159*'Unit Economics'!$F$51</f>
        <v>957.636673397895</v>
      </c>
      <c r="AI162" s="8" t="n">
        <f aca="false">AI159*'Unit Economics'!$F$51</f>
        <v>1028.19937564827</v>
      </c>
      <c r="AJ162" s="8" t="n">
        <f aca="false">AJ159*'Unit Economics'!$F$51</f>
        <v>996.32519500317</v>
      </c>
      <c r="AK162" s="8" t="n">
        <f aca="false">AK159*'Unit Economics'!$F$51</f>
        <v>909.277835860788</v>
      </c>
      <c r="AL162" s="8" t="n">
        <f aca="false">AL159*'Unit Economics'!$F$51</f>
        <v>927.463392578003</v>
      </c>
      <c r="AM162" s="45" t="n">
        <f aca="false">SUMIF($C$6:$AL$6,1,C162:AL162)</f>
        <v>2821.03587394246</v>
      </c>
      <c r="AN162" s="45" t="n">
        <f aca="false">SUMIF($C$6:$AL$6,2,C162:AL162)</f>
        <v>8125.96725786</v>
      </c>
      <c r="AO162" s="45" t="n">
        <f aca="false">SUMIF($C$6:$AL$6,3,C162:AL162)</f>
        <v>12074.370187219</v>
      </c>
      <c r="AP162" s="45" t="n">
        <f aca="false">SUM(C162:AL162)</f>
        <v>23021.3733190214</v>
      </c>
    </row>
    <row r="163" customFormat="false" ht="15" hidden="false" customHeight="false" outlineLevel="0" collapsed="false">
      <c r="A163" s="5" t="s">
        <v>573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</row>
    <row r="164" customFormat="false" ht="15" hidden="false" customHeight="false" outlineLevel="0" collapsed="false">
      <c r="A164" s="7" t="s">
        <v>755</v>
      </c>
      <c r="B164" s="9" t="s">
        <v>319</v>
      </c>
      <c r="C164" s="38" t="n">
        <f aca="false">IF(AND(Assumptions!$D$117=1,C$4&gt;=Assumptions!$D$118),1,0)</f>
        <v>0</v>
      </c>
      <c r="D164" s="38" t="n">
        <f aca="false">IF(AND(Assumptions!$D$117=1,D$4&gt;=Assumptions!$D$118),1,0)</f>
        <v>1</v>
      </c>
      <c r="E164" s="38" t="n">
        <f aca="false">IF(AND(Assumptions!$D$117=1,E$4&gt;=Assumptions!$D$118),1,0)</f>
        <v>1</v>
      </c>
      <c r="F164" s="38" t="n">
        <f aca="false">IF(AND(Assumptions!$D$117=1,F$4&gt;=Assumptions!$D$118),1,0)</f>
        <v>1</v>
      </c>
      <c r="G164" s="38" t="n">
        <f aca="false">IF(AND(Assumptions!$D$117=1,G$4&gt;=Assumptions!$D$118),1,0)</f>
        <v>1</v>
      </c>
      <c r="H164" s="38" t="n">
        <f aca="false">IF(AND(Assumptions!$D$117=1,H$4&gt;=Assumptions!$D$118),1,0)</f>
        <v>1</v>
      </c>
      <c r="I164" s="38" t="n">
        <f aca="false">IF(AND(Assumptions!$D$117=1,I$4&gt;=Assumptions!$D$118),1,0)</f>
        <v>1</v>
      </c>
      <c r="J164" s="38" t="n">
        <f aca="false">IF(AND(Assumptions!$D$117=1,J$4&gt;=Assumptions!$D$118),1,0)</f>
        <v>1</v>
      </c>
      <c r="K164" s="38" t="n">
        <f aca="false">IF(AND(Assumptions!$D$117=1,K$4&gt;=Assumptions!$D$118),1,0)</f>
        <v>1</v>
      </c>
      <c r="L164" s="38" t="n">
        <f aca="false">IF(AND(Assumptions!$D$117=1,L$4&gt;=Assumptions!$D$118),1,0)</f>
        <v>1</v>
      </c>
      <c r="M164" s="38" t="n">
        <f aca="false">IF(AND(Assumptions!$D$117=1,M$4&gt;=Assumptions!$D$118),1,0)</f>
        <v>1</v>
      </c>
      <c r="N164" s="38" t="n">
        <f aca="false">IF(AND(Assumptions!$D$117=1,N$4&gt;=Assumptions!$D$118),1,0)</f>
        <v>1</v>
      </c>
      <c r="O164" s="38" t="n">
        <f aca="false">IF(AND(Assumptions!$D$117=1,O$4&gt;=Assumptions!$D$118),1,0)</f>
        <v>1</v>
      </c>
      <c r="P164" s="38" t="n">
        <f aca="false">IF(AND(Assumptions!$D$117=1,P$4&gt;=Assumptions!$D$118),1,0)</f>
        <v>1</v>
      </c>
      <c r="Q164" s="38" t="n">
        <f aca="false">IF(AND(Assumptions!$D$117=1,Q$4&gt;=Assumptions!$D$118),1,0)</f>
        <v>1</v>
      </c>
      <c r="R164" s="38" t="n">
        <f aca="false">IF(AND(Assumptions!$D$117=1,R$4&gt;=Assumptions!$D$118),1,0)</f>
        <v>1</v>
      </c>
      <c r="S164" s="38" t="n">
        <f aca="false">IF(AND(Assumptions!$D$117=1,S$4&gt;=Assumptions!$D$118),1,0)</f>
        <v>1</v>
      </c>
      <c r="T164" s="38" t="n">
        <f aca="false">IF(AND(Assumptions!$D$117=1,T$4&gt;=Assumptions!$D$118),1,0)</f>
        <v>1</v>
      </c>
      <c r="U164" s="38" t="n">
        <f aca="false">IF(AND(Assumptions!$D$117=1,U$4&gt;=Assumptions!$D$118),1,0)</f>
        <v>1</v>
      </c>
      <c r="V164" s="38" t="n">
        <f aca="false">IF(AND(Assumptions!$D$117=1,V$4&gt;=Assumptions!$D$118),1,0)</f>
        <v>1</v>
      </c>
      <c r="W164" s="38" t="n">
        <f aca="false">IF(AND(Assumptions!$D$117=1,W$4&gt;=Assumptions!$D$118),1,0)</f>
        <v>1</v>
      </c>
      <c r="X164" s="38" t="n">
        <f aca="false">IF(AND(Assumptions!$D$117=1,X$4&gt;=Assumptions!$D$118),1,0)</f>
        <v>1</v>
      </c>
      <c r="Y164" s="38" t="n">
        <f aca="false">IF(AND(Assumptions!$D$117=1,Y$4&gt;=Assumptions!$D$118),1,0)</f>
        <v>1</v>
      </c>
      <c r="Z164" s="38" t="n">
        <f aca="false">IF(AND(Assumptions!$D$117=1,Z$4&gt;=Assumptions!$D$118),1,0)</f>
        <v>1</v>
      </c>
      <c r="AA164" s="38" t="n">
        <f aca="false">IF(AND(Assumptions!$D$117=1,AA$4&gt;=Assumptions!$D$118),1,0)</f>
        <v>1</v>
      </c>
      <c r="AB164" s="38" t="n">
        <f aca="false">IF(AND(Assumptions!$D$117=1,AB$4&gt;=Assumptions!$D$118),1,0)</f>
        <v>1</v>
      </c>
      <c r="AC164" s="38" t="n">
        <f aca="false">IF(AND(Assumptions!$D$117=1,AC$4&gt;=Assumptions!$D$118),1,0)</f>
        <v>1</v>
      </c>
      <c r="AD164" s="38" t="n">
        <f aca="false">IF(AND(Assumptions!$D$117=1,AD$4&gt;=Assumptions!$D$118),1,0)</f>
        <v>1</v>
      </c>
      <c r="AE164" s="38" t="n">
        <f aca="false">IF(AND(Assumptions!$D$117=1,AE$4&gt;=Assumptions!$D$118),1,0)</f>
        <v>1</v>
      </c>
      <c r="AF164" s="38" t="n">
        <f aca="false">IF(AND(Assumptions!$D$117=1,AF$4&gt;=Assumptions!$D$118),1,0)</f>
        <v>1</v>
      </c>
      <c r="AG164" s="38" t="n">
        <f aca="false">IF(AND(Assumptions!$D$117=1,AG$4&gt;=Assumptions!$D$118),1,0)</f>
        <v>1</v>
      </c>
      <c r="AH164" s="38" t="n">
        <f aca="false">IF(AND(Assumptions!$D$117=1,AH$4&gt;=Assumptions!$D$118),1,0)</f>
        <v>1</v>
      </c>
      <c r="AI164" s="38" t="n">
        <f aca="false">IF(AND(Assumptions!$D$117=1,AI$4&gt;=Assumptions!$D$118),1,0)</f>
        <v>1</v>
      </c>
      <c r="AJ164" s="38" t="n">
        <f aca="false">IF(AND(Assumptions!$D$117=1,AJ$4&gt;=Assumptions!$D$118),1,0)</f>
        <v>1</v>
      </c>
      <c r="AK164" s="38" t="n">
        <f aca="false">IF(AND(Assumptions!$D$117=1,AK$4&gt;=Assumptions!$D$118),1,0)</f>
        <v>1</v>
      </c>
      <c r="AL164" s="38" t="n">
        <f aca="false">IF(AND(Assumptions!$D$117=1,AL$4&gt;=Assumptions!$D$118),1,0)</f>
        <v>1</v>
      </c>
    </row>
    <row r="165" customFormat="false" ht="15" hidden="false" customHeight="false" outlineLevel="0" collapsed="false">
      <c r="A165" s="7" t="s">
        <v>756</v>
      </c>
      <c r="B165" s="9" t="s">
        <v>327</v>
      </c>
      <c r="C165" s="14" t="n">
        <f aca="false">IF(C164=0,0,Assumptions!$D$119)</f>
        <v>0</v>
      </c>
      <c r="D165" s="14" t="n">
        <f aca="false">IF(D164=0,0,IF(D$4=Assumptions!$D$118,Assumptions!$D$119,C165*(1+CHOOSE(D$6,Assumptions!$D$120,Assumptions!$D$121,Assumptions!$D$122))))</f>
        <v>600</v>
      </c>
      <c r="E165" s="14" t="n">
        <f aca="false">IF(E164=0,0,IF(E$4=Assumptions!$D$118,Assumptions!$D$119,D165*(1+CHOOSE(E$6,Assumptions!$D$120,Assumptions!$D$121,Assumptions!$D$122))))</f>
        <v>660</v>
      </c>
      <c r="F165" s="14" t="n">
        <f aca="false">IF(F164=0,0,IF(F$4=Assumptions!$D$118,Assumptions!$D$119,E165*(1+CHOOSE(F$6,Assumptions!$D$120,Assumptions!$D$121,Assumptions!$D$122))))</f>
        <v>726</v>
      </c>
      <c r="G165" s="14" t="n">
        <f aca="false">IF(G164=0,0,IF(G$4=Assumptions!$D$118,Assumptions!$D$119,F165*(1+CHOOSE(G$6,Assumptions!$D$120,Assumptions!$D$121,Assumptions!$D$122))))</f>
        <v>798.6</v>
      </c>
      <c r="H165" s="14" t="n">
        <f aca="false">IF(H164=0,0,IF(H$4=Assumptions!$D$118,Assumptions!$D$119,G165*(1+CHOOSE(H$6,Assumptions!$D$120,Assumptions!$D$121,Assumptions!$D$122))))</f>
        <v>878.46</v>
      </c>
      <c r="I165" s="14" t="n">
        <f aca="false">IF(I164=0,0,IF(I$4=Assumptions!$D$118,Assumptions!$D$119,H165*(1+CHOOSE(I$6,Assumptions!$D$120,Assumptions!$D$121,Assumptions!$D$122))))</f>
        <v>966.306</v>
      </c>
      <c r="J165" s="14" t="n">
        <f aca="false">IF(J164=0,0,IF(J$4=Assumptions!$D$118,Assumptions!$D$119,I165*(1+CHOOSE(J$6,Assumptions!$D$120,Assumptions!$D$121,Assumptions!$D$122))))</f>
        <v>1062.9366</v>
      </c>
      <c r="K165" s="14" t="n">
        <f aca="false">IF(K164=0,0,IF(K$4=Assumptions!$D$118,Assumptions!$D$119,J165*(1+CHOOSE(K$6,Assumptions!$D$120,Assumptions!$D$121,Assumptions!$D$122))))</f>
        <v>1169.23026</v>
      </c>
      <c r="L165" s="14" t="n">
        <f aca="false">IF(L164=0,0,IF(L$4=Assumptions!$D$118,Assumptions!$D$119,K165*(1+CHOOSE(L$6,Assumptions!$D$120,Assumptions!$D$121,Assumptions!$D$122))))</f>
        <v>1286.153286</v>
      </c>
      <c r="M165" s="14" t="n">
        <f aca="false">IF(M164=0,0,IF(M$4=Assumptions!$D$118,Assumptions!$D$119,L165*(1+CHOOSE(M$6,Assumptions!$D$120,Assumptions!$D$121,Assumptions!$D$122))))</f>
        <v>1414.7686146</v>
      </c>
      <c r="N165" s="14" t="n">
        <f aca="false">IF(N164=0,0,IF(N$4=Assumptions!$D$118,Assumptions!$D$119,M165*(1+CHOOSE(N$6,Assumptions!$D$120,Assumptions!$D$121,Assumptions!$D$122))))</f>
        <v>1556.24547606</v>
      </c>
      <c r="O165" s="14" t="n">
        <f aca="false">IF(O164=0,0,IF(O$4=Assumptions!$D$118,Assumptions!$D$119,N165*(1+CHOOSE(O$6,Assumptions!$D$120,Assumptions!$D$121,Assumptions!$D$122))))</f>
        <v>1618.4952951024</v>
      </c>
      <c r="P165" s="14" t="n">
        <f aca="false">IF(P164=0,0,IF(P$4=Assumptions!$D$118,Assumptions!$D$119,O165*(1+CHOOSE(P$6,Assumptions!$D$120,Assumptions!$D$121,Assumptions!$D$122))))</f>
        <v>1683.2351069065</v>
      </c>
      <c r="Q165" s="14" t="n">
        <f aca="false">IF(Q164=0,0,IF(Q$4=Assumptions!$D$118,Assumptions!$D$119,P165*(1+CHOOSE(Q$6,Assumptions!$D$120,Assumptions!$D$121,Assumptions!$D$122))))</f>
        <v>1750.56451118276</v>
      </c>
      <c r="R165" s="14" t="n">
        <f aca="false">IF(R164=0,0,IF(R$4=Assumptions!$D$118,Assumptions!$D$119,Q165*(1+CHOOSE(R$6,Assumptions!$D$120,Assumptions!$D$121,Assumptions!$D$122))))</f>
        <v>1820.58709163007</v>
      </c>
      <c r="S165" s="14" t="n">
        <f aca="false">IF(S164=0,0,IF(S$4=Assumptions!$D$118,Assumptions!$D$119,R165*(1+CHOOSE(S$6,Assumptions!$D$120,Assumptions!$D$121,Assumptions!$D$122))))</f>
        <v>1893.41057529527</v>
      </c>
      <c r="T165" s="14" t="n">
        <f aca="false">IF(T164=0,0,IF(T$4=Assumptions!$D$118,Assumptions!$D$119,S165*(1+CHOOSE(T$6,Assumptions!$D$120,Assumptions!$D$121,Assumptions!$D$122))))</f>
        <v>1969.14699830708</v>
      </c>
      <c r="U165" s="14" t="n">
        <f aca="false">IF(U164=0,0,IF(U$4=Assumptions!$D$118,Assumptions!$D$119,T165*(1+CHOOSE(U$6,Assumptions!$D$120,Assumptions!$D$121,Assumptions!$D$122))))</f>
        <v>2047.91287823936</v>
      </c>
      <c r="V165" s="14" t="n">
        <f aca="false">IF(V164=0,0,IF(V$4=Assumptions!$D$118,Assumptions!$D$119,U165*(1+CHOOSE(V$6,Assumptions!$D$120,Assumptions!$D$121,Assumptions!$D$122))))</f>
        <v>2129.82939336894</v>
      </c>
      <c r="W165" s="14" t="n">
        <f aca="false">IF(W164=0,0,IF(W$4=Assumptions!$D$118,Assumptions!$D$119,V165*(1+CHOOSE(W$6,Assumptions!$D$120,Assumptions!$D$121,Assumptions!$D$122))))</f>
        <v>2215.0225691037</v>
      </c>
      <c r="X165" s="14" t="n">
        <f aca="false">IF(X164=0,0,IF(X$4=Assumptions!$D$118,Assumptions!$D$119,W165*(1+CHOOSE(X$6,Assumptions!$D$120,Assumptions!$D$121,Assumptions!$D$122))))</f>
        <v>2303.62347186784</v>
      </c>
      <c r="Y165" s="14" t="n">
        <f aca="false">IF(Y164=0,0,IF(Y$4=Assumptions!$D$118,Assumptions!$D$119,X165*(1+CHOOSE(Y$6,Assumptions!$D$120,Assumptions!$D$121,Assumptions!$D$122))))</f>
        <v>2395.76841074256</v>
      </c>
      <c r="Z165" s="14" t="n">
        <f aca="false">IF(Z164=0,0,IF(Z$4=Assumptions!$D$118,Assumptions!$D$119,Y165*(1+CHOOSE(Z$6,Assumptions!$D$120,Assumptions!$D$121,Assumptions!$D$122))))</f>
        <v>2491.59914717226</v>
      </c>
      <c r="AA165" s="14" t="n">
        <f aca="false">IF(AA164=0,0,IF(AA$4=Assumptions!$D$118,Assumptions!$D$119,Z165*(1+CHOOSE(AA$6,Assumptions!$D$120,Assumptions!$D$121,Assumptions!$D$122))))</f>
        <v>2541.43113011571</v>
      </c>
      <c r="AB165" s="14" t="n">
        <f aca="false">IF(AB164=0,0,IF(AB$4=Assumptions!$D$118,Assumptions!$D$119,AA165*(1+CHOOSE(AB$6,Assumptions!$D$120,Assumptions!$D$121,Assumptions!$D$122))))</f>
        <v>2592.25975271802</v>
      </c>
      <c r="AC165" s="14" t="n">
        <f aca="false">IF(AC164=0,0,IF(AC$4=Assumptions!$D$118,Assumptions!$D$119,AB165*(1+CHOOSE(AC$6,Assumptions!$D$120,Assumptions!$D$121,Assumptions!$D$122))))</f>
        <v>2644.10494777238</v>
      </c>
      <c r="AD165" s="14" t="n">
        <f aca="false">IF(AD164=0,0,IF(AD$4=Assumptions!$D$118,Assumptions!$D$119,AC165*(1+CHOOSE(AD$6,Assumptions!$D$120,Assumptions!$D$121,Assumptions!$D$122))))</f>
        <v>2696.98704672783</v>
      </c>
      <c r="AE165" s="14" t="n">
        <f aca="false">IF(AE164=0,0,IF(AE$4=Assumptions!$D$118,Assumptions!$D$119,AD165*(1+CHOOSE(AE$6,Assumptions!$D$120,Assumptions!$D$121,Assumptions!$D$122))))</f>
        <v>2750.92678766239</v>
      </c>
      <c r="AF165" s="14" t="n">
        <f aca="false">IF(AF164=0,0,IF(AF$4=Assumptions!$D$118,Assumptions!$D$119,AE165*(1+CHOOSE(AF$6,Assumptions!$D$120,Assumptions!$D$121,Assumptions!$D$122))))</f>
        <v>2805.94532341563</v>
      </c>
      <c r="AG165" s="14" t="n">
        <f aca="false">IF(AG164=0,0,IF(AG$4=Assumptions!$D$118,Assumptions!$D$119,AF165*(1+CHOOSE(AG$6,Assumptions!$D$120,Assumptions!$D$121,Assumptions!$D$122))))</f>
        <v>2862.06422988395</v>
      </c>
      <c r="AH165" s="14" t="n">
        <f aca="false">IF(AH164=0,0,IF(AH$4=Assumptions!$D$118,Assumptions!$D$119,AG165*(1+CHOOSE(AH$6,Assumptions!$D$120,Assumptions!$D$121,Assumptions!$D$122))))</f>
        <v>2919.30551448162</v>
      </c>
      <c r="AI165" s="14" t="n">
        <f aca="false">IF(AI164=0,0,IF(AI$4=Assumptions!$D$118,Assumptions!$D$119,AH165*(1+CHOOSE(AI$6,Assumptions!$D$120,Assumptions!$D$121,Assumptions!$D$122))))</f>
        <v>2977.69162477126</v>
      </c>
      <c r="AJ165" s="14" t="n">
        <f aca="false">IF(AJ164=0,0,IF(AJ$4=Assumptions!$D$118,Assumptions!$D$119,AI165*(1+CHOOSE(AJ$6,Assumptions!$D$120,Assumptions!$D$121,Assumptions!$D$122))))</f>
        <v>3037.24545726668</v>
      </c>
      <c r="AK165" s="14" t="n">
        <f aca="false">IF(AK164=0,0,IF(AK$4=Assumptions!$D$118,Assumptions!$D$119,AJ165*(1+CHOOSE(AK$6,Assumptions!$D$120,Assumptions!$D$121,Assumptions!$D$122))))</f>
        <v>3097.99036641202</v>
      </c>
      <c r="AL165" s="14" t="n">
        <f aca="false">IF(AL164=0,0,IF(AL$4=Assumptions!$D$118,Assumptions!$D$119,AK165*(1+CHOOSE(AL$6,Assumptions!$D$120,Assumptions!$D$121,Assumptions!$D$122))))</f>
        <v>3159.95017374026</v>
      </c>
    </row>
    <row r="166" customFormat="false" ht="15" hidden="false" customHeight="false" outlineLevel="0" collapsed="false">
      <c r="A166" s="7" t="s">
        <v>767</v>
      </c>
      <c r="B166" s="9" t="s">
        <v>327</v>
      </c>
      <c r="C166" s="52" t="n">
        <f aca="false">C165*C$7</f>
        <v>0</v>
      </c>
      <c r="D166" s="52" t="n">
        <f aca="false">D165*D$7</f>
        <v>780</v>
      </c>
      <c r="E166" s="52" t="n">
        <f aca="false">E165*E$7</f>
        <v>891</v>
      </c>
      <c r="F166" s="52" t="n">
        <f aca="false">F165*F$7</f>
        <v>907.5</v>
      </c>
      <c r="G166" s="52" t="n">
        <f aca="false">G165*G$7</f>
        <v>718.74</v>
      </c>
      <c r="H166" s="52" t="n">
        <f aca="false">H165*H$7</f>
        <v>878.46</v>
      </c>
      <c r="I166" s="52" t="n">
        <f aca="false">I165*I$7</f>
        <v>1014.6213</v>
      </c>
      <c r="J166" s="52" t="n">
        <f aca="false">J165*J$7</f>
        <v>1009.78977</v>
      </c>
      <c r="K166" s="52" t="n">
        <f aca="false">K165*K$7</f>
        <v>1169.23026</v>
      </c>
      <c r="L166" s="52" t="n">
        <f aca="false">L165*L$7</f>
        <v>1221.8456217</v>
      </c>
      <c r="M166" s="52" t="n">
        <f aca="false">M165*M$7</f>
        <v>1202.55332241</v>
      </c>
      <c r="N166" s="52" t="n">
        <f aca="false">N165*N$7</f>
        <v>1322.808654651</v>
      </c>
      <c r="O166" s="52" t="n">
        <f aca="false">O165*O$7</f>
        <v>1537.57053034728</v>
      </c>
      <c r="P166" s="52" t="n">
        <f aca="false">P165*P$7</f>
        <v>2188.20563897845</v>
      </c>
      <c r="Q166" s="52" t="n">
        <f aca="false">Q165*Q$7</f>
        <v>2363.26209009672</v>
      </c>
      <c r="R166" s="52" t="n">
        <f aca="false">R165*R$7</f>
        <v>2275.73386453758</v>
      </c>
      <c r="S166" s="52" t="n">
        <f aca="false">S165*S$7</f>
        <v>1704.06951776574</v>
      </c>
      <c r="T166" s="52" t="n">
        <f aca="false">T165*T$7</f>
        <v>1969.14699830708</v>
      </c>
      <c r="U166" s="52" t="n">
        <f aca="false">U165*U$7</f>
        <v>2150.30852215133</v>
      </c>
      <c r="V166" s="52" t="n">
        <f aca="false">V165*V$7</f>
        <v>2023.33792370049</v>
      </c>
      <c r="W166" s="52" t="n">
        <f aca="false">W165*W$7</f>
        <v>2215.0225691037</v>
      </c>
      <c r="X166" s="52" t="n">
        <f aca="false">X165*X$7</f>
        <v>2188.44229827445</v>
      </c>
      <c r="Y166" s="52" t="n">
        <f aca="false">Y165*Y$7</f>
        <v>2036.40314913117</v>
      </c>
      <c r="Z166" s="52" t="n">
        <f aca="false">Z165*Z$7</f>
        <v>2117.85927509642</v>
      </c>
      <c r="AA166" s="52" t="n">
        <f aca="false">AA165*AA$7</f>
        <v>2414.35957360992</v>
      </c>
      <c r="AB166" s="52" t="n">
        <f aca="false">AB165*AB$7</f>
        <v>3369.93767853343</v>
      </c>
      <c r="AC166" s="52" t="n">
        <f aca="false">AC165*AC$7</f>
        <v>3569.54167949271</v>
      </c>
      <c r="AD166" s="52" t="n">
        <f aca="false">AD165*AD$7</f>
        <v>3371.23380840979</v>
      </c>
      <c r="AE166" s="52" t="n">
        <f aca="false">AE165*AE$7</f>
        <v>2475.83410889615</v>
      </c>
      <c r="AF166" s="52" t="n">
        <f aca="false">AF165*AF$7</f>
        <v>2805.94532341563</v>
      </c>
      <c r="AG166" s="52" t="n">
        <f aca="false">AG165*AG$7</f>
        <v>3005.16744137814</v>
      </c>
      <c r="AH166" s="52" t="n">
        <f aca="false">AH165*AH$7</f>
        <v>2773.34023875754</v>
      </c>
      <c r="AI166" s="52" t="n">
        <f aca="false">AI165*AI$7</f>
        <v>2977.69162477126</v>
      </c>
      <c r="AJ166" s="52" t="n">
        <f aca="false">AJ165*AJ$7</f>
        <v>2885.38318440335</v>
      </c>
      <c r="AK166" s="52" t="n">
        <f aca="false">AK165*AK$7</f>
        <v>2633.29181145021</v>
      </c>
      <c r="AL166" s="52" t="n">
        <f aca="false">AL165*AL$7</f>
        <v>2685.95764767922</v>
      </c>
      <c r="AM166" s="53" t="n">
        <f aca="false">SUMIF($C$6:$AL$6,1,C166:AL166)</f>
        <v>11116.548928761</v>
      </c>
      <c r="AN166" s="53" t="n">
        <f aca="false">SUMIF($C$6:$AL$6,2,C166:AL166)</f>
        <v>24769.3623774904</v>
      </c>
      <c r="AO166" s="53" t="n">
        <f aca="false">SUMIF($C$6:$AL$6,3,C166:AL166)</f>
        <v>34967.6841207974</v>
      </c>
      <c r="AP166" s="53" t="n">
        <f aca="false">SUM(C166:AL166)</f>
        <v>70853.5954270488</v>
      </c>
    </row>
    <row r="167" customFormat="false" ht="15" hidden="false" customHeight="false" outlineLevel="0" collapsed="false">
      <c r="A167" s="7" t="s">
        <v>758</v>
      </c>
      <c r="B167" s="9" t="s">
        <v>96</v>
      </c>
      <c r="C167" s="54" t="n">
        <f aca="false">Assumptions!$D$123*MIN(1,(C$4-Assumptions!$D$118+1)/Assumptions!$C$10)*C164</f>
        <v>0</v>
      </c>
      <c r="D167" s="54" t="n">
        <f aca="false">Assumptions!$D$123*MIN(1,(D$4-Assumptions!$D$118+1)/Assumptions!$C$10)*D164</f>
        <v>0.00833333333333333</v>
      </c>
      <c r="E167" s="54" t="n">
        <f aca="false">Assumptions!$D$123*MIN(1,(E$4-Assumptions!$D$118+1)/Assumptions!$C$10)*E164</f>
        <v>0.0166666666666667</v>
      </c>
      <c r="F167" s="54" t="n">
        <f aca="false">Assumptions!$D$123*MIN(1,(F$4-Assumptions!$D$118+1)/Assumptions!$C$10)*F164</f>
        <v>0.025</v>
      </c>
      <c r="G167" s="54" t="n">
        <f aca="false">Assumptions!$D$123*MIN(1,(G$4-Assumptions!$D$118+1)/Assumptions!$C$10)*G164</f>
        <v>0.0333333333333333</v>
      </c>
      <c r="H167" s="54" t="n">
        <f aca="false">Assumptions!$D$123*MIN(1,(H$4-Assumptions!$D$118+1)/Assumptions!$C$10)*H164</f>
        <v>0.0416666666666667</v>
      </c>
      <c r="I167" s="54" t="n">
        <f aca="false">Assumptions!$D$123*MIN(1,(I$4-Assumptions!$D$118+1)/Assumptions!$C$10)*I164</f>
        <v>0.05</v>
      </c>
      <c r="J167" s="54" t="n">
        <f aca="false">Assumptions!$D$123*MIN(1,(J$4-Assumptions!$D$118+1)/Assumptions!$C$10)*J164</f>
        <v>0.05</v>
      </c>
      <c r="K167" s="54" t="n">
        <f aca="false">Assumptions!$D$123*MIN(1,(K$4-Assumptions!$D$118+1)/Assumptions!$C$10)*K164</f>
        <v>0.05</v>
      </c>
      <c r="L167" s="54" t="n">
        <f aca="false">Assumptions!$D$123*MIN(1,(L$4-Assumptions!$D$118+1)/Assumptions!$C$10)*L164</f>
        <v>0.05</v>
      </c>
      <c r="M167" s="54" t="n">
        <f aca="false">Assumptions!$D$123*MIN(1,(M$4-Assumptions!$D$118+1)/Assumptions!$C$10)*M164</f>
        <v>0.05</v>
      </c>
      <c r="N167" s="54" t="n">
        <f aca="false">Assumptions!$D$123*MIN(1,(N$4-Assumptions!$D$118+1)/Assumptions!$C$10)*N164</f>
        <v>0.05</v>
      </c>
      <c r="O167" s="54" t="n">
        <f aca="false">Assumptions!$D$123*MIN(1,(O$4-Assumptions!$D$118+1)/Assumptions!$C$10)*O164</f>
        <v>0.05</v>
      </c>
      <c r="P167" s="54" t="n">
        <f aca="false">Assumptions!$D$123*MIN(1,(P$4-Assumptions!$D$118+1)/Assumptions!$C$10)*P164</f>
        <v>0.05</v>
      </c>
      <c r="Q167" s="54" t="n">
        <f aca="false">Assumptions!$D$123*MIN(1,(Q$4-Assumptions!$D$118+1)/Assumptions!$C$10)*Q164</f>
        <v>0.05</v>
      </c>
      <c r="R167" s="54" t="n">
        <f aca="false">Assumptions!$D$123*MIN(1,(R$4-Assumptions!$D$118+1)/Assumptions!$C$10)*R164</f>
        <v>0.05</v>
      </c>
      <c r="S167" s="54" t="n">
        <f aca="false">Assumptions!$D$123*MIN(1,(S$4-Assumptions!$D$118+1)/Assumptions!$C$10)*S164</f>
        <v>0.05</v>
      </c>
      <c r="T167" s="54" t="n">
        <f aca="false">Assumptions!$D$123*MIN(1,(T$4-Assumptions!$D$118+1)/Assumptions!$C$10)*T164</f>
        <v>0.05</v>
      </c>
      <c r="U167" s="54" t="n">
        <f aca="false">Assumptions!$D$123*MIN(1,(U$4-Assumptions!$D$118+1)/Assumptions!$C$10)*U164</f>
        <v>0.05</v>
      </c>
      <c r="V167" s="54" t="n">
        <f aca="false">Assumptions!$D$123*MIN(1,(V$4-Assumptions!$D$118+1)/Assumptions!$C$10)*V164</f>
        <v>0.05</v>
      </c>
      <c r="W167" s="54" t="n">
        <f aca="false">Assumptions!$D$123*MIN(1,(W$4-Assumptions!$D$118+1)/Assumptions!$C$10)*W164</f>
        <v>0.05</v>
      </c>
      <c r="X167" s="54" t="n">
        <f aca="false">Assumptions!$D$123*MIN(1,(X$4-Assumptions!$D$118+1)/Assumptions!$C$10)*X164</f>
        <v>0.05</v>
      </c>
      <c r="Y167" s="54" t="n">
        <f aca="false">Assumptions!$D$123*MIN(1,(Y$4-Assumptions!$D$118+1)/Assumptions!$C$10)*Y164</f>
        <v>0.05</v>
      </c>
      <c r="Z167" s="54" t="n">
        <f aca="false">Assumptions!$D$123*MIN(1,(Z$4-Assumptions!$D$118+1)/Assumptions!$C$10)*Z164</f>
        <v>0.05</v>
      </c>
      <c r="AA167" s="54" t="n">
        <f aca="false">Assumptions!$D$123*MIN(1,(AA$4-Assumptions!$D$118+1)/Assumptions!$C$10)*AA164</f>
        <v>0.05</v>
      </c>
      <c r="AB167" s="54" t="n">
        <f aca="false">Assumptions!$D$123*MIN(1,(AB$4-Assumptions!$D$118+1)/Assumptions!$C$10)*AB164</f>
        <v>0.05</v>
      </c>
      <c r="AC167" s="54" t="n">
        <f aca="false">Assumptions!$D$123*MIN(1,(AC$4-Assumptions!$D$118+1)/Assumptions!$C$10)*AC164</f>
        <v>0.05</v>
      </c>
      <c r="AD167" s="54" t="n">
        <f aca="false">Assumptions!$D$123*MIN(1,(AD$4-Assumptions!$D$118+1)/Assumptions!$C$10)*AD164</f>
        <v>0.05</v>
      </c>
      <c r="AE167" s="54" t="n">
        <f aca="false">Assumptions!$D$123*MIN(1,(AE$4-Assumptions!$D$118+1)/Assumptions!$C$10)*AE164</f>
        <v>0.05</v>
      </c>
      <c r="AF167" s="54" t="n">
        <f aca="false">Assumptions!$D$123*MIN(1,(AF$4-Assumptions!$D$118+1)/Assumptions!$C$10)*AF164</f>
        <v>0.05</v>
      </c>
      <c r="AG167" s="54" t="n">
        <f aca="false">Assumptions!$D$123*MIN(1,(AG$4-Assumptions!$D$118+1)/Assumptions!$C$10)*AG164</f>
        <v>0.05</v>
      </c>
      <c r="AH167" s="54" t="n">
        <f aca="false">Assumptions!$D$123*MIN(1,(AH$4-Assumptions!$D$118+1)/Assumptions!$C$10)*AH164</f>
        <v>0.05</v>
      </c>
      <c r="AI167" s="54" t="n">
        <f aca="false">Assumptions!$D$123*MIN(1,(AI$4-Assumptions!$D$118+1)/Assumptions!$C$10)*AI164</f>
        <v>0.05</v>
      </c>
      <c r="AJ167" s="54" t="n">
        <f aca="false">Assumptions!$D$123*MIN(1,(AJ$4-Assumptions!$D$118+1)/Assumptions!$C$10)*AJ164</f>
        <v>0.05</v>
      </c>
      <c r="AK167" s="54" t="n">
        <f aca="false">Assumptions!$D$123*MIN(1,(AK$4-Assumptions!$D$118+1)/Assumptions!$C$10)*AK164</f>
        <v>0.05</v>
      </c>
      <c r="AL167" s="54" t="n">
        <f aca="false">Assumptions!$D$123*MIN(1,(AL$4-Assumptions!$D$118+1)/Assumptions!$C$10)*AL164</f>
        <v>0.05</v>
      </c>
    </row>
    <row r="168" customFormat="false" ht="15" hidden="false" customHeight="false" outlineLevel="0" collapsed="false">
      <c r="A168" s="7" t="s">
        <v>766</v>
      </c>
      <c r="B168" s="9" t="s">
        <v>760</v>
      </c>
      <c r="C168" s="55" t="n">
        <f aca="false">C166*C167</f>
        <v>0</v>
      </c>
      <c r="D168" s="55" t="n">
        <f aca="false">D166*D167</f>
        <v>6.5</v>
      </c>
      <c r="E168" s="55" t="n">
        <f aca="false">E166*E167</f>
        <v>14.85</v>
      </c>
      <c r="F168" s="55" t="n">
        <f aca="false">F166*F167</f>
        <v>22.6875</v>
      </c>
      <c r="G168" s="55" t="n">
        <f aca="false">G166*G167</f>
        <v>23.958</v>
      </c>
      <c r="H168" s="55" t="n">
        <f aca="false">H166*H167</f>
        <v>36.6025</v>
      </c>
      <c r="I168" s="55" t="n">
        <f aca="false">I166*I167</f>
        <v>50.731065</v>
      </c>
      <c r="J168" s="55" t="n">
        <f aca="false">J166*J167</f>
        <v>50.4894885</v>
      </c>
      <c r="K168" s="55" t="n">
        <f aca="false">K166*K167</f>
        <v>58.461513</v>
      </c>
      <c r="L168" s="55" t="n">
        <f aca="false">L166*L167</f>
        <v>61.092281085</v>
      </c>
      <c r="M168" s="55" t="n">
        <f aca="false">M166*M167</f>
        <v>60.1276661205</v>
      </c>
      <c r="N168" s="55" t="n">
        <f aca="false">N166*N167</f>
        <v>66.14043273255</v>
      </c>
      <c r="O168" s="55" t="n">
        <f aca="false">O166*O167</f>
        <v>76.8785265173641</v>
      </c>
      <c r="P168" s="55" t="n">
        <f aca="false">P166*P167</f>
        <v>109.410281948922</v>
      </c>
      <c r="Q168" s="55" t="n">
        <f aca="false">Q166*Q167</f>
        <v>118.163104504836</v>
      </c>
      <c r="R168" s="55" t="n">
        <f aca="false">R166*R167</f>
        <v>113.786693226879</v>
      </c>
      <c r="S168" s="55" t="n">
        <f aca="false">S166*S167</f>
        <v>85.2034758882872</v>
      </c>
      <c r="T168" s="55" t="n">
        <f aca="false">T166*T167</f>
        <v>98.457349915354</v>
      </c>
      <c r="U168" s="55" t="n">
        <f aca="false">U166*U167</f>
        <v>107.515426107567</v>
      </c>
      <c r="V168" s="55" t="n">
        <f aca="false">V166*V167</f>
        <v>101.166896185025</v>
      </c>
      <c r="W168" s="55" t="n">
        <f aca="false">W166*W167</f>
        <v>110.751128455185</v>
      </c>
      <c r="X168" s="55" t="n">
        <f aca="false">X166*X167</f>
        <v>109.422114913723</v>
      </c>
      <c r="Y168" s="55" t="n">
        <f aca="false">Y166*Y167</f>
        <v>101.820157456559</v>
      </c>
      <c r="Z168" s="55" t="n">
        <f aca="false">Z166*Z167</f>
        <v>105.892963754821</v>
      </c>
      <c r="AA168" s="55" t="n">
        <f aca="false">AA166*AA167</f>
        <v>120.717978680496</v>
      </c>
      <c r="AB168" s="55" t="n">
        <f aca="false">AB166*AB167</f>
        <v>168.496883926671</v>
      </c>
      <c r="AC168" s="55" t="n">
        <f aca="false">AC166*AC167</f>
        <v>178.477083974636</v>
      </c>
      <c r="AD168" s="55" t="n">
        <f aca="false">AD166*AD167</f>
        <v>168.561690420489</v>
      </c>
      <c r="AE168" s="55" t="n">
        <f aca="false">AE166*AE167</f>
        <v>123.791705444807</v>
      </c>
      <c r="AF168" s="55" t="n">
        <f aca="false">AF166*AF167</f>
        <v>140.297266170782</v>
      </c>
      <c r="AG168" s="55" t="n">
        <f aca="false">AG166*AG167</f>
        <v>150.258372068907</v>
      </c>
      <c r="AH168" s="55" t="n">
        <f aca="false">AH166*AH167</f>
        <v>138.667011937877</v>
      </c>
      <c r="AI168" s="55" t="n">
        <f aca="false">AI166*AI167</f>
        <v>148.884581238563</v>
      </c>
      <c r="AJ168" s="55" t="n">
        <f aca="false">AJ166*AJ167</f>
        <v>144.269159220167</v>
      </c>
      <c r="AK168" s="55" t="n">
        <f aca="false">AK166*AK167</f>
        <v>131.664590572511</v>
      </c>
      <c r="AL168" s="55" t="n">
        <f aca="false">AL166*AL167</f>
        <v>134.297882383961</v>
      </c>
      <c r="AM168" s="53" t="n">
        <f aca="false">SUMIF($C$6:$AL$6,1,C168:AL168)</f>
        <v>451.64044643805</v>
      </c>
      <c r="AN168" s="53" t="n">
        <f aca="false">SUMIF($C$6:$AL$6,2,C168:AL168)</f>
        <v>1238.46811887452</v>
      </c>
      <c r="AO168" s="53" t="n">
        <f aca="false">SUMIF($C$6:$AL$6,3,C168:AL168)</f>
        <v>1748.38420603987</v>
      </c>
      <c r="AP168" s="53" t="n">
        <f aca="false">SUM(C168:AL168)</f>
        <v>3438.49277135244</v>
      </c>
    </row>
    <row r="169" customFormat="false" ht="15" hidden="false" customHeight="false" outlineLevel="0" collapsed="false">
      <c r="A169" s="7" t="s">
        <v>761</v>
      </c>
      <c r="B169" s="9" t="s">
        <v>342</v>
      </c>
      <c r="C169" s="56" t="n">
        <f aca="false">C168*Assumptions!$D$124</f>
        <v>0</v>
      </c>
      <c r="D169" s="56" t="n">
        <f aca="false">D168*Assumptions!$D$124</f>
        <v>6.825</v>
      </c>
      <c r="E169" s="56" t="n">
        <f aca="false">E168*Assumptions!$D$124</f>
        <v>15.5925</v>
      </c>
      <c r="F169" s="56" t="n">
        <f aca="false">F168*Assumptions!$D$124</f>
        <v>23.821875</v>
      </c>
      <c r="G169" s="56" t="n">
        <f aca="false">G168*Assumptions!$D$124</f>
        <v>25.1559</v>
      </c>
      <c r="H169" s="56" t="n">
        <f aca="false">H168*Assumptions!$D$124</f>
        <v>38.432625</v>
      </c>
      <c r="I169" s="56" t="n">
        <f aca="false">I168*Assumptions!$D$124</f>
        <v>53.26761825</v>
      </c>
      <c r="J169" s="56" t="n">
        <f aca="false">J168*Assumptions!$D$124</f>
        <v>53.013962925</v>
      </c>
      <c r="K169" s="56" t="n">
        <f aca="false">K168*Assumptions!$D$124</f>
        <v>61.38458865</v>
      </c>
      <c r="L169" s="56" t="n">
        <f aca="false">L168*Assumptions!$D$124</f>
        <v>64.14689513925</v>
      </c>
      <c r="M169" s="56" t="n">
        <f aca="false">M168*Assumptions!$D$124</f>
        <v>63.134049426525</v>
      </c>
      <c r="N169" s="56" t="n">
        <f aca="false">N168*Assumptions!$D$124</f>
        <v>69.4474543691776</v>
      </c>
      <c r="O169" s="56" t="n">
        <f aca="false">O168*Assumptions!$D$124</f>
        <v>80.7224528432323</v>
      </c>
      <c r="P169" s="56" t="n">
        <f aca="false">P168*Assumptions!$D$124</f>
        <v>114.880796046368</v>
      </c>
      <c r="Q169" s="56" t="n">
        <f aca="false">Q168*Assumptions!$D$124</f>
        <v>124.071259730078</v>
      </c>
      <c r="R169" s="56" t="n">
        <f aca="false">R168*Assumptions!$D$124</f>
        <v>119.476027888223</v>
      </c>
      <c r="S169" s="56" t="n">
        <f aca="false">S168*Assumptions!$D$124</f>
        <v>89.4636496827015</v>
      </c>
      <c r="T169" s="56" t="n">
        <f aca="false">T168*Assumptions!$D$124</f>
        <v>103.380217411122</v>
      </c>
      <c r="U169" s="56" t="n">
        <f aca="false">U168*Assumptions!$D$124</f>
        <v>112.891197412945</v>
      </c>
      <c r="V169" s="56" t="n">
        <f aca="false">V168*Assumptions!$D$124</f>
        <v>106.225240994276</v>
      </c>
      <c r="W169" s="56" t="n">
        <f aca="false">W168*Assumptions!$D$124</f>
        <v>116.288684877944</v>
      </c>
      <c r="X169" s="56" t="n">
        <f aca="false">X168*Assumptions!$D$124</f>
        <v>114.893220659409</v>
      </c>
      <c r="Y169" s="56" t="n">
        <f aca="false">Y168*Assumptions!$D$124</f>
        <v>106.911165329387</v>
      </c>
      <c r="Z169" s="56" t="n">
        <f aca="false">Z168*Assumptions!$D$124</f>
        <v>111.187611942562</v>
      </c>
      <c r="AA169" s="56" t="n">
        <f aca="false">AA168*Assumptions!$D$124</f>
        <v>126.753877614521</v>
      </c>
      <c r="AB169" s="56" t="n">
        <f aca="false">AB168*Assumptions!$D$124</f>
        <v>176.921728123005</v>
      </c>
      <c r="AC169" s="56" t="n">
        <f aca="false">AC168*Assumptions!$D$124</f>
        <v>187.400938173367</v>
      </c>
      <c r="AD169" s="56" t="n">
        <f aca="false">AD168*Assumptions!$D$124</f>
        <v>176.989774941514</v>
      </c>
      <c r="AE169" s="56" t="n">
        <f aca="false">AE168*Assumptions!$D$124</f>
        <v>129.981290717048</v>
      </c>
      <c r="AF169" s="56" t="n">
        <f aca="false">AF168*Assumptions!$D$124</f>
        <v>147.312129479321</v>
      </c>
      <c r="AG169" s="56" t="n">
        <f aca="false">AG168*Assumptions!$D$124</f>
        <v>157.771290672353</v>
      </c>
      <c r="AH169" s="56" t="n">
        <f aca="false">AH168*Assumptions!$D$124</f>
        <v>145.600362534771</v>
      </c>
      <c r="AI169" s="56" t="n">
        <f aca="false">AI168*Assumptions!$D$124</f>
        <v>156.328810300491</v>
      </c>
      <c r="AJ169" s="56" t="n">
        <f aca="false">AJ168*Assumptions!$D$124</f>
        <v>151.482617181176</v>
      </c>
      <c r="AK169" s="56" t="n">
        <f aca="false">AK168*Assumptions!$D$124</f>
        <v>138.247820101136</v>
      </c>
      <c r="AL169" s="56" t="n">
        <f aca="false">AL168*Assumptions!$D$124</f>
        <v>141.012776503159</v>
      </c>
      <c r="AM169" s="53" t="n">
        <f aca="false">SUMIF($C$6:$AL$6,1,C169:AL169)</f>
        <v>474.222468759953</v>
      </c>
      <c r="AN169" s="53" t="n">
        <f aca="false">SUMIF($C$6:$AL$6,2,C169:AL169)</f>
        <v>1300.39152481825</v>
      </c>
      <c r="AO169" s="53" t="n">
        <f aca="false">SUMIF($C$6:$AL$6,3,C169:AL169)</f>
        <v>1835.80341634186</v>
      </c>
      <c r="AP169" s="53" t="n">
        <f aca="false">SUM(C169:AL169)</f>
        <v>3610.41740992006</v>
      </c>
    </row>
    <row r="170" customFormat="false" ht="15" hidden="false" customHeight="false" outlineLevel="0" collapsed="false">
      <c r="A170" s="7" t="s">
        <v>762</v>
      </c>
      <c r="B170" s="9" t="s">
        <v>101</v>
      </c>
      <c r="C170" s="15" t="n">
        <f aca="false">'Unit Economics'!$E$52*Assumptions!$D$124*C164</f>
        <v>0</v>
      </c>
      <c r="D170" s="15" t="n">
        <f aca="false">'Unit Economics'!$E$52*Assumptions!$D$124*D164</f>
        <v>15.2145</v>
      </c>
      <c r="E170" s="15" t="n">
        <f aca="false">'Unit Economics'!$E$52*Assumptions!$D$124*E164</f>
        <v>15.2145</v>
      </c>
      <c r="F170" s="15" t="n">
        <f aca="false">'Unit Economics'!$E$52*Assumptions!$D$124*F164</f>
        <v>15.2145</v>
      </c>
      <c r="G170" s="15" t="n">
        <f aca="false">'Unit Economics'!$E$52*Assumptions!$D$124*G164</f>
        <v>15.2145</v>
      </c>
      <c r="H170" s="15" t="n">
        <f aca="false">'Unit Economics'!$E$52*Assumptions!$D$124*H164</f>
        <v>15.2145</v>
      </c>
      <c r="I170" s="15" t="n">
        <f aca="false">'Unit Economics'!$E$52*Assumptions!$D$124*I164</f>
        <v>15.2145</v>
      </c>
      <c r="J170" s="15" t="n">
        <f aca="false">'Unit Economics'!$E$52*Assumptions!$D$124*J164</f>
        <v>15.2145</v>
      </c>
      <c r="K170" s="15" t="n">
        <f aca="false">'Unit Economics'!$E$52*Assumptions!$D$124*K164</f>
        <v>15.2145</v>
      </c>
      <c r="L170" s="15" t="n">
        <f aca="false">'Unit Economics'!$E$52*Assumptions!$D$124*L164</f>
        <v>15.2145</v>
      </c>
      <c r="M170" s="15" t="n">
        <f aca="false">'Unit Economics'!$E$52*Assumptions!$D$124*M164</f>
        <v>15.2145</v>
      </c>
      <c r="N170" s="15" t="n">
        <f aca="false">'Unit Economics'!$E$52*Assumptions!$D$124*N164</f>
        <v>15.2145</v>
      </c>
      <c r="O170" s="15" t="n">
        <f aca="false">'Unit Economics'!$E$52*Assumptions!$D$124*O164</f>
        <v>15.2145</v>
      </c>
      <c r="P170" s="15" t="n">
        <f aca="false">'Unit Economics'!$E$52*Assumptions!$D$124*P164</f>
        <v>15.2145</v>
      </c>
      <c r="Q170" s="15" t="n">
        <f aca="false">'Unit Economics'!$E$52*Assumptions!$D$124*Q164</f>
        <v>15.2145</v>
      </c>
      <c r="R170" s="15" t="n">
        <f aca="false">'Unit Economics'!$E$52*Assumptions!$D$124*R164</f>
        <v>15.2145</v>
      </c>
      <c r="S170" s="15" t="n">
        <f aca="false">'Unit Economics'!$E$52*Assumptions!$D$124*S164</f>
        <v>15.2145</v>
      </c>
      <c r="T170" s="15" t="n">
        <f aca="false">'Unit Economics'!$E$52*Assumptions!$D$124*T164</f>
        <v>15.2145</v>
      </c>
      <c r="U170" s="15" t="n">
        <f aca="false">'Unit Economics'!$E$52*Assumptions!$D$124*U164</f>
        <v>15.2145</v>
      </c>
      <c r="V170" s="15" t="n">
        <f aca="false">'Unit Economics'!$E$52*Assumptions!$D$124*V164</f>
        <v>15.2145</v>
      </c>
      <c r="W170" s="15" t="n">
        <f aca="false">'Unit Economics'!$E$52*Assumptions!$D$124*W164</f>
        <v>15.2145</v>
      </c>
      <c r="X170" s="15" t="n">
        <f aca="false">'Unit Economics'!$E$52*Assumptions!$D$124*X164</f>
        <v>15.2145</v>
      </c>
      <c r="Y170" s="15" t="n">
        <f aca="false">'Unit Economics'!$E$52*Assumptions!$D$124*Y164</f>
        <v>15.2145</v>
      </c>
      <c r="Z170" s="15" t="n">
        <f aca="false">'Unit Economics'!$E$52*Assumptions!$D$124*Z164</f>
        <v>15.2145</v>
      </c>
      <c r="AA170" s="15" t="n">
        <f aca="false">'Unit Economics'!$E$52*Assumptions!$D$124*AA164</f>
        <v>15.2145</v>
      </c>
      <c r="AB170" s="15" t="n">
        <f aca="false">'Unit Economics'!$E$52*Assumptions!$D$124*AB164</f>
        <v>15.2145</v>
      </c>
      <c r="AC170" s="15" t="n">
        <f aca="false">'Unit Economics'!$E$52*Assumptions!$D$124*AC164</f>
        <v>15.2145</v>
      </c>
      <c r="AD170" s="15" t="n">
        <f aca="false">'Unit Economics'!$E$52*Assumptions!$D$124*AD164</f>
        <v>15.2145</v>
      </c>
      <c r="AE170" s="15" t="n">
        <f aca="false">'Unit Economics'!$E$52*Assumptions!$D$124*AE164</f>
        <v>15.2145</v>
      </c>
      <c r="AF170" s="15" t="n">
        <f aca="false">'Unit Economics'!$E$52*Assumptions!$D$124*AF164</f>
        <v>15.2145</v>
      </c>
      <c r="AG170" s="15" t="n">
        <f aca="false">'Unit Economics'!$E$52*Assumptions!$D$124*AG164</f>
        <v>15.2145</v>
      </c>
      <c r="AH170" s="15" t="n">
        <f aca="false">'Unit Economics'!$E$52*Assumptions!$D$124*AH164</f>
        <v>15.2145</v>
      </c>
      <c r="AI170" s="15" t="n">
        <f aca="false">'Unit Economics'!$E$52*Assumptions!$D$124*AI164</f>
        <v>15.2145</v>
      </c>
      <c r="AJ170" s="15" t="n">
        <f aca="false">'Unit Economics'!$E$52*Assumptions!$D$124*AJ164</f>
        <v>15.2145</v>
      </c>
      <c r="AK170" s="15" t="n">
        <f aca="false">'Unit Economics'!$E$52*Assumptions!$D$124*AK164</f>
        <v>15.2145</v>
      </c>
      <c r="AL170" s="15" t="n">
        <f aca="false">'Unit Economics'!$E$52*Assumptions!$D$124*AL164</f>
        <v>15.2145</v>
      </c>
    </row>
    <row r="171" customFormat="false" ht="15" hidden="false" customHeight="false" outlineLevel="0" collapsed="false">
      <c r="A171" s="7" t="s">
        <v>763</v>
      </c>
      <c r="B171" s="9" t="s">
        <v>101</v>
      </c>
      <c r="C171" s="8" t="n">
        <f aca="false">C169*'Unit Economics'!$E$52</f>
        <v>0</v>
      </c>
      <c r="D171" s="8" t="n">
        <f aca="false">D169*'Unit Economics'!$E$52</f>
        <v>98.89425</v>
      </c>
      <c r="E171" s="8" t="n">
        <f aca="false">E169*'Unit Economics'!$E$52</f>
        <v>225.935325</v>
      </c>
      <c r="F171" s="8" t="n">
        <f aca="false">F169*'Unit Economics'!$E$52</f>
        <v>345.17896875</v>
      </c>
      <c r="G171" s="8" t="n">
        <f aca="false">G169*'Unit Economics'!$E$52</f>
        <v>364.508991</v>
      </c>
      <c r="H171" s="8" t="n">
        <f aca="false">H169*'Unit Economics'!$E$52</f>
        <v>556.88873625</v>
      </c>
      <c r="I171" s="8" t="n">
        <f aca="false">I169*'Unit Economics'!$E$52</f>
        <v>771.847788442501</v>
      </c>
      <c r="J171" s="8" t="n">
        <f aca="false">J169*'Unit Economics'!$E$52</f>
        <v>768.17232278325</v>
      </c>
      <c r="K171" s="8" t="n">
        <f aca="false">K169*'Unit Economics'!$E$52</f>
        <v>889.4626895385</v>
      </c>
      <c r="L171" s="8" t="n">
        <f aca="false">L169*'Unit Economics'!$E$52</f>
        <v>929.488510567733</v>
      </c>
      <c r="M171" s="8" t="n">
        <f aca="false">M169*'Unit Economics'!$E$52</f>
        <v>914.812376190348</v>
      </c>
      <c r="N171" s="8" t="n">
        <f aca="false">N169*'Unit Economics'!$E$52</f>
        <v>1006.29361380938</v>
      </c>
      <c r="O171" s="8" t="n">
        <f aca="false">O169*'Unit Economics'!$E$52</f>
        <v>1169.66834169844</v>
      </c>
      <c r="P171" s="8" t="n">
        <f aca="false">P169*'Unit Economics'!$E$52</f>
        <v>1664.62273471188</v>
      </c>
      <c r="Q171" s="8" t="n">
        <f aca="false">Q169*'Unit Economics'!$E$52</f>
        <v>1797.79255348883</v>
      </c>
      <c r="R171" s="8" t="n">
        <f aca="false">R169*'Unit Economics'!$E$52</f>
        <v>1731.20764410035</v>
      </c>
      <c r="S171" s="8" t="n">
        <f aca="false">S169*'Unit Economics'!$E$52</f>
        <v>1296.32828390235</v>
      </c>
      <c r="T171" s="8" t="n">
        <f aca="false">T169*'Unit Economics'!$E$52</f>
        <v>1497.97935028715</v>
      </c>
      <c r="U171" s="8" t="n">
        <f aca="false">U169*'Unit Economics'!$E$52</f>
        <v>1635.79345051357</v>
      </c>
      <c r="V171" s="8" t="n">
        <f aca="false">V169*'Unit Economics'!$E$52</f>
        <v>1539.20374200706</v>
      </c>
      <c r="W171" s="8" t="n">
        <f aca="false">W169*'Unit Economics'!$E$52</f>
        <v>1685.02304388141</v>
      </c>
      <c r="X171" s="8" t="n">
        <f aca="false">X169*'Unit Economics'!$E$52</f>
        <v>1664.80276735483</v>
      </c>
      <c r="Y171" s="8" t="n">
        <f aca="false">Y169*'Unit Economics'!$E$52</f>
        <v>1549.14278562281</v>
      </c>
      <c r="Z171" s="8" t="n">
        <f aca="false">Z169*'Unit Economics'!$E$52</f>
        <v>1611.10849704773</v>
      </c>
      <c r="AA171" s="8" t="n">
        <f aca="false">AA169*'Unit Economics'!$E$52</f>
        <v>1836.66368663441</v>
      </c>
      <c r="AB171" s="8" t="n">
        <f aca="false">AB169*'Unit Economics'!$E$52</f>
        <v>2563.59584050234</v>
      </c>
      <c r="AC171" s="8" t="n">
        <f aca="false">AC169*'Unit Economics'!$E$52</f>
        <v>2715.4395941321</v>
      </c>
      <c r="AD171" s="8" t="n">
        <f aca="false">AD169*'Unit Economics'!$E$52</f>
        <v>2564.58183890253</v>
      </c>
      <c r="AE171" s="8" t="n">
        <f aca="false">AE169*'Unit Economics'!$E$52</f>
        <v>1883.42890249002</v>
      </c>
      <c r="AF171" s="8" t="n">
        <f aca="false">AF169*'Unit Economics'!$E$52</f>
        <v>2134.55275615536</v>
      </c>
      <c r="AG171" s="8" t="n">
        <f aca="false">AG169*'Unit Economics'!$E$52</f>
        <v>2286.10600184239</v>
      </c>
      <c r="AH171" s="8" t="n">
        <f aca="false">AH169*'Unit Economics'!$E$52</f>
        <v>2109.74925312883</v>
      </c>
      <c r="AI171" s="8" t="n">
        <f aca="false">AI169*'Unit Economics'!$E$52</f>
        <v>2265.20446125411</v>
      </c>
      <c r="AJ171" s="8" t="n">
        <f aca="false">AJ169*'Unit Economics'!$E$52</f>
        <v>2194.98312295524</v>
      </c>
      <c r="AK171" s="8" t="n">
        <f aca="false">AK169*'Unit Economics'!$E$52</f>
        <v>2003.21091326546</v>
      </c>
      <c r="AL171" s="8" t="n">
        <f aca="false">AL169*'Unit Economics'!$E$52</f>
        <v>2043.27513153077</v>
      </c>
      <c r="AM171" s="45" t="n">
        <f aca="false">SUMIF($C$6:$AL$6,1,C171:AL171)</f>
        <v>6871.48357233172</v>
      </c>
      <c r="AN171" s="45" t="n">
        <f aca="false">SUMIF($C$6:$AL$6,2,C171:AL171)</f>
        <v>18842.6731946164</v>
      </c>
      <c r="AO171" s="45" t="n">
        <f aca="false">SUMIF($C$6:$AL$6,3,C171:AL171)</f>
        <v>26600.7915027936</v>
      </c>
      <c r="AP171" s="45" t="n">
        <f aca="false">SUM(C171:AL171)</f>
        <v>52314.9482697417</v>
      </c>
    </row>
    <row r="172" customFormat="false" ht="15" hidden="false" customHeight="false" outlineLevel="0" collapsed="false">
      <c r="A172" s="7" t="s">
        <v>764</v>
      </c>
      <c r="B172" s="9" t="s">
        <v>101</v>
      </c>
      <c r="C172" s="8" t="n">
        <f aca="false">C169*'Unit Economics'!$F$52</f>
        <v>0</v>
      </c>
      <c r="D172" s="8" t="n">
        <f aca="false">D169*'Unit Economics'!$F$52</f>
        <v>41.50965</v>
      </c>
      <c r="E172" s="8" t="n">
        <f aca="false">E169*'Unit Economics'!$F$52</f>
        <v>94.833585</v>
      </c>
      <c r="F172" s="8" t="n">
        <f aca="false">F169*'Unit Economics'!$F$52</f>
        <v>144.88464375</v>
      </c>
      <c r="G172" s="8" t="n">
        <f aca="false">G169*'Unit Economics'!$F$52</f>
        <v>152.9981838</v>
      </c>
      <c r="H172" s="8" t="n">
        <f aca="false">H169*'Unit Economics'!$F$52</f>
        <v>233.74722525</v>
      </c>
      <c r="I172" s="8" t="n">
        <f aca="false">I169*'Unit Economics'!$F$52</f>
        <v>323.9736541965</v>
      </c>
      <c r="J172" s="8" t="n">
        <f aca="false">J169*'Unit Economics'!$F$52</f>
        <v>322.43092250985</v>
      </c>
      <c r="K172" s="8" t="n">
        <f aca="false">K169*'Unit Economics'!$F$52</f>
        <v>373.3410681693</v>
      </c>
      <c r="L172" s="8" t="n">
        <f aca="false">L169*'Unit Economics'!$F$52</f>
        <v>390.141416236919</v>
      </c>
      <c r="M172" s="8" t="n">
        <f aca="false">M169*'Unit Economics'!$F$52</f>
        <v>383.981288612125</v>
      </c>
      <c r="N172" s="8" t="n">
        <f aca="false">N169*'Unit Economics'!$F$52</f>
        <v>422.379417473338</v>
      </c>
      <c r="O172" s="8" t="n">
        <f aca="false">O169*'Unit Economics'!$F$52</f>
        <v>490.953958192539</v>
      </c>
      <c r="P172" s="8" t="n">
        <f aca="false">P169*'Unit Economics'!$F$52</f>
        <v>698.705001554013</v>
      </c>
      <c r="Q172" s="8" t="n">
        <f aca="false">Q169*'Unit Economics'!$F$52</f>
        <v>754.601401678334</v>
      </c>
      <c r="R172" s="8" t="n">
        <f aca="false">R169*'Unit Economics'!$F$52</f>
        <v>726.653201616173</v>
      </c>
      <c r="S172" s="8" t="n">
        <f aca="false">S169*'Unit Economics'!$F$52</f>
        <v>544.117917370191</v>
      </c>
      <c r="T172" s="8" t="n">
        <f aca="false">T169*'Unit Economics'!$F$52</f>
        <v>628.758482294442</v>
      </c>
      <c r="U172" s="8" t="n">
        <f aca="false">U169*'Unit Economics'!$F$52</f>
        <v>686.604262665531</v>
      </c>
      <c r="V172" s="8" t="n">
        <f aca="false">V169*'Unit Economics'!$F$52</f>
        <v>646.061915727186</v>
      </c>
      <c r="W172" s="8" t="n">
        <f aca="false">W169*'Unit Economics'!$F$52</f>
        <v>707.267781427656</v>
      </c>
      <c r="X172" s="8" t="n">
        <f aca="false">X169*'Unit Economics'!$F$52</f>
        <v>698.780568050524</v>
      </c>
      <c r="Y172" s="8" t="n">
        <f aca="false">Y169*'Unit Economics'!$F$52</f>
        <v>650.23370753333</v>
      </c>
      <c r="Z172" s="8" t="n">
        <f aca="false">Z169*'Unit Economics'!$F$52</f>
        <v>676.243055834663</v>
      </c>
      <c r="AA172" s="8" t="n">
        <f aca="false">AA169*'Unit Economics'!$F$52</f>
        <v>770.917083651516</v>
      </c>
      <c r="AB172" s="8" t="n">
        <f aca="false">AB169*'Unit Economics'!$F$52</f>
        <v>1076.03795044412</v>
      </c>
      <c r="AC172" s="8" t="n">
        <f aca="false">AC169*'Unit Economics'!$F$52</f>
        <v>1139.77250597042</v>
      </c>
      <c r="AD172" s="8" t="n">
        <f aca="false">AD169*'Unit Economics'!$F$52</f>
        <v>1076.45181119429</v>
      </c>
      <c r="AE172" s="8" t="n">
        <f aca="false">AE169*'Unit Economics'!$F$52</f>
        <v>790.546210141084</v>
      </c>
      <c r="AF172" s="8" t="n">
        <f aca="false">AF169*'Unit Economics'!$F$52</f>
        <v>895.952371493228</v>
      </c>
      <c r="AG172" s="8" t="n">
        <f aca="false">AG169*'Unit Economics'!$F$52</f>
        <v>959.564989869248</v>
      </c>
      <c r="AH172" s="8" t="n">
        <f aca="false">AH169*'Unit Economics'!$F$52</f>
        <v>885.541404936477</v>
      </c>
      <c r="AI172" s="8" t="n">
        <f aca="false">AI169*'Unit Economics'!$F$52</f>
        <v>950.791824247586</v>
      </c>
      <c r="AJ172" s="8" t="n">
        <f aca="false">AJ169*'Unit Economics'!$F$52</f>
        <v>921.317277695911</v>
      </c>
      <c r="AK172" s="8" t="n">
        <f aca="false">AK169*'Unit Economics'!$F$52</f>
        <v>840.82324185511</v>
      </c>
      <c r="AL172" s="8" t="n">
        <f aca="false">AL169*'Unit Economics'!$F$52</f>
        <v>857.639706692213</v>
      </c>
      <c r="AM172" s="45" t="n">
        <f aca="false">SUMIF($C$6:$AL$6,1,C172:AL172)</f>
        <v>2884.22105499803</v>
      </c>
      <c r="AN172" s="45" t="n">
        <f aca="false">SUMIF($C$6:$AL$6,2,C172:AL172)</f>
        <v>7908.98125394458</v>
      </c>
      <c r="AO172" s="45" t="n">
        <f aca="false">SUMIF($C$6:$AL$6,3,C172:AL172)</f>
        <v>11165.3563781912</v>
      </c>
      <c r="AP172" s="45" t="n">
        <f aca="false">SUM(C172:AL172)</f>
        <v>21958.5586871338</v>
      </c>
    </row>
    <row r="173" customFormat="false" ht="15" hidden="false" customHeight="false" outlineLevel="0" collapsed="false">
      <c r="A173" s="5" t="s">
        <v>574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</row>
    <row r="174" customFormat="false" ht="15" hidden="false" customHeight="false" outlineLevel="0" collapsed="false">
      <c r="A174" s="7" t="s">
        <v>755</v>
      </c>
      <c r="B174" s="9" t="s">
        <v>319</v>
      </c>
      <c r="C174" s="38" t="n">
        <f aca="false">IF(AND(Assumptions!$D$126=1,C$4&gt;=Assumptions!$D$127),1,0)</f>
        <v>0</v>
      </c>
      <c r="D174" s="38" t="n">
        <f aca="false">IF(AND(Assumptions!$D$126=1,D$4&gt;=Assumptions!$D$127),1,0)</f>
        <v>0</v>
      </c>
      <c r="E174" s="38" t="n">
        <f aca="false">IF(AND(Assumptions!$D$126=1,E$4&gt;=Assumptions!$D$127),1,0)</f>
        <v>1</v>
      </c>
      <c r="F174" s="38" t="n">
        <f aca="false">IF(AND(Assumptions!$D$126=1,F$4&gt;=Assumptions!$D$127),1,0)</f>
        <v>1</v>
      </c>
      <c r="G174" s="38" t="n">
        <f aca="false">IF(AND(Assumptions!$D$126=1,G$4&gt;=Assumptions!$D$127),1,0)</f>
        <v>1</v>
      </c>
      <c r="H174" s="38" t="n">
        <f aca="false">IF(AND(Assumptions!$D$126=1,H$4&gt;=Assumptions!$D$127),1,0)</f>
        <v>1</v>
      </c>
      <c r="I174" s="38" t="n">
        <f aca="false">IF(AND(Assumptions!$D$126=1,I$4&gt;=Assumptions!$D$127),1,0)</f>
        <v>1</v>
      </c>
      <c r="J174" s="38" t="n">
        <f aca="false">IF(AND(Assumptions!$D$126=1,J$4&gt;=Assumptions!$D$127),1,0)</f>
        <v>1</v>
      </c>
      <c r="K174" s="38" t="n">
        <f aca="false">IF(AND(Assumptions!$D$126=1,K$4&gt;=Assumptions!$D$127),1,0)</f>
        <v>1</v>
      </c>
      <c r="L174" s="38" t="n">
        <f aca="false">IF(AND(Assumptions!$D$126=1,L$4&gt;=Assumptions!$D$127),1,0)</f>
        <v>1</v>
      </c>
      <c r="M174" s="38" t="n">
        <f aca="false">IF(AND(Assumptions!$D$126=1,M$4&gt;=Assumptions!$D$127),1,0)</f>
        <v>1</v>
      </c>
      <c r="N174" s="38" t="n">
        <f aca="false">IF(AND(Assumptions!$D$126=1,N$4&gt;=Assumptions!$D$127),1,0)</f>
        <v>1</v>
      </c>
      <c r="O174" s="38" t="n">
        <f aca="false">IF(AND(Assumptions!$D$126=1,O$4&gt;=Assumptions!$D$127),1,0)</f>
        <v>1</v>
      </c>
      <c r="P174" s="38" t="n">
        <f aca="false">IF(AND(Assumptions!$D$126=1,P$4&gt;=Assumptions!$D$127),1,0)</f>
        <v>1</v>
      </c>
      <c r="Q174" s="38" t="n">
        <f aca="false">IF(AND(Assumptions!$D$126=1,Q$4&gt;=Assumptions!$D$127),1,0)</f>
        <v>1</v>
      </c>
      <c r="R174" s="38" t="n">
        <f aca="false">IF(AND(Assumptions!$D$126=1,R$4&gt;=Assumptions!$D$127),1,0)</f>
        <v>1</v>
      </c>
      <c r="S174" s="38" t="n">
        <f aca="false">IF(AND(Assumptions!$D$126=1,S$4&gt;=Assumptions!$D$127),1,0)</f>
        <v>1</v>
      </c>
      <c r="T174" s="38" t="n">
        <f aca="false">IF(AND(Assumptions!$D$126=1,T$4&gt;=Assumptions!$D$127),1,0)</f>
        <v>1</v>
      </c>
      <c r="U174" s="38" t="n">
        <f aca="false">IF(AND(Assumptions!$D$126=1,U$4&gt;=Assumptions!$D$127),1,0)</f>
        <v>1</v>
      </c>
      <c r="V174" s="38" t="n">
        <f aca="false">IF(AND(Assumptions!$D$126=1,V$4&gt;=Assumptions!$D$127),1,0)</f>
        <v>1</v>
      </c>
      <c r="W174" s="38" t="n">
        <f aca="false">IF(AND(Assumptions!$D$126=1,W$4&gt;=Assumptions!$D$127),1,0)</f>
        <v>1</v>
      </c>
      <c r="X174" s="38" t="n">
        <f aca="false">IF(AND(Assumptions!$D$126=1,X$4&gt;=Assumptions!$D$127),1,0)</f>
        <v>1</v>
      </c>
      <c r="Y174" s="38" t="n">
        <f aca="false">IF(AND(Assumptions!$D$126=1,Y$4&gt;=Assumptions!$D$127),1,0)</f>
        <v>1</v>
      </c>
      <c r="Z174" s="38" t="n">
        <f aca="false">IF(AND(Assumptions!$D$126=1,Z$4&gt;=Assumptions!$D$127),1,0)</f>
        <v>1</v>
      </c>
      <c r="AA174" s="38" t="n">
        <f aca="false">IF(AND(Assumptions!$D$126=1,AA$4&gt;=Assumptions!$D$127),1,0)</f>
        <v>1</v>
      </c>
      <c r="AB174" s="38" t="n">
        <f aca="false">IF(AND(Assumptions!$D$126=1,AB$4&gt;=Assumptions!$D$127),1,0)</f>
        <v>1</v>
      </c>
      <c r="AC174" s="38" t="n">
        <f aca="false">IF(AND(Assumptions!$D$126=1,AC$4&gt;=Assumptions!$D$127),1,0)</f>
        <v>1</v>
      </c>
      <c r="AD174" s="38" t="n">
        <f aca="false">IF(AND(Assumptions!$D$126=1,AD$4&gt;=Assumptions!$D$127),1,0)</f>
        <v>1</v>
      </c>
      <c r="AE174" s="38" t="n">
        <f aca="false">IF(AND(Assumptions!$D$126=1,AE$4&gt;=Assumptions!$D$127),1,0)</f>
        <v>1</v>
      </c>
      <c r="AF174" s="38" t="n">
        <f aca="false">IF(AND(Assumptions!$D$126=1,AF$4&gt;=Assumptions!$D$127),1,0)</f>
        <v>1</v>
      </c>
      <c r="AG174" s="38" t="n">
        <f aca="false">IF(AND(Assumptions!$D$126=1,AG$4&gt;=Assumptions!$D$127),1,0)</f>
        <v>1</v>
      </c>
      <c r="AH174" s="38" t="n">
        <f aca="false">IF(AND(Assumptions!$D$126=1,AH$4&gt;=Assumptions!$D$127),1,0)</f>
        <v>1</v>
      </c>
      <c r="AI174" s="38" t="n">
        <f aca="false">IF(AND(Assumptions!$D$126=1,AI$4&gt;=Assumptions!$D$127),1,0)</f>
        <v>1</v>
      </c>
      <c r="AJ174" s="38" t="n">
        <f aca="false">IF(AND(Assumptions!$D$126=1,AJ$4&gt;=Assumptions!$D$127),1,0)</f>
        <v>1</v>
      </c>
      <c r="AK174" s="38" t="n">
        <f aca="false">IF(AND(Assumptions!$D$126=1,AK$4&gt;=Assumptions!$D$127),1,0)</f>
        <v>1</v>
      </c>
      <c r="AL174" s="38" t="n">
        <f aca="false">IF(AND(Assumptions!$D$126=1,AL$4&gt;=Assumptions!$D$127),1,0)</f>
        <v>1</v>
      </c>
    </row>
    <row r="175" customFormat="false" ht="15" hidden="false" customHeight="false" outlineLevel="0" collapsed="false">
      <c r="A175" s="7" t="s">
        <v>756</v>
      </c>
      <c r="B175" s="9" t="s">
        <v>327</v>
      </c>
      <c r="C175" s="14" t="n">
        <f aca="false">IF(C174=0,0,Assumptions!$D$128)</f>
        <v>0</v>
      </c>
      <c r="D175" s="14" t="n">
        <f aca="false">IF(D174=0,0,IF(D$4=Assumptions!$D$127,Assumptions!$D$128,C175*(1+CHOOSE(D$6,Assumptions!$D$129,Assumptions!$D$130,Assumptions!$D$131))))</f>
        <v>0</v>
      </c>
      <c r="E175" s="14" t="n">
        <f aca="false">IF(E174=0,0,IF(E$4=Assumptions!$D$127,Assumptions!$D$128,D175*(1+CHOOSE(E$6,Assumptions!$D$129,Assumptions!$D$130,Assumptions!$D$131))))</f>
        <v>200</v>
      </c>
      <c r="F175" s="14" t="n">
        <f aca="false">IF(F174=0,0,IF(F$4=Assumptions!$D$127,Assumptions!$D$128,E175*(1+CHOOSE(F$6,Assumptions!$D$129,Assumptions!$D$130,Assumptions!$D$131))))</f>
        <v>212</v>
      </c>
      <c r="G175" s="14" t="n">
        <f aca="false">IF(G174=0,0,IF(G$4=Assumptions!$D$127,Assumptions!$D$128,F175*(1+CHOOSE(G$6,Assumptions!$D$129,Assumptions!$D$130,Assumptions!$D$131))))</f>
        <v>224.72</v>
      </c>
      <c r="H175" s="14" t="n">
        <f aca="false">IF(H174=0,0,IF(H$4=Assumptions!$D$127,Assumptions!$D$128,G175*(1+CHOOSE(H$6,Assumptions!$D$129,Assumptions!$D$130,Assumptions!$D$131))))</f>
        <v>238.2032</v>
      </c>
      <c r="I175" s="14" t="n">
        <f aca="false">IF(I174=0,0,IF(I$4=Assumptions!$D$127,Assumptions!$D$128,H175*(1+CHOOSE(I$6,Assumptions!$D$129,Assumptions!$D$130,Assumptions!$D$131))))</f>
        <v>252.495392</v>
      </c>
      <c r="J175" s="14" t="n">
        <f aca="false">IF(J174=0,0,IF(J$4=Assumptions!$D$127,Assumptions!$D$128,I175*(1+CHOOSE(J$6,Assumptions!$D$129,Assumptions!$D$130,Assumptions!$D$131))))</f>
        <v>267.64511552</v>
      </c>
      <c r="K175" s="14" t="n">
        <f aca="false">IF(K174=0,0,IF(K$4=Assumptions!$D$127,Assumptions!$D$128,J175*(1+CHOOSE(K$6,Assumptions!$D$129,Assumptions!$D$130,Assumptions!$D$131))))</f>
        <v>283.7038224512</v>
      </c>
      <c r="L175" s="14" t="n">
        <f aca="false">IF(L174=0,0,IF(L$4=Assumptions!$D$127,Assumptions!$D$128,K175*(1+CHOOSE(L$6,Assumptions!$D$129,Assumptions!$D$130,Assumptions!$D$131))))</f>
        <v>300.726051798272</v>
      </c>
      <c r="M175" s="14" t="n">
        <f aca="false">IF(M174=0,0,IF(M$4=Assumptions!$D$127,Assumptions!$D$128,L175*(1+CHOOSE(M$6,Assumptions!$D$129,Assumptions!$D$130,Assumptions!$D$131))))</f>
        <v>318.769614906168</v>
      </c>
      <c r="N175" s="14" t="n">
        <f aca="false">IF(N174=0,0,IF(N$4=Assumptions!$D$127,Assumptions!$D$128,M175*(1+CHOOSE(N$6,Assumptions!$D$129,Assumptions!$D$130,Assumptions!$D$131))))</f>
        <v>337.895791800539</v>
      </c>
      <c r="O175" s="14" t="n">
        <f aca="false">IF(O174=0,0,IF(O$4=Assumptions!$D$127,Assumptions!$D$128,N175*(1+CHOOSE(O$6,Assumptions!$D$129,Assumptions!$D$130,Assumptions!$D$131))))</f>
        <v>348.032665554555</v>
      </c>
      <c r="P175" s="14" t="n">
        <f aca="false">IF(P174=0,0,IF(P$4=Assumptions!$D$127,Assumptions!$D$128,O175*(1+CHOOSE(P$6,Assumptions!$D$129,Assumptions!$D$130,Assumptions!$D$131))))</f>
        <v>358.473645521191</v>
      </c>
      <c r="Q175" s="14" t="n">
        <f aca="false">IF(Q174=0,0,IF(Q$4=Assumptions!$D$127,Assumptions!$D$128,P175*(1+CHOOSE(Q$6,Assumptions!$D$129,Assumptions!$D$130,Assumptions!$D$131))))</f>
        <v>369.227854886827</v>
      </c>
      <c r="R175" s="14" t="n">
        <f aca="false">IF(R174=0,0,IF(R$4=Assumptions!$D$127,Assumptions!$D$128,Q175*(1+CHOOSE(R$6,Assumptions!$D$129,Assumptions!$D$130,Assumptions!$D$131))))</f>
        <v>380.304690533432</v>
      </c>
      <c r="S175" s="14" t="n">
        <f aca="false">IF(S174=0,0,IF(S$4=Assumptions!$D$127,Assumptions!$D$128,R175*(1+CHOOSE(S$6,Assumptions!$D$129,Assumptions!$D$130,Assumptions!$D$131))))</f>
        <v>391.713831249435</v>
      </c>
      <c r="T175" s="14" t="n">
        <f aca="false">IF(T174=0,0,IF(T$4=Assumptions!$D$127,Assumptions!$D$128,S175*(1+CHOOSE(T$6,Assumptions!$D$129,Assumptions!$D$130,Assumptions!$D$131))))</f>
        <v>403.465246186918</v>
      </c>
      <c r="U175" s="14" t="n">
        <f aca="false">IF(U174=0,0,IF(U$4=Assumptions!$D$127,Assumptions!$D$128,T175*(1+CHOOSE(U$6,Assumptions!$D$129,Assumptions!$D$130,Assumptions!$D$131))))</f>
        <v>415.569203572525</v>
      </c>
      <c r="V175" s="14" t="n">
        <f aca="false">IF(V174=0,0,IF(V$4=Assumptions!$D$127,Assumptions!$D$128,U175*(1+CHOOSE(V$6,Assumptions!$D$129,Assumptions!$D$130,Assumptions!$D$131))))</f>
        <v>428.036279679701</v>
      </c>
      <c r="W175" s="14" t="n">
        <f aca="false">IF(W174=0,0,IF(W$4=Assumptions!$D$127,Assumptions!$D$128,V175*(1+CHOOSE(W$6,Assumptions!$D$129,Assumptions!$D$130,Assumptions!$D$131))))</f>
        <v>440.877368070092</v>
      </c>
      <c r="X175" s="14" t="n">
        <f aca="false">IF(X174=0,0,IF(X$4=Assumptions!$D$127,Assumptions!$D$128,W175*(1+CHOOSE(X$6,Assumptions!$D$129,Assumptions!$D$130,Assumptions!$D$131))))</f>
        <v>454.103689112195</v>
      </c>
      <c r="Y175" s="14" t="n">
        <f aca="false">IF(Y174=0,0,IF(Y$4=Assumptions!$D$127,Assumptions!$D$128,X175*(1+CHOOSE(Y$6,Assumptions!$D$129,Assumptions!$D$130,Assumptions!$D$131))))</f>
        <v>467.726799785561</v>
      </c>
      <c r="Z175" s="14" t="n">
        <f aca="false">IF(Z174=0,0,IF(Z$4=Assumptions!$D$127,Assumptions!$D$128,Y175*(1+CHOOSE(Z$6,Assumptions!$D$129,Assumptions!$D$130,Assumptions!$D$131))))</f>
        <v>481.758603779128</v>
      </c>
      <c r="AA175" s="14" t="n">
        <f aca="false">IF(AA174=0,0,IF(AA$4=Assumptions!$D$127,Assumptions!$D$128,Z175*(1+CHOOSE(AA$6,Assumptions!$D$129,Assumptions!$D$130,Assumptions!$D$131))))</f>
        <v>491.39377585471</v>
      </c>
      <c r="AB175" s="14" t="n">
        <f aca="false">IF(AB174=0,0,IF(AB$4=Assumptions!$D$127,Assumptions!$D$128,AA175*(1+CHOOSE(AB$6,Assumptions!$D$129,Assumptions!$D$130,Assumptions!$D$131))))</f>
        <v>501.221651371805</v>
      </c>
      <c r="AC175" s="14" t="n">
        <f aca="false">IF(AC174=0,0,IF(AC$4=Assumptions!$D$127,Assumptions!$D$128,AB175*(1+CHOOSE(AC$6,Assumptions!$D$129,Assumptions!$D$130,Assumptions!$D$131))))</f>
        <v>511.246084399241</v>
      </c>
      <c r="AD175" s="14" t="n">
        <f aca="false">IF(AD174=0,0,IF(AD$4=Assumptions!$D$127,Assumptions!$D$128,AC175*(1+CHOOSE(AD$6,Assumptions!$D$129,Assumptions!$D$130,Assumptions!$D$131))))</f>
        <v>521.471006087226</v>
      </c>
      <c r="AE175" s="14" t="n">
        <f aca="false">IF(AE174=0,0,IF(AE$4=Assumptions!$D$127,Assumptions!$D$128,AD175*(1+CHOOSE(AE$6,Assumptions!$D$129,Assumptions!$D$130,Assumptions!$D$131))))</f>
        <v>531.90042620897</v>
      </c>
      <c r="AF175" s="14" t="n">
        <f aca="false">IF(AF174=0,0,IF(AF$4=Assumptions!$D$127,Assumptions!$D$128,AE175*(1+CHOOSE(AF$6,Assumptions!$D$129,Assumptions!$D$130,Assumptions!$D$131))))</f>
        <v>542.53843473315</v>
      </c>
      <c r="AG175" s="14" t="n">
        <f aca="false">IF(AG174=0,0,IF(AG$4=Assumptions!$D$127,Assumptions!$D$128,AF175*(1+CHOOSE(AG$6,Assumptions!$D$129,Assumptions!$D$130,Assumptions!$D$131))))</f>
        <v>553.389203427813</v>
      </c>
      <c r="AH175" s="14" t="n">
        <f aca="false">IF(AH174=0,0,IF(AH$4=Assumptions!$D$127,Assumptions!$D$128,AG175*(1+CHOOSE(AH$6,Assumptions!$D$129,Assumptions!$D$130,Assumptions!$D$131))))</f>
        <v>564.456987496369</v>
      </c>
      <c r="AI175" s="14" t="n">
        <f aca="false">IF(AI174=0,0,IF(AI$4=Assumptions!$D$127,Assumptions!$D$128,AH175*(1+CHOOSE(AI$6,Assumptions!$D$129,Assumptions!$D$130,Assumptions!$D$131))))</f>
        <v>575.746127246296</v>
      </c>
      <c r="AJ175" s="14" t="n">
        <f aca="false">IF(AJ174=0,0,IF(AJ$4=Assumptions!$D$127,Assumptions!$D$128,AI175*(1+CHOOSE(AJ$6,Assumptions!$D$129,Assumptions!$D$130,Assumptions!$D$131))))</f>
        <v>587.261049791222</v>
      </c>
      <c r="AK175" s="14" t="n">
        <f aca="false">IF(AK174=0,0,IF(AK$4=Assumptions!$D$127,Assumptions!$D$128,AJ175*(1+CHOOSE(AK$6,Assumptions!$D$129,Assumptions!$D$130,Assumptions!$D$131))))</f>
        <v>599.006270787047</v>
      </c>
      <c r="AL175" s="14" t="n">
        <f aca="false">IF(AL174=0,0,IF(AL$4=Assumptions!$D$127,Assumptions!$D$128,AK175*(1+CHOOSE(AL$6,Assumptions!$D$129,Assumptions!$D$130,Assumptions!$D$131))))</f>
        <v>610.986396202788</v>
      </c>
    </row>
    <row r="176" customFormat="false" ht="15" hidden="false" customHeight="false" outlineLevel="0" collapsed="false">
      <c r="A176" s="7" t="s">
        <v>768</v>
      </c>
      <c r="B176" s="9" t="s">
        <v>327</v>
      </c>
      <c r="C176" s="52" t="n">
        <f aca="false">C175*C$7</f>
        <v>0</v>
      </c>
      <c r="D176" s="52" t="n">
        <f aca="false">D175*D$7</f>
        <v>0</v>
      </c>
      <c r="E176" s="52" t="n">
        <f aca="false">E175*E$7</f>
        <v>270</v>
      </c>
      <c r="F176" s="52" t="n">
        <f aca="false">F175*F$7</f>
        <v>265</v>
      </c>
      <c r="G176" s="52" t="n">
        <f aca="false">G175*G$7</f>
        <v>202.248</v>
      </c>
      <c r="H176" s="52" t="n">
        <f aca="false">H175*H$7</f>
        <v>238.2032</v>
      </c>
      <c r="I176" s="52" t="n">
        <f aca="false">I175*I$7</f>
        <v>265.1201616</v>
      </c>
      <c r="J176" s="52" t="n">
        <f aca="false">J175*J$7</f>
        <v>254.262859744</v>
      </c>
      <c r="K176" s="52" t="n">
        <f aca="false">K175*K$7</f>
        <v>283.7038224512</v>
      </c>
      <c r="L176" s="52" t="n">
        <f aca="false">L175*L$7</f>
        <v>285.689749208359</v>
      </c>
      <c r="M176" s="52" t="n">
        <f aca="false">M175*M$7</f>
        <v>270.954172670243</v>
      </c>
      <c r="N176" s="52" t="n">
        <f aca="false">N175*N$7</f>
        <v>287.211423030458</v>
      </c>
      <c r="O176" s="52" t="n">
        <f aca="false">O175*O$7</f>
        <v>330.631032276827</v>
      </c>
      <c r="P176" s="52" t="n">
        <f aca="false">P175*P$7</f>
        <v>466.015739177549</v>
      </c>
      <c r="Q176" s="52" t="n">
        <f aca="false">Q175*Q$7</f>
        <v>498.457604097217</v>
      </c>
      <c r="R176" s="52" t="n">
        <f aca="false">R175*R$7</f>
        <v>475.38086316679</v>
      </c>
      <c r="S176" s="52" t="n">
        <f aca="false">S175*S$7</f>
        <v>352.542448124491</v>
      </c>
      <c r="T176" s="52" t="n">
        <f aca="false">T175*T$7</f>
        <v>403.465246186918</v>
      </c>
      <c r="U176" s="52" t="n">
        <f aca="false">U175*U$7</f>
        <v>436.347663751152</v>
      </c>
      <c r="V176" s="52" t="n">
        <f aca="false">V175*V$7</f>
        <v>406.634465695716</v>
      </c>
      <c r="W176" s="52" t="n">
        <f aca="false">W175*W$7</f>
        <v>440.877368070092</v>
      </c>
      <c r="X176" s="52" t="n">
        <f aca="false">X175*X$7</f>
        <v>431.398504656585</v>
      </c>
      <c r="Y176" s="52" t="n">
        <f aca="false">Y175*Y$7</f>
        <v>397.567779817727</v>
      </c>
      <c r="Z176" s="52" t="n">
        <f aca="false">Z175*Z$7</f>
        <v>409.494813212259</v>
      </c>
      <c r="AA176" s="52" t="n">
        <f aca="false">AA175*AA$7</f>
        <v>466.824087061975</v>
      </c>
      <c r="AB176" s="52" t="n">
        <f aca="false">AB175*AB$7</f>
        <v>651.588146783346</v>
      </c>
      <c r="AC176" s="52" t="n">
        <f aca="false">AC175*AC$7</f>
        <v>690.182213938975</v>
      </c>
      <c r="AD176" s="52" t="n">
        <f aca="false">AD175*AD$7</f>
        <v>651.838757609032</v>
      </c>
      <c r="AE176" s="52" t="n">
        <f aca="false">AE175*AE$7</f>
        <v>478.710383588073</v>
      </c>
      <c r="AF176" s="52" t="n">
        <f aca="false">AF175*AF$7</f>
        <v>542.53843473315</v>
      </c>
      <c r="AG176" s="52" t="n">
        <f aca="false">AG175*AG$7</f>
        <v>581.058663599203</v>
      </c>
      <c r="AH176" s="52" t="n">
        <f aca="false">AH175*AH$7</f>
        <v>536.23413812155</v>
      </c>
      <c r="AI176" s="52" t="n">
        <f aca="false">AI175*AI$7</f>
        <v>575.746127246296</v>
      </c>
      <c r="AJ176" s="52" t="n">
        <f aca="false">AJ175*AJ$7</f>
        <v>557.897997301661</v>
      </c>
      <c r="AK176" s="52" t="n">
        <f aca="false">AK175*AK$7</f>
        <v>509.15533016899</v>
      </c>
      <c r="AL176" s="52" t="n">
        <f aca="false">AL175*AL$7</f>
        <v>519.338436772369</v>
      </c>
      <c r="AM176" s="53" t="n">
        <f aca="false">SUMIF($C$6:$AL$6,1,C176:AL176)</f>
        <v>2622.39338870426</v>
      </c>
      <c r="AN176" s="53" t="n">
        <f aca="false">SUMIF($C$6:$AL$6,2,C176:AL176)</f>
        <v>5048.81352823332</v>
      </c>
      <c r="AO176" s="53" t="n">
        <f aca="false">SUMIF($C$6:$AL$6,3,C176:AL176)</f>
        <v>6761.11271692462</v>
      </c>
      <c r="AP176" s="53" t="n">
        <f aca="false">SUM(C176:AL176)</f>
        <v>14432.3196338622</v>
      </c>
    </row>
    <row r="177" customFormat="false" ht="15" hidden="false" customHeight="false" outlineLevel="0" collapsed="false">
      <c r="A177" s="7" t="s">
        <v>758</v>
      </c>
      <c r="B177" s="9" t="s">
        <v>96</v>
      </c>
      <c r="C177" s="54" t="n">
        <f aca="false">Assumptions!$D$132*MIN(1,(C$4-Assumptions!$D$127+1)/Assumptions!$C$10)*C174</f>
        <v>-0</v>
      </c>
      <c r="D177" s="54" t="n">
        <f aca="false">Assumptions!$D$132*MIN(1,(D$4-Assumptions!$D$127+1)/Assumptions!$C$10)*D174</f>
        <v>0</v>
      </c>
      <c r="E177" s="54" t="n">
        <f aca="false">Assumptions!$D$132*MIN(1,(E$4-Assumptions!$D$127+1)/Assumptions!$C$10)*E174</f>
        <v>0.005</v>
      </c>
      <c r="F177" s="54" t="n">
        <f aca="false">Assumptions!$D$132*MIN(1,(F$4-Assumptions!$D$127+1)/Assumptions!$C$10)*F174</f>
        <v>0.01</v>
      </c>
      <c r="G177" s="54" t="n">
        <f aca="false">Assumptions!$D$132*MIN(1,(G$4-Assumptions!$D$127+1)/Assumptions!$C$10)*G174</f>
        <v>0.015</v>
      </c>
      <c r="H177" s="54" t="n">
        <f aca="false">Assumptions!$D$132*MIN(1,(H$4-Assumptions!$D$127+1)/Assumptions!$C$10)*H174</f>
        <v>0.02</v>
      </c>
      <c r="I177" s="54" t="n">
        <f aca="false">Assumptions!$D$132*MIN(1,(I$4-Assumptions!$D$127+1)/Assumptions!$C$10)*I174</f>
        <v>0.025</v>
      </c>
      <c r="J177" s="54" t="n">
        <f aca="false">Assumptions!$D$132*MIN(1,(J$4-Assumptions!$D$127+1)/Assumptions!$C$10)*J174</f>
        <v>0.03</v>
      </c>
      <c r="K177" s="54" t="n">
        <f aca="false">Assumptions!$D$132*MIN(1,(K$4-Assumptions!$D$127+1)/Assumptions!$C$10)*K174</f>
        <v>0.03</v>
      </c>
      <c r="L177" s="54" t="n">
        <f aca="false">Assumptions!$D$132*MIN(1,(L$4-Assumptions!$D$127+1)/Assumptions!$C$10)*L174</f>
        <v>0.03</v>
      </c>
      <c r="M177" s="54" t="n">
        <f aca="false">Assumptions!$D$132*MIN(1,(M$4-Assumptions!$D$127+1)/Assumptions!$C$10)*M174</f>
        <v>0.03</v>
      </c>
      <c r="N177" s="54" t="n">
        <f aca="false">Assumptions!$D$132*MIN(1,(N$4-Assumptions!$D$127+1)/Assumptions!$C$10)*N174</f>
        <v>0.03</v>
      </c>
      <c r="O177" s="54" t="n">
        <f aca="false">Assumptions!$D$132*MIN(1,(O$4-Assumptions!$D$127+1)/Assumptions!$C$10)*O174</f>
        <v>0.03</v>
      </c>
      <c r="P177" s="54" t="n">
        <f aca="false">Assumptions!$D$132*MIN(1,(P$4-Assumptions!$D$127+1)/Assumptions!$C$10)*P174</f>
        <v>0.03</v>
      </c>
      <c r="Q177" s="54" t="n">
        <f aca="false">Assumptions!$D$132*MIN(1,(Q$4-Assumptions!$D$127+1)/Assumptions!$C$10)*Q174</f>
        <v>0.03</v>
      </c>
      <c r="R177" s="54" t="n">
        <f aca="false">Assumptions!$D$132*MIN(1,(R$4-Assumptions!$D$127+1)/Assumptions!$C$10)*R174</f>
        <v>0.03</v>
      </c>
      <c r="S177" s="54" t="n">
        <f aca="false">Assumptions!$D$132*MIN(1,(S$4-Assumptions!$D$127+1)/Assumptions!$C$10)*S174</f>
        <v>0.03</v>
      </c>
      <c r="T177" s="54" t="n">
        <f aca="false">Assumptions!$D$132*MIN(1,(T$4-Assumptions!$D$127+1)/Assumptions!$C$10)*T174</f>
        <v>0.03</v>
      </c>
      <c r="U177" s="54" t="n">
        <f aca="false">Assumptions!$D$132*MIN(1,(U$4-Assumptions!$D$127+1)/Assumptions!$C$10)*U174</f>
        <v>0.03</v>
      </c>
      <c r="V177" s="54" t="n">
        <f aca="false">Assumptions!$D$132*MIN(1,(V$4-Assumptions!$D$127+1)/Assumptions!$C$10)*V174</f>
        <v>0.03</v>
      </c>
      <c r="W177" s="54" t="n">
        <f aca="false">Assumptions!$D$132*MIN(1,(W$4-Assumptions!$D$127+1)/Assumptions!$C$10)*W174</f>
        <v>0.03</v>
      </c>
      <c r="X177" s="54" t="n">
        <f aca="false">Assumptions!$D$132*MIN(1,(X$4-Assumptions!$D$127+1)/Assumptions!$C$10)*X174</f>
        <v>0.03</v>
      </c>
      <c r="Y177" s="54" t="n">
        <f aca="false">Assumptions!$D$132*MIN(1,(Y$4-Assumptions!$D$127+1)/Assumptions!$C$10)*Y174</f>
        <v>0.03</v>
      </c>
      <c r="Z177" s="54" t="n">
        <f aca="false">Assumptions!$D$132*MIN(1,(Z$4-Assumptions!$D$127+1)/Assumptions!$C$10)*Z174</f>
        <v>0.03</v>
      </c>
      <c r="AA177" s="54" t="n">
        <f aca="false">Assumptions!$D$132*MIN(1,(AA$4-Assumptions!$D$127+1)/Assumptions!$C$10)*AA174</f>
        <v>0.03</v>
      </c>
      <c r="AB177" s="54" t="n">
        <f aca="false">Assumptions!$D$132*MIN(1,(AB$4-Assumptions!$D$127+1)/Assumptions!$C$10)*AB174</f>
        <v>0.03</v>
      </c>
      <c r="AC177" s="54" t="n">
        <f aca="false">Assumptions!$D$132*MIN(1,(AC$4-Assumptions!$D$127+1)/Assumptions!$C$10)*AC174</f>
        <v>0.03</v>
      </c>
      <c r="AD177" s="54" t="n">
        <f aca="false">Assumptions!$D$132*MIN(1,(AD$4-Assumptions!$D$127+1)/Assumptions!$C$10)*AD174</f>
        <v>0.03</v>
      </c>
      <c r="AE177" s="54" t="n">
        <f aca="false">Assumptions!$D$132*MIN(1,(AE$4-Assumptions!$D$127+1)/Assumptions!$C$10)*AE174</f>
        <v>0.03</v>
      </c>
      <c r="AF177" s="54" t="n">
        <f aca="false">Assumptions!$D$132*MIN(1,(AF$4-Assumptions!$D$127+1)/Assumptions!$C$10)*AF174</f>
        <v>0.03</v>
      </c>
      <c r="AG177" s="54" t="n">
        <f aca="false">Assumptions!$D$132*MIN(1,(AG$4-Assumptions!$D$127+1)/Assumptions!$C$10)*AG174</f>
        <v>0.03</v>
      </c>
      <c r="AH177" s="54" t="n">
        <f aca="false">Assumptions!$D$132*MIN(1,(AH$4-Assumptions!$D$127+1)/Assumptions!$C$10)*AH174</f>
        <v>0.03</v>
      </c>
      <c r="AI177" s="54" t="n">
        <f aca="false">Assumptions!$D$132*MIN(1,(AI$4-Assumptions!$D$127+1)/Assumptions!$C$10)*AI174</f>
        <v>0.03</v>
      </c>
      <c r="AJ177" s="54" t="n">
        <f aca="false">Assumptions!$D$132*MIN(1,(AJ$4-Assumptions!$D$127+1)/Assumptions!$C$10)*AJ174</f>
        <v>0.03</v>
      </c>
      <c r="AK177" s="54" t="n">
        <f aca="false">Assumptions!$D$132*MIN(1,(AK$4-Assumptions!$D$127+1)/Assumptions!$C$10)*AK174</f>
        <v>0.03</v>
      </c>
      <c r="AL177" s="54" t="n">
        <f aca="false">Assumptions!$D$132*MIN(1,(AL$4-Assumptions!$D$127+1)/Assumptions!$C$10)*AL174</f>
        <v>0.03</v>
      </c>
    </row>
    <row r="178" customFormat="false" ht="15" hidden="false" customHeight="false" outlineLevel="0" collapsed="false">
      <c r="A178" s="7" t="s">
        <v>766</v>
      </c>
      <c r="B178" s="9" t="s">
        <v>760</v>
      </c>
      <c r="C178" s="55" t="n">
        <f aca="false">C176*C177</f>
        <v>-0</v>
      </c>
      <c r="D178" s="55" t="n">
        <f aca="false">D176*D177</f>
        <v>0</v>
      </c>
      <c r="E178" s="55" t="n">
        <f aca="false">E176*E177</f>
        <v>1.35</v>
      </c>
      <c r="F178" s="55" t="n">
        <f aca="false">F176*F177</f>
        <v>2.65</v>
      </c>
      <c r="G178" s="55" t="n">
        <f aca="false">G176*G177</f>
        <v>3.03372</v>
      </c>
      <c r="H178" s="55" t="n">
        <f aca="false">H176*H177</f>
        <v>4.764064</v>
      </c>
      <c r="I178" s="55" t="n">
        <f aca="false">I176*I177</f>
        <v>6.62800404</v>
      </c>
      <c r="J178" s="55" t="n">
        <f aca="false">J176*J177</f>
        <v>7.62788579232</v>
      </c>
      <c r="K178" s="55" t="n">
        <f aca="false">K176*K177</f>
        <v>8.511114673536</v>
      </c>
      <c r="L178" s="55" t="n">
        <f aca="false">L176*L177</f>
        <v>8.57069247625075</v>
      </c>
      <c r="M178" s="55" t="n">
        <f aca="false">M176*M177</f>
        <v>8.12862518010729</v>
      </c>
      <c r="N178" s="55" t="n">
        <f aca="false">N176*N177</f>
        <v>8.61634269091373</v>
      </c>
      <c r="O178" s="55" t="n">
        <f aca="false">O176*O177</f>
        <v>9.91893096830481</v>
      </c>
      <c r="P178" s="55" t="n">
        <f aca="false">P176*P177</f>
        <v>13.9804721753265</v>
      </c>
      <c r="Q178" s="55" t="n">
        <f aca="false">Q176*Q177</f>
        <v>14.9537281229165</v>
      </c>
      <c r="R178" s="55" t="n">
        <f aca="false">R176*R177</f>
        <v>14.2614258950037</v>
      </c>
      <c r="S178" s="55" t="n">
        <f aca="false">S176*S177</f>
        <v>10.5762734437347</v>
      </c>
      <c r="T178" s="55" t="n">
        <f aca="false">T176*T177</f>
        <v>12.1039573856075</v>
      </c>
      <c r="U178" s="55" t="n">
        <f aca="false">U176*U177</f>
        <v>13.0904299125346</v>
      </c>
      <c r="V178" s="55" t="n">
        <f aca="false">V176*V177</f>
        <v>12.1990339708715</v>
      </c>
      <c r="W178" s="55" t="n">
        <f aca="false">W176*W177</f>
        <v>13.2263210421028</v>
      </c>
      <c r="X178" s="55" t="n">
        <f aca="false">X176*X177</f>
        <v>12.9419551396976</v>
      </c>
      <c r="Y178" s="55" t="n">
        <f aca="false">Y176*Y177</f>
        <v>11.9270333945318</v>
      </c>
      <c r="Z178" s="55" t="n">
        <f aca="false">Z176*Z177</f>
        <v>12.2848443963678</v>
      </c>
      <c r="AA178" s="55" t="n">
        <f aca="false">AA176*AA177</f>
        <v>14.0047226118592</v>
      </c>
      <c r="AB178" s="55" t="n">
        <f aca="false">AB176*AB177</f>
        <v>19.5476444035004</v>
      </c>
      <c r="AC178" s="55" t="n">
        <f aca="false">AC176*AC177</f>
        <v>20.7054664181692</v>
      </c>
      <c r="AD178" s="55" t="n">
        <f aca="false">AD176*AD177</f>
        <v>19.555162728271</v>
      </c>
      <c r="AE178" s="55" t="n">
        <f aca="false">AE176*AE177</f>
        <v>14.3613115076422</v>
      </c>
      <c r="AF178" s="55" t="n">
        <f aca="false">AF176*AF177</f>
        <v>16.2761530419945</v>
      </c>
      <c r="AG178" s="55" t="n">
        <f aca="false">AG176*AG177</f>
        <v>17.4317599079761</v>
      </c>
      <c r="AH178" s="55" t="n">
        <f aca="false">AH176*AH177</f>
        <v>16.0870241436465</v>
      </c>
      <c r="AI178" s="55" t="n">
        <f aca="false">AI176*AI177</f>
        <v>17.2723838173889</v>
      </c>
      <c r="AJ178" s="55" t="n">
        <f aca="false">AJ176*AJ177</f>
        <v>16.7369399190498</v>
      </c>
      <c r="AK178" s="55" t="n">
        <f aca="false">AK176*AK177</f>
        <v>15.2746599050697</v>
      </c>
      <c r="AL178" s="55" t="n">
        <f aca="false">AL176*AL177</f>
        <v>15.5801531031711</v>
      </c>
      <c r="AM178" s="53" t="n">
        <f aca="false">SUMIF($C$6:$AL$6,1,C178:AL178)</f>
        <v>59.8804488531278</v>
      </c>
      <c r="AN178" s="53" t="n">
        <f aca="false">SUMIF($C$6:$AL$6,2,C178:AL178)</f>
        <v>151.464405847</v>
      </c>
      <c r="AO178" s="53" t="n">
        <f aca="false">SUMIF($C$6:$AL$6,3,C178:AL178)</f>
        <v>202.833381507739</v>
      </c>
      <c r="AP178" s="53" t="n">
        <f aca="false">SUM(C178:AL178)</f>
        <v>414.178236207866</v>
      </c>
    </row>
    <row r="179" customFormat="false" ht="15" hidden="false" customHeight="false" outlineLevel="0" collapsed="false">
      <c r="A179" s="7" t="s">
        <v>761</v>
      </c>
      <c r="B179" s="9" t="s">
        <v>342</v>
      </c>
      <c r="C179" s="56" t="n">
        <f aca="false">C178*Assumptions!$D$133</f>
        <v>-0</v>
      </c>
      <c r="D179" s="56" t="n">
        <f aca="false">D178*Assumptions!$D$133</f>
        <v>0</v>
      </c>
      <c r="E179" s="56" t="n">
        <f aca="false">E178*Assumptions!$D$133</f>
        <v>1.35</v>
      </c>
      <c r="F179" s="56" t="n">
        <f aca="false">F178*Assumptions!$D$133</f>
        <v>2.65</v>
      </c>
      <c r="G179" s="56" t="n">
        <f aca="false">G178*Assumptions!$D$133</f>
        <v>3.03372</v>
      </c>
      <c r="H179" s="56" t="n">
        <f aca="false">H178*Assumptions!$D$133</f>
        <v>4.764064</v>
      </c>
      <c r="I179" s="56" t="n">
        <f aca="false">I178*Assumptions!$D$133</f>
        <v>6.62800404</v>
      </c>
      <c r="J179" s="56" t="n">
        <f aca="false">J178*Assumptions!$D$133</f>
        <v>7.62788579232</v>
      </c>
      <c r="K179" s="56" t="n">
        <f aca="false">K178*Assumptions!$D$133</f>
        <v>8.511114673536</v>
      </c>
      <c r="L179" s="56" t="n">
        <f aca="false">L178*Assumptions!$D$133</f>
        <v>8.57069247625075</v>
      </c>
      <c r="M179" s="56" t="n">
        <f aca="false">M178*Assumptions!$D$133</f>
        <v>8.12862518010729</v>
      </c>
      <c r="N179" s="56" t="n">
        <f aca="false">N178*Assumptions!$D$133</f>
        <v>8.61634269091373</v>
      </c>
      <c r="O179" s="56" t="n">
        <f aca="false">O178*Assumptions!$D$133</f>
        <v>9.91893096830481</v>
      </c>
      <c r="P179" s="56" t="n">
        <f aca="false">P178*Assumptions!$D$133</f>
        <v>13.9804721753265</v>
      </c>
      <c r="Q179" s="56" t="n">
        <f aca="false">Q178*Assumptions!$D$133</f>
        <v>14.9537281229165</v>
      </c>
      <c r="R179" s="56" t="n">
        <f aca="false">R178*Assumptions!$D$133</f>
        <v>14.2614258950037</v>
      </c>
      <c r="S179" s="56" t="n">
        <f aca="false">S178*Assumptions!$D$133</f>
        <v>10.5762734437347</v>
      </c>
      <c r="T179" s="56" t="n">
        <f aca="false">T178*Assumptions!$D$133</f>
        <v>12.1039573856075</v>
      </c>
      <c r="U179" s="56" t="n">
        <f aca="false">U178*Assumptions!$D$133</f>
        <v>13.0904299125346</v>
      </c>
      <c r="V179" s="56" t="n">
        <f aca="false">V178*Assumptions!$D$133</f>
        <v>12.1990339708715</v>
      </c>
      <c r="W179" s="56" t="n">
        <f aca="false">W178*Assumptions!$D$133</f>
        <v>13.2263210421028</v>
      </c>
      <c r="X179" s="56" t="n">
        <f aca="false">X178*Assumptions!$D$133</f>
        <v>12.9419551396976</v>
      </c>
      <c r="Y179" s="56" t="n">
        <f aca="false">Y178*Assumptions!$D$133</f>
        <v>11.9270333945318</v>
      </c>
      <c r="Z179" s="56" t="n">
        <f aca="false">Z178*Assumptions!$D$133</f>
        <v>12.2848443963678</v>
      </c>
      <c r="AA179" s="56" t="n">
        <f aca="false">AA178*Assumptions!$D$133</f>
        <v>14.0047226118592</v>
      </c>
      <c r="AB179" s="56" t="n">
        <f aca="false">AB178*Assumptions!$D$133</f>
        <v>19.5476444035004</v>
      </c>
      <c r="AC179" s="56" t="n">
        <f aca="false">AC178*Assumptions!$D$133</f>
        <v>20.7054664181692</v>
      </c>
      <c r="AD179" s="56" t="n">
        <f aca="false">AD178*Assumptions!$D$133</f>
        <v>19.555162728271</v>
      </c>
      <c r="AE179" s="56" t="n">
        <f aca="false">AE178*Assumptions!$D$133</f>
        <v>14.3613115076422</v>
      </c>
      <c r="AF179" s="56" t="n">
        <f aca="false">AF178*Assumptions!$D$133</f>
        <v>16.2761530419945</v>
      </c>
      <c r="AG179" s="56" t="n">
        <f aca="false">AG178*Assumptions!$D$133</f>
        <v>17.4317599079761</v>
      </c>
      <c r="AH179" s="56" t="n">
        <f aca="false">AH178*Assumptions!$D$133</f>
        <v>16.0870241436465</v>
      </c>
      <c r="AI179" s="56" t="n">
        <f aca="false">AI178*Assumptions!$D$133</f>
        <v>17.2723838173889</v>
      </c>
      <c r="AJ179" s="56" t="n">
        <f aca="false">AJ178*Assumptions!$D$133</f>
        <v>16.7369399190498</v>
      </c>
      <c r="AK179" s="56" t="n">
        <f aca="false">AK178*Assumptions!$D$133</f>
        <v>15.2746599050697</v>
      </c>
      <c r="AL179" s="56" t="n">
        <f aca="false">AL178*Assumptions!$D$133</f>
        <v>15.5801531031711</v>
      </c>
      <c r="AM179" s="53" t="n">
        <f aca="false">SUMIF($C$6:$AL$6,1,C179:AL179)</f>
        <v>59.8804488531278</v>
      </c>
      <c r="AN179" s="53" t="n">
        <f aca="false">SUMIF($C$6:$AL$6,2,C179:AL179)</f>
        <v>151.464405847</v>
      </c>
      <c r="AO179" s="53" t="n">
        <f aca="false">SUMIF($C$6:$AL$6,3,C179:AL179)</f>
        <v>202.833381507739</v>
      </c>
      <c r="AP179" s="53" t="n">
        <f aca="false">SUM(C179:AL179)</f>
        <v>414.178236207866</v>
      </c>
    </row>
    <row r="180" customFormat="false" ht="15" hidden="false" customHeight="false" outlineLevel="0" collapsed="false">
      <c r="A180" s="7" t="s">
        <v>762</v>
      </c>
      <c r="B180" s="9" t="s">
        <v>101</v>
      </c>
      <c r="C180" s="15" t="n">
        <f aca="false">'Unit Economics'!$E$53*Assumptions!$D$133*C174</f>
        <v>0</v>
      </c>
      <c r="D180" s="15" t="n">
        <f aca="false">'Unit Economics'!$E$53*Assumptions!$D$133*D174</f>
        <v>0</v>
      </c>
      <c r="E180" s="15" t="n">
        <f aca="false">'Unit Economics'!$E$53*Assumptions!$D$133*E174</f>
        <v>17.79</v>
      </c>
      <c r="F180" s="15" t="n">
        <f aca="false">'Unit Economics'!$E$53*Assumptions!$D$133*F174</f>
        <v>17.79</v>
      </c>
      <c r="G180" s="15" t="n">
        <f aca="false">'Unit Economics'!$E$53*Assumptions!$D$133*G174</f>
        <v>17.79</v>
      </c>
      <c r="H180" s="15" t="n">
        <f aca="false">'Unit Economics'!$E$53*Assumptions!$D$133*H174</f>
        <v>17.79</v>
      </c>
      <c r="I180" s="15" t="n">
        <f aca="false">'Unit Economics'!$E$53*Assumptions!$D$133*I174</f>
        <v>17.79</v>
      </c>
      <c r="J180" s="15" t="n">
        <f aca="false">'Unit Economics'!$E$53*Assumptions!$D$133*J174</f>
        <v>17.79</v>
      </c>
      <c r="K180" s="15" t="n">
        <f aca="false">'Unit Economics'!$E$53*Assumptions!$D$133*K174</f>
        <v>17.79</v>
      </c>
      <c r="L180" s="15" t="n">
        <f aca="false">'Unit Economics'!$E$53*Assumptions!$D$133*L174</f>
        <v>17.79</v>
      </c>
      <c r="M180" s="15" t="n">
        <f aca="false">'Unit Economics'!$E$53*Assumptions!$D$133*M174</f>
        <v>17.79</v>
      </c>
      <c r="N180" s="15" t="n">
        <f aca="false">'Unit Economics'!$E$53*Assumptions!$D$133*N174</f>
        <v>17.79</v>
      </c>
      <c r="O180" s="15" t="n">
        <f aca="false">'Unit Economics'!$E$53*Assumptions!$D$133*O174</f>
        <v>17.79</v>
      </c>
      <c r="P180" s="15" t="n">
        <f aca="false">'Unit Economics'!$E$53*Assumptions!$D$133*P174</f>
        <v>17.79</v>
      </c>
      <c r="Q180" s="15" t="n">
        <f aca="false">'Unit Economics'!$E$53*Assumptions!$D$133*Q174</f>
        <v>17.79</v>
      </c>
      <c r="R180" s="15" t="n">
        <f aca="false">'Unit Economics'!$E$53*Assumptions!$D$133*R174</f>
        <v>17.79</v>
      </c>
      <c r="S180" s="15" t="n">
        <f aca="false">'Unit Economics'!$E$53*Assumptions!$D$133*S174</f>
        <v>17.79</v>
      </c>
      <c r="T180" s="15" t="n">
        <f aca="false">'Unit Economics'!$E$53*Assumptions!$D$133*T174</f>
        <v>17.79</v>
      </c>
      <c r="U180" s="15" t="n">
        <f aca="false">'Unit Economics'!$E$53*Assumptions!$D$133*U174</f>
        <v>17.79</v>
      </c>
      <c r="V180" s="15" t="n">
        <f aca="false">'Unit Economics'!$E$53*Assumptions!$D$133*V174</f>
        <v>17.79</v>
      </c>
      <c r="W180" s="15" t="n">
        <f aca="false">'Unit Economics'!$E$53*Assumptions!$D$133*W174</f>
        <v>17.79</v>
      </c>
      <c r="X180" s="15" t="n">
        <f aca="false">'Unit Economics'!$E$53*Assumptions!$D$133*X174</f>
        <v>17.79</v>
      </c>
      <c r="Y180" s="15" t="n">
        <f aca="false">'Unit Economics'!$E$53*Assumptions!$D$133*Y174</f>
        <v>17.79</v>
      </c>
      <c r="Z180" s="15" t="n">
        <f aca="false">'Unit Economics'!$E$53*Assumptions!$D$133*Z174</f>
        <v>17.79</v>
      </c>
      <c r="AA180" s="15" t="n">
        <f aca="false">'Unit Economics'!$E$53*Assumptions!$D$133*AA174</f>
        <v>17.79</v>
      </c>
      <c r="AB180" s="15" t="n">
        <f aca="false">'Unit Economics'!$E$53*Assumptions!$D$133*AB174</f>
        <v>17.79</v>
      </c>
      <c r="AC180" s="15" t="n">
        <f aca="false">'Unit Economics'!$E$53*Assumptions!$D$133*AC174</f>
        <v>17.79</v>
      </c>
      <c r="AD180" s="15" t="n">
        <f aca="false">'Unit Economics'!$E$53*Assumptions!$D$133*AD174</f>
        <v>17.79</v>
      </c>
      <c r="AE180" s="15" t="n">
        <f aca="false">'Unit Economics'!$E$53*Assumptions!$D$133*AE174</f>
        <v>17.79</v>
      </c>
      <c r="AF180" s="15" t="n">
        <f aca="false">'Unit Economics'!$E$53*Assumptions!$D$133*AF174</f>
        <v>17.79</v>
      </c>
      <c r="AG180" s="15" t="n">
        <f aca="false">'Unit Economics'!$E$53*Assumptions!$D$133*AG174</f>
        <v>17.79</v>
      </c>
      <c r="AH180" s="15" t="n">
        <f aca="false">'Unit Economics'!$E$53*Assumptions!$D$133*AH174</f>
        <v>17.79</v>
      </c>
      <c r="AI180" s="15" t="n">
        <f aca="false">'Unit Economics'!$E$53*Assumptions!$D$133*AI174</f>
        <v>17.79</v>
      </c>
      <c r="AJ180" s="15" t="n">
        <f aca="false">'Unit Economics'!$E$53*Assumptions!$D$133*AJ174</f>
        <v>17.79</v>
      </c>
      <c r="AK180" s="15" t="n">
        <f aca="false">'Unit Economics'!$E$53*Assumptions!$D$133*AK174</f>
        <v>17.79</v>
      </c>
      <c r="AL180" s="15" t="n">
        <f aca="false">'Unit Economics'!$E$53*Assumptions!$D$133*AL174</f>
        <v>17.79</v>
      </c>
    </row>
    <row r="181" customFormat="false" ht="15" hidden="false" customHeight="false" outlineLevel="0" collapsed="false">
      <c r="A181" s="7" t="s">
        <v>763</v>
      </c>
      <c r="B181" s="9" t="s">
        <v>101</v>
      </c>
      <c r="C181" s="8" t="n">
        <f aca="false">C179*'Unit Economics'!$E$53</f>
        <v>-0</v>
      </c>
      <c r="D181" s="8" t="n">
        <f aca="false">D179*'Unit Economics'!$E$53</f>
        <v>0</v>
      </c>
      <c r="E181" s="8" t="n">
        <f aca="false">E179*'Unit Economics'!$E$53</f>
        <v>24.0165</v>
      </c>
      <c r="F181" s="8" t="n">
        <f aca="false">F179*'Unit Economics'!$E$53</f>
        <v>47.1435</v>
      </c>
      <c r="G181" s="8" t="n">
        <f aca="false">G179*'Unit Economics'!$E$53</f>
        <v>53.9698788</v>
      </c>
      <c r="H181" s="8" t="n">
        <f aca="false">H179*'Unit Economics'!$E$53</f>
        <v>84.75269856</v>
      </c>
      <c r="I181" s="8" t="n">
        <f aca="false">I179*'Unit Economics'!$E$53</f>
        <v>117.9121918716</v>
      </c>
      <c r="J181" s="8" t="n">
        <f aca="false">J179*'Unit Economics'!$E$53</f>
        <v>135.700088245373</v>
      </c>
      <c r="K181" s="8" t="n">
        <f aca="false">K179*'Unit Economics'!$E$53</f>
        <v>151.412730042205</v>
      </c>
      <c r="L181" s="8" t="n">
        <f aca="false">L179*'Unit Economics'!$E$53</f>
        <v>152.472619152501</v>
      </c>
      <c r="M181" s="8" t="n">
        <f aca="false">M179*'Unit Economics'!$E$53</f>
        <v>144.608241954109</v>
      </c>
      <c r="N181" s="8" t="n">
        <f aca="false">N179*'Unit Economics'!$E$53</f>
        <v>153.284736471355</v>
      </c>
      <c r="O181" s="8" t="n">
        <f aca="false">O179*'Unit Economics'!$E$53</f>
        <v>176.457781926143</v>
      </c>
      <c r="P181" s="8" t="n">
        <f aca="false">P179*'Unit Economics'!$E$53</f>
        <v>248.712599999058</v>
      </c>
      <c r="Q181" s="8" t="n">
        <f aca="false">Q179*'Unit Economics'!$E$53</f>
        <v>266.026823306684</v>
      </c>
      <c r="R181" s="8" t="n">
        <f aca="false">R179*'Unit Economics'!$E$53</f>
        <v>253.710766672116</v>
      </c>
      <c r="S181" s="8" t="n">
        <f aca="false">S179*'Unit Economics'!$E$53</f>
        <v>188.151904564041</v>
      </c>
      <c r="T181" s="8" t="n">
        <f aca="false">T179*'Unit Economics'!$E$53</f>
        <v>215.329401889958</v>
      </c>
      <c r="U181" s="8" t="n">
        <f aca="false">U179*'Unit Economics'!$E$53</f>
        <v>232.87874814399</v>
      </c>
      <c r="V181" s="8" t="n">
        <f aca="false">V179*'Unit Economics'!$E$53</f>
        <v>217.020814341804</v>
      </c>
      <c r="W181" s="8" t="n">
        <f aca="false">W179*'Unit Economics'!$E$53</f>
        <v>235.296251339008</v>
      </c>
      <c r="X181" s="8" t="n">
        <f aca="false">X179*'Unit Economics'!$E$53</f>
        <v>230.23738193522</v>
      </c>
      <c r="Y181" s="8" t="n">
        <f aca="false">Y179*'Unit Economics'!$E$53</f>
        <v>212.181924088721</v>
      </c>
      <c r="Z181" s="8" t="n">
        <f aca="false">Z179*'Unit Economics'!$E$53</f>
        <v>218.547381811382</v>
      </c>
      <c r="AA181" s="8" t="n">
        <f aca="false">AA179*'Unit Economics'!$E$53</f>
        <v>249.144015264976</v>
      </c>
      <c r="AB181" s="8" t="n">
        <f aca="false">AB179*'Unit Economics'!$E$53</f>
        <v>347.752593938272</v>
      </c>
      <c r="AC181" s="8" t="n">
        <f aca="false">AC179*'Unit Economics'!$E$53</f>
        <v>368.350247579231</v>
      </c>
      <c r="AD181" s="8" t="n">
        <f aca="false">AD179*'Unit Economics'!$E$53</f>
        <v>347.88634493594</v>
      </c>
      <c r="AE181" s="8" t="n">
        <f aca="false">AE179*'Unit Economics'!$E$53</f>
        <v>255.487731720955</v>
      </c>
      <c r="AF181" s="8" t="n">
        <f aca="false">AF179*'Unit Economics'!$E$53</f>
        <v>289.552762617082</v>
      </c>
      <c r="AG181" s="8" t="n">
        <f aca="false">AG179*'Unit Economics'!$E$53</f>
        <v>310.111008762895</v>
      </c>
      <c r="AH181" s="8" t="n">
        <f aca="false">AH179*'Unit Economics'!$E$53</f>
        <v>286.188159515471</v>
      </c>
      <c r="AI181" s="8" t="n">
        <f aca="false">AI179*'Unit Economics'!$E$53</f>
        <v>307.275708111348</v>
      </c>
      <c r="AJ181" s="8" t="n">
        <f aca="false">AJ179*'Unit Economics'!$E$53</f>
        <v>297.750161159897</v>
      </c>
      <c r="AK181" s="8" t="n">
        <f aca="false">AK179*'Unit Economics'!$E$53</f>
        <v>271.73619971119</v>
      </c>
      <c r="AL181" s="8" t="n">
        <f aca="false">AL179*'Unit Economics'!$E$53</f>
        <v>277.170923705414</v>
      </c>
      <c r="AM181" s="45" t="n">
        <f aca="false">SUMIF($C$6:$AL$6,1,C181:AL181)</f>
        <v>1065.27318509714</v>
      </c>
      <c r="AN181" s="45" t="n">
        <f aca="false">SUMIF($C$6:$AL$6,2,C181:AL181)</f>
        <v>2694.55178001812</v>
      </c>
      <c r="AO181" s="45" t="n">
        <f aca="false">SUMIF($C$6:$AL$6,3,C181:AL181)</f>
        <v>3608.40585702267</v>
      </c>
      <c r="AP181" s="45" t="n">
        <f aca="false">SUM(C181:AL181)</f>
        <v>7368.23082213794</v>
      </c>
    </row>
    <row r="182" customFormat="false" ht="15" hidden="false" customHeight="false" outlineLevel="0" collapsed="false">
      <c r="A182" s="7" t="s">
        <v>764</v>
      </c>
      <c r="B182" s="9" t="s">
        <v>101</v>
      </c>
      <c r="C182" s="8" t="n">
        <f aca="false">C179*'Unit Economics'!$F$53</f>
        <v>-0</v>
      </c>
      <c r="D182" s="8" t="n">
        <f aca="false">D179*'Unit Economics'!$F$53</f>
        <v>0</v>
      </c>
      <c r="E182" s="8" t="n">
        <f aca="false">E179*'Unit Economics'!$F$53</f>
        <v>2.511945</v>
      </c>
      <c r="F182" s="8" t="n">
        <f aca="false">F179*'Unit Economics'!$F$53</f>
        <v>4.93085499999999</v>
      </c>
      <c r="G182" s="8" t="n">
        <f aca="false">G179*'Unit Economics'!$F$53</f>
        <v>5.64484280399999</v>
      </c>
      <c r="H182" s="8" t="n">
        <f aca="false">H179*'Unit Economics'!$F$53</f>
        <v>8.86449388479999</v>
      </c>
      <c r="I182" s="8" t="n">
        <f aca="false">I179*'Unit Economics'!$F$53</f>
        <v>12.332727117228</v>
      </c>
      <c r="J182" s="8" t="n">
        <f aca="false">J179*'Unit Economics'!$F$53</f>
        <v>14.1932070937698</v>
      </c>
      <c r="K182" s="8" t="n">
        <f aca="false">K179*'Unit Economics'!$F$53</f>
        <v>15.8366310730484</v>
      </c>
      <c r="L182" s="8" t="n">
        <f aca="false">L179*'Unit Economics'!$F$53</f>
        <v>15.9474874905598</v>
      </c>
      <c r="M182" s="8" t="n">
        <f aca="false">M179*'Unit Economics'!$F$53</f>
        <v>15.1249328726256</v>
      </c>
      <c r="N182" s="8" t="n">
        <f aca="false">N179*'Unit Economics'!$F$53</f>
        <v>16.0324288449832</v>
      </c>
      <c r="O182" s="8" t="n">
        <f aca="false">O179*'Unit Economics'!$F$53</f>
        <v>18.4561548527247</v>
      </c>
      <c r="P182" s="8" t="n">
        <f aca="false">P179*'Unit Economics'!$F$53</f>
        <v>26.0134645766299</v>
      </c>
      <c r="Q182" s="8" t="n">
        <f aca="false">Q179*'Unit Economics'!$F$53</f>
        <v>27.8244019183107</v>
      </c>
      <c r="R182" s="8" t="n">
        <f aca="false">R179*'Unit Economics'!$F$53</f>
        <v>26.5362351628333</v>
      </c>
      <c r="S182" s="8" t="n">
        <f aca="false">S179*'Unit Economics'!$F$53</f>
        <v>19.6792719967572</v>
      </c>
      <c r="T182" s="8" t="n">
        <f aca="false">T179*'Unit Economics'!$F$53</f>
        <v>22.5218335073999</v>
      </c>
      <c r="U182" s="8" t="n">
        <f aca="false">U179*'Unit Economics'!$F$53</f>
        <v>24.357362938253</v>
      </c>
      <c r="V182" s="8" t="n">
        <f aca="false">V179*'Unit Economics'!$F$53</f>
        <v>22.6987425096005</v>
      </c>
      <c r="W182" s="8" t="n">
        <f aca="false">W179*'Unit Economics'!$F$53</f>
        <v>24.6102155630406</v>
      </c>
      <c r="X182" s="8" t="n">
        <f aca="false">X179*'Unit Economics'!$F$53</f>
        <v>24.0810959284352</v>
      </c>
      <c r="Y182" s="8" t="n">
        <f aca="false">Y179*'Unit Economics'!$F$53</f>
        <v>22.1926310372053</v>
      </c>
      <c r="Z182" s="8" t="n">
        <f aca="false">Z179*'Unit Economics'!$F$53</f>
        <v>22.8584099683215</v>
      </c>
      <c r="AA182" s="8" t="n">
        <f aca="false">AA179*'Unit Economics'!$F$53</f>
        <v>26.0585873638865</v>
      </c>
      <c r="AB182" s="8" t="n">
        <f aca="false">AB179*'Unit Economics'!$F$53</f>
        <v>36.3723019415931</v>
      </c>
      <c r="AC182" s="8" t="n">
        <f aca="false">AC179*'Unit Economics'!$F$53</f>
        <v>38.5266613642875</v>
      </c>
      <c r="AD182" s="8" t="n">
        <f aca="false">AD179*'Unit Economics'!$F$53</f>
        <v>36.3862912884937</v>
      </c>
      <c r="AE182" s="8" t="n">
        <f aca="false">AE179*'Unit Economics'!$F$53</f>
        <v>26.7220923222698</v>
      </c>
      <c r="AF182" s="8" t="n">
        <f aca="false">AF179*'Unit Economics'!$F$53</f>
        <v>30.2850379652391</v>
      </c>
      <c r="AG182" s="8" t="n">
        <f aca="false">AG179*'Unit Economics'!$F$53</f>
        <v>32.4352756607711</v>
      </c>
      <c r="AH182" s="8" t="n">
        <f aca="false">AH179*'Unit Economics'!$F$53</f>
        <v>29.933125824083</v>
      </c>
      <c r="AI182" s="8" t="n">
        <f aca="false">AI179*'Unit Economics'!$F$53</f>
        <v>32.1387245690155</v>
      </c>
      <c r="AJ182" s="8" t="n">
        <f aca="false">AJ179*'Unit Economics'!$F$53</f>
        <v>31.142424107376</v>
      </c>
      <c r="AK182" s="8" t="n">
        <f aca="false">AK179*'Unit Economics'!$F$53</f>
        <v>28.4215596853631</v>
      </c>
      <c r="AL182" s="8" t="n">
        <f aca="false">AL179*'Unit Economics'!$F$53</f>
        <v>28.9899908790704</v>
      </c>
      <c r="AM182" s="45" t="n">
        <f aca="false">SUMIF($C$6:$AL$6,1,C182:AL182)</f>
        <v>111.419551181015</v>
      </c>
      <c r="AN182" s="45" t="n">
        <f aca="false">SUMIF($C$6:$AL$6,2,C182:AL182)</f>
        <v>281.829819959512</v>
      </c>
      <c r="AO182" s="45" t="n">
        <f aca="false">SUMIF($C$6:$AL$6,3,C182:AL182)</f>
        <v>377.412072971449</v>
      </c>
      <c r="AP182" s="45" t="n">
        <f aca="false">SUM(C182:AL182)</f>
        <v>770.661444111976</v>
      </c>
    </row>
    <row r="183" customFormat="false" ht="15" hidden="false" customHeight="false" outlineLevel="0" collapsed="false">
      <c r="A183" s="5" t="s">
        <v>575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</row>
    <row r="184" customFormat="false" ht="15" hidden="false" customHeight="false" outlineLevel="0" collapsed="false">
      <c r="A184" s="7" t="s">
        <v>755</v>
      </c>
      <c r="B184" s="9" t="s">
        <v>319</v>
      </c>
      <c r="C184" s="38" t="n">
        <f aca="false">IF(AND(Assumptions!$D$135=1,C$4&gt;=Assumptions!$D$136),1,0)</f>
        <v>0</v>
      </c>
      <c r="D184" s="38" t="n">
        <f aca="false">IF(AND(Assumptions!$D$135=1,D$4&gt;=Assumptions!$D$136),1,0)</f>
        <v>0</v>
      </c>
      <c r="E184" s="38" t="n">
        <f aca="false">IF(AND(Assumptions!$D$135=1,E$4&gt;=Assumptions!$D$136),1,0)</f>
        <v>0</v>
      </c>
      <c r="F184" s="38" t="n">
        <f aca="false">IF(AND(Assumptions!$D$135=1,F$4&gt;=Assumptions!$D$136),1,0)</f>
        <v>1</v>
      </c>
      <c r="G184" s="38" t="n">
        <f aca="false">IF(AND(Assumptions!$D$135=1,G$4&gt;=Assumptions!$D$136),1,0)</f>
        <v>1</v>
      </c>
      <c r="H184" s="38" t="n">
        <f aca="false">IF(AND(Assumptions!$D$135=1,H$4&gt;=Assumptions!$D$136),1,0)</f>
        <v>1</v>
      </c>
      <c r="I184" s="38" t="n">
        <f aca="false">IF(AND(Assumptions!$D$135=1,I$4&gt;=Assumptions!$D$136),1,0)</f>
        <v>1</v>
      </c>
      <c r="J184" s="38" t="n">
        <f aca="false">IF(AND(Assumptions!$D$135=1,J$4&gt;=Assumptions!$D$136),1,0)</f>
        <v>1</v>
      </c>
      <c r="K184" s="38" t="n">
        <f aca="false">IF(AND(Assumptions!$D$135=1,K$4&gt;=Assumptions!$D$136),1,0)</f>
        <v>1</v>
      </c>
      <c r="L184" s="38" t="n">
        <f aca="false">IF(AND(Assumptions!$D$135=1,L$4&gt;=Assumptions!$D$136),1,0)</f>
        <v>1</v>
      </c>
      <c r="M184" s="38" t="n">
        <f aca="false">IF(AND(Assumptions!$D$135=1,M$4&gt;=Assumptions!$D$136),1,0)</f>
        <v>1</v>
      </c>
      <c r="N184" s="38" t="n">
        <f aca="false">IF(AND(Assumptions!$D$135=1,N$4&gt;=Assumptions!$D$136),1,0)</f>
        <v>1</v>
      </c>
      <c r="O184" s="38" t="n">
        <f aca="false">IF(AND(Assumptions!$D$135=1,O$4&gt;=Assumptions!$D$136),1,0)</f>
        <v>1</v>
      </c>
      <c r="P184" s="38" t="n">
        <f aca="false">IF(AND(Assumptions!$D$135=1,P$4&gt;=Assumptions!$D$136),1,0)</f>
        <v>1</v>
      </c>
      <c r="Q184" s="38" t="n">
        <f aca="false">IF(AND(Assumptions!$D$135=1,Q$4&gt;=Assumptions!$D$136),1,0)</f>
        <v>1</v>
      </c>
      <c r="R184" s="38" t="n">
        <f aca="false">IF(AND(Assumptions!$D$135=1,R$4&gt;=Assumptions!$D$136),1,0)</f>
        <v>1</v>
      </c>
      <c r="S184" s="38" t="n">
        <f aca="false">IF(AND(Assumptions!$D$135=1,S$4&gt;=Assumptions!$D$136),1,0)</f>
        <v>1</v>
      </c>
      <c r="T184" s="38" t="n">
        <f aca="false">IF(AND(Assumptions!$D$135=1,T$4&gt;=Assumptions!$D$136),1,0)</f>
        <v>1</v>
      </c>
      <c r="U184" s="38" t="n">
        <f aca="false">IF(AND(Assumptions!$D$135=1,U$4&gt;=Assumptions!$D$136),1,0)</f>
        <v>1</v>
      </c>
      <c r="V184" s="38" t="n">
        <f aca="false">IF(AND(Assumptions!$D$135=1,V$4&gt;=Assumptions!$D$136),1,0)</f>
        <v>1</v>
      </c>
      <c r="W184" s="38" t="n">
        <f aca="false">IF(AND(Assumptions!$D$135=1,W$4&gt;=Assumptions!$D$136),1,0)</f>
        <v>1</v>
      </c>
      <c r="X184" s="38" t="n">
        <f aca="false">IF(AND(Assumptions!$D$135=1,X$4&gt;=Assumptions!$D$136),1,0)</f>
        <v>1</v>
      </c>
      <c r="Y184" s="38" t="n">
        <f aca="false">IF(AND(Assumptions!$D$135=1,Y$4&gt;=Assumptions!$D$136),1,0)</f>
        <v>1</v>
      </c>
      <c r="Z184" s="38" t="n">
        <f aca="false">IF(AND(Assumptions!$D$135=1,Z$4&gt;=Assumptions!$D$136),1,0)</f>
        <v>1</v>
      </c>
      <c r="AA184" s="38" t="n">
        <f aca="false">IF(AND(Assumptions!$D$135=1,AA$4&gt;=Assumptions!$D$136),1,0)</f>
        <v>1</v>
      </c>
      <c r="AB184" s="38" t="n">
        <f aca="false">IF(AND(Assumptions!$D$135=1,AB$4&gt;=Assumptions!$D$136),1,0)</f>
        <v>1</v>
      </c>
      <c r="AC184" s="38" t="n">
        <f aca="false">IF(AND(Assumptions!$D$135=1,AC$4&gt;=Assumptions!$D$136),1,0)</f>
        <v>1</v>
      </c>
      <c r="AD184" s="38" t="n">
        <f aca="false">IF(AND(Assumptions!$D$135=1,AD$4&gt;=Assumptions!$D$136),1,0)</f>
        <v>1</v>
      </c>
      <c r="AE184" s="38" t="n">
        <f aca="false">IF(AND(Assumptions!$D$135=1,AE$4&gt;=Assumptions!$D$136),1,0)</f>
        <v>1</v>
      </c>
      <c r="AF184" s="38" t="n">
        <f aca="false">IF(AND(Assumptions!$D$135=1,AF$4&gt;=Assumptions!$D$136),1,0)</f>
        <v>1</v>
      </c>
      <c r="AG184" s="38" t="n">
        <f aca="false">IF(AND(Assumptions!$D$135=1,AG$4&gt;=Assumptions!$D$136),1,0)</f>
        <v>1</v>
      </c>
      <c r="AH184" s="38" t="n">
        <f aca="false">IF(AND(Assumptions!$D$135=1,AH$4&gt;=Assumptions!$D$136),1,0)</f>
        <v>1</v>
      </c>
      <c r="AI184" s="38" t="n">
        <f aca="false">IF(AND(Assumptions!$D$135=1,AI$4&gt;=Assumptions!$D$136),1,0)</f>
        <v>1</v>
      </c>
      <c r="AJ184" s="38" t="n">
        <f aca="false">IF(AND(Assumptions!$D$135=1,AJ$4&gt;=Assumptions!$D$136),1,0)</f>
        <v>1</v>
      </c>
      <c r="AK184" s="38" t="n">
        <f aca="false">IF(AND(Assumptions!$D$135=1,AK$4&gt;=Assumptions!$D$136),1,0)</f>
        <v>1</v>
      </c>
      <c r="AL184" s="38" t="n">
        <f aca="false">IF(AND(Assumptions!$D$135=1,AL$4&gt;=Assumptions!$D$136),1,0)</f>
        <v>1</v>
      </c>
    </row>
    <row r="185" customFormat="false" ht="15" hidden="false" customHeight="false" outlineLevel="0" collapsed="false">
      <c r="A185" s="7" t="s">
        <v>756</v>
      </c>
      <c r="B185" s="9" t="s">
        <v>327</v>
      </c>
      <c r="C185" s="14" t="n">
        <f aca="false">IF(C184=0,0,C145*Assumptions!$D$106)</f>
        <v>0</v>
      </c>
      <c r="D185" s="14" t="n">
        <f aca="false">IF(D184=0,0,D145*Assumptions!$D$106)</f>
        <v>0</v>
      </c>
      <c r="E185" s="14" t="n">
        <f aca="false">IF(E184=0,0,E145*Assumptions!$D$106)</f>
        <v>0</v>
      </c>
      <c r="F185" s="14" t="n">
        <f aca="false">IF(F184=0,0,F145*Assumptions!$D$106)</f>
        <v>168.59136</v>
      </c>
      <c r="G185" s="14" t="n">
        <f aca="false">IF(G184=0,0,G145*Assumptions!$D$106)</f>
        <v>188.8223232</v>
      </c>
      <c r="H185" s="14" t="n">
        <f aca="false">IF(H184=0,0,H145*Assumptions!$D$106)</f>
        <v>211.481001984</v>
      </c>
      <c r="I185" s="14" t="n">
        <f aca="false">IF(I184=0,0,I145*Assumptions!$D$106)</f>
        <v>236.85872222208</v>
      </c>
      <c r="J185" s="14" t="n">
        <f aca="false">IF(J184=0,0,J145*Assumptions!$D$106)</f>
        <v>265.28176888873</v>
      </c>
      <c r="K185" s="14" t="n">
        <f aca="false">IF(K184=0,0,K145*Assumptions!$D$106)</f>
        <v>297.115581155377</v>
      </c>
      <c r="L185" s="14" t="n">
        <f aca="false">IF(L184=0,0,L145*Assumptions!$D$106)</f>
        <v>332.769450894023</v>
      </c>
      <c r="M185" s="14" t="n">
        <f aca="false">IF(M184=0,0,M145*Assumptions!$D$106)</f>
        <v>372.701785001306</v>
      </c>
      <c r="N185" s="14" t="n">
        <f aca="false">IF(N184=0,0,N145*Assumptions!$D$106)</f>
        <v>417.425999201462</v>
      </c>
      <c r="O185" s="14" t="n">
        <f aca="false">IF(O184=0,0,O145*Assumptions!$D$106)</f>
        <v>442.47155915355</v>
      </c>
      <c r="P185" s="14" t="n">
        <f aca="false">IF(P184=0,0,P145*Assumptions!$D$106)</f>
        <v>469.019852702763</v>
      </c>
      <c r="Q185" s="14" t="n">
        <f aca="false">IF(Q184=0,0,Q145*Assumptions!$D$106)</f>
        <v>497.161043864929</v>
      </c>
      <c r="R185" s="14" t="n">
        <f aca="false">IF(R184=0,0,R145*Assumptions!$D$106)</f>
        <v>526.990706496825</v>
      </c>
      <c r="S185" s="14" t="n">
        <f aca="false">IF(S184=0,0,S145*Assumptions!$D$106)</f>
        <v>558.610148886634</v>
      </c>
      <c r="T185" s="14" t="n">
        <f aca="false">IF(T184=0,0,T145*Assumptions!$D$106)</f>
        <v>592.126757819832</v>
      </c>
      <c r="U185" s="14" t="n">
        <f aca="false">IF(U184=0,0,U145*Assumptions!$D$106)</f>
        <v>627.654363289022</v>
      </c>
      <c r="V185" s="14" t="n">
        <f aca="false">IF(V184=0,0,V145*Assumptions!$D$106)</f>
        <v>665.313625086363</v>
      </c>
      <c r="W185" s="14" t="n">
        <f aca="false">IF(W184=0,0,W145*Assumptions!$D$106)</f>
        <v>705.232442591545</v>
      </c>
      <c r="X185" s="14" t="n">
        <f aca="false">IF(X184=0,0,X145*Assumptions!$D$106)</f>
        <v>747.546389147038</v>
      </c>
      <c r="Y185" s="14" t="n">
        <f aca="false">IF(Y184=0,0,Y145*Assumptions!$D$106)</f>
        <v>792.39917249586</v>
      </c>
      <c r="Z185" s="14" t="n">
        <f aca="false">IF(Z184=0,0,Z145*Assumptions!$D$106)</f>
        <v>839.943122845612</v>
      </c>
      <c r="AA185" s="14" t="n">
        <f aca="false">IF(AA184=0,0,AA145*Assumptions!$D$106)</f>
        <v>865.14141653098</v>
      </c>
      <c r="AB185" s="14" t="n">
        <f aca="false">IF(AB184=0,0,AB145*Assumptions!$D$106)</f>
        <v>891.09565902691</v>
      </c>
      <c r="AC185" s="14" t="n">
        <f aca="false">IF(AC184=0,0,AC145*Assumptions!$D$106)</f>
        <v>917.828528797717</v>
      </c>
      <c r="AD185" s="14" t="n">
        <f aca="false">IF(AD184=0,0,AD145*Assumptions!$D$106)</f>
        <v>945.363384661648</v>
      </c>
      <c r="AE185" s="14" t="n">
        <f aca="false">IF(AE184=0,0,AE145*Assumptions!$D$106)</f>
        <v>973.724286201498</v>
      </c>
      <c r="AF185" s="14" t="n">
        <f aca="false">IF(AF184=0,0,AF145*Assumptions!$D$106)</f>
        <v>1002.93601478754</v>
      </c>
      <c r="AG185" s="14" t="n">
        <f aca="false">IF(AG184=0,0,AG145*Assumptions!$D$106)</f>
        <v>1033.02409523117</v>
      </c>
      <c r="AH185" s="14" t="n">
        <f aca="false">IF(AH184=0,0,AH145*Assumptions!$D$106)</f>
        <v>1064.0148180881</v>
      </c>
      <c r="AI185" s="14" t="n">
        <f aca="false">IF(AI184=0,0,AI145*Assumptions!$D$106)</f>
        <v>1095.93526263075</v>
      </c>
      <c r="AJ185" s="14" t="n">
        <f aca="false">IF(AJ184=0,0,AJ145*Assumptions!$D$106)</f>
        <v>1128.81332050967</v>
      </c>
      <c r="AK185" s="14" t="n">
        <f aca="false">IF(AK184=0,0,AK145*Assumptions!$D$106)</f>
        <v>1162.67772012496</v>
      </c>
      <c r="AL185" s="14" t="n">
        <f aca="false">IF(AL184=0,0,AL145*Assumptions!$D$106)</f>
        <v>1197.55805172871</v>
      </c>
    </row>
    <row r="186" customFormat="false" ht="15" hidden="false" customHeight="false" outlineLevel="0" collapsed="false">
      <c r="A186" s="7" t="s">
        <v>769</v>
      </c>
      <c r="B186" s="9" t="s">
        <v>327</v>
      </c>
      <c r="C186" s="52" t="n">
        <f aca="false">C185*C$7</f>
        <v>0</v>
      </c>
      <c r="D186" s="52" t="n">
        <f aca="false">D185*D$7</f>
        <v>0</v>
      </c>
      <c r="E186" s="52" t="n">
        <f aca="false">E185*E$7</f>
        <v>0</v>
      </c>
      <c r="F186" s="52" t="n">
        <f aca="false">F185*F$7</f>
        <v>210.7392</v>
      </c>
      <c r="G186" s="52" t="n">
        <f aca="false">G185*G$7</f>
        <v>169.94009088</v>
      </c>
      <c r="H186" s="52" t="n">
        <f aca="false">H185*H$7</f>
        <v>211.481001984</v>
      </c>
      <c r="I186" s="52" t="n">
        <f aca="false">I185*I$7</f>
        <v>248.701658333184</v>
      </c>
      <c r="J186" s="52" t="n">
        <f aca="false">J185*J$7</f>
        <v>252.017680444293</v>
      </c>
      <c r="K186" s="52" t="n">
        <f aca="false">K185*K$7</f>
        <v>297.115581155377</v>
      </c>
      <c r="L186" s="52" t="n">
        <f aca="false">L185*L$7</f>
        <v>316.130978349322</v>
      </c>
      <c r="M186" s="52" t="n">
        <f aca="false">M185*M$7</f>
        <v>316.79651725111</v>
      </c>
      <c r="N186" s="52" t="n">
        <f aca="false">N185*N$7</f>
        <v>354.812099321243</v>
      </c>
      <c r="O186" s="52" t="n">
        <f aca="false">O185*O$7</f>
        <v>420.347981195872</v>
      </c>
      <c r="P186" s="52" t="n">
        <f aca="false">P185*P$7</f>
        <v>609.725808513592</v>
      </c>
      <c r="Q186" s="52" t="n">
        <f aca="false">Q185*Q$7</f>
        <v>671.167409217654</v>
      </c>
      <c r="R186" s="52" t="n">
        <f aca="false">R185*R$7</f>
        <v>658.738383121031</v>
      </c>
      <c r="S186" s="52" t="n">
        <f aca="false">S185*S$7</f>
        <v>502.749133997971</v>
      </c>
      <c r="T186" s="52" t="n">
        <f aca="false">T185*T$7</f>
        <v>592.126757819832</v>
      </c>
      <c r="U186" s="52" t="n">
        <f aca="false">U185*U$7</f>
        <v>659.037081453473</v>
      </c>
      <c r="V186" s="52" t="n">
        <f aca="false">V185*V$7</f>
        <v>632.047943832045</v>
      </c>
      <c r="W186" s="52" t="n">
        <f aca="false">W185*W$7</f>
        <v>705.232442591545</v>
      </c>
      <c r="X186" s="52" t="n">
        <f aca="false">X185*X$7</f>
        <v>710.169069689686</v>
      </c>
      <c r="Y186" s="52" t="n">
        <f aca="false">Y185*Y$7</f>
        <v>673.539296621481</v>
      </c>
      <c r="Z186" s="52" t="n">
        <f aca="false">Z185*Z$7</f>
        <v>713.95165441877</v>
      </c>
      <c r="AA186" s="52" t="n">
        <f aca="false">AA185*AA$7</f>
        <v>821.884345704431</v>
      </c>
      <c r="AB186" s="52" t="n">
        <f aca="false">AB185*AB$7</f>
        <v>1158.42435673498</v>
      </c>
      <c r="AC186" s="52" t="n">
        <f aca="false">AC185*AC$7</f>
        <v>1239.06851387692</v>
      </c>
      <c r="AD186" s="52" t="n">
        <f aca="false">AD185*AD$7</f>
        <v>1181.70423082706</v>
      </c>
      <c r="AE186" s="52" t="n">
        <f aca="false">AE185*AE$7</f>
        <v>876.351857581348</v>
      </c>
      <c r="AF186" s="52" t="n">
        <f aca="false">AF185*AF$7</f>
        <v>1002.93601478754</v>
      </c>
      <c r="AG186" s="52" t="n">
        <f aca="false">AG185*AG$7</f>
        <v>1084.67529999273</v>
      </c>
      <c r="AH186" s="52" t="n">
        <f aca="false">AH185*AH$7</f>
        <v>1010.8140771837</v>
      </c>
      <c r="AI186" s="52" t="n">
        <f aca="false">AI185*AI$7</f>
        <v>1095.93526263075</v>
      </c>
      <c r="AJ186" s="52" t="n">
        <f aca="false">AJ185*AJ$7</f>
        <v>1072.37265448419</v>
      </c>
      <c r="AK186" s="52" t="n">
        <f aca="false">AK185*AK$7</f>
        <v>988.276062106216</v>
      </c>
      <c r="AL186" s="52" t="n">
        <f aca="false">AL185*AL$7</f>
        <v>1017.9243439694</v>
      </c>
      <c r="AM186" s="53" t="n">
        <f aca="false">SUMIF($C$6:$AL$6,1,C186:AL186)</f>
        <v>2377.73480771853</v>
      </c>
      <c r="AN186" s="53" t="n">
        <f aca="false">SUMIF($C$6:$AL$6,2,C186:AL186)</f>
        <v>7548.83296247295</v>
      </c>
      <c r="AO186" s="53" t="n">
        <f aca="false">SUMIF($C$6:$AL$6,3,C186:AL186)</f>
        <v>12550.3670198793</v>
      </c>
      <c r="AP186" s="53" t="n">
        <f aca="false">SUM(C186:AL186)</f>
        <v>22476.9347900707</v>
      </c>
    </row>
    <row r="187" customFormat="false" ht="15" hidden="false" customHeight="false" outlineLevel="0" collapsed="false">
      <c r="A187" s="7" t="s">
        <v>758</v>
      </c>
      <c r="B187" s="9" t="s">
        <v>96</v>
      </c>
      <c r="C187" s="54" t="n">
        <f aca="false">Assumptions!$D$137*MIN(1,(C$4-Assumptions!$D$136+1)/Assumptions!$C$10)*C184</f>
        <v>-0</v>
      </c>
      <c r="D187" s="54" t="n">
        <f aca="false">Assumptions!$D$137*MIN(1,(D$4-Assumptions!$D$136+1)/Assumptions!$C$10)*D184</f>
        <v>-0</v>
      </c>
      <c r="E187" s="54" t="n">
        <f aca="false">Assumptions!$D$137*MIN(1,(E$4-Assumptions!$D$136+1)/Assumptions!$C$10)*E184</f>
        <v>0</v>
      </c>
      <c r="F187" s="54" t="n">
        <f aca="false">Assumptions!$D$137*MIN(1,(F$4-Assumptions!$D$136+1)/Assumptions!$C$10)*F184</f>
        <v>0.002</v>
      </c>
      <c r="G187" s="54" t="n">
        <f aca="false">Assumptions!$D$137*MIN(1,(G$4-Assumptions!$D$136+1)/Assumptions!$C$10)*G184</f>
        <v>0.004</v>
      </c>
      <c r="H187" s="54" t="n">
        <f aca="false">Assumptions!$D$137*MIN(1,(H$4-Assumptions!$D$136+1)/Assumptions!$C$10)*H184</f>
        <v>0.006</v>
      </c>
      <c r="I187" s="54" t="n">
        <f aca="false">Assumptions!$D$137*MIN(1,(I$4-Assumptions!$D$136+1)/Assumptions!$C$10)*I184</f>
        <v>0.008</v>
      </c>
      <c r="J187" s="54" t="n">
        <f aca="false">Assumptions!$D$137*MIN(1,(J$4-Assumptions!$D$136+1)/Assumptions!$C$10)*J184</f>
        <v>0.01</v>
      </c>
      <c r="K187" s="54" t="n">
        <f aca="false">Assumptions!$D$137*MIN(1,(K$4-Assumptions!$D$136+1)/Assumptions!$C$10)*K184</f>
        <v>0.012</v>
      </c>
      <c r="L187" s="54" t="n">
        <f aca="false">Assumptions!$D$137*MIN(1,(L$4-Assumptions!$D$136+1)/Assumptions!$C$10)*L184</f>
        <v>0.012</v>
      </c>
      <c r="M187" s="54" t="n">
        <f aca="false">Assumptions!$D$137*MIN(1,(M$4-Assumptions!$D$136+1)/Assumptions!$C$10)*M184</f>
        <v>0.012</v>
      </c>
      <c r="N187" s="54" t="n">
        <f aca="false">Assumptions!$D$137*MIN(1,(N$4-Assumptions!$D$136+1)/Assumptions!$C$10)*N184</f>
        <v>0.012</v>
      </c>
      <c r="O187" s="54" t="n">
        <f aca="false">Assumptions!$D$137*MIN(1,(O$4-Assumptions!$D$136+1)/Assumptions!$C$10)*O184</f>
        <v>0.012</v>
      </c>
      <c r="P187" s="54" t="n">
        <f aca="false">Assumptions!$D$137*MIN(1,(P$4-Assumptions!$D$136+1)/Assumptions!$C$10)*P184</f>
        <v>0.012</v>
      </c>
      <c r="Q187" s="54" t="n">
        <f aca="false">Assumptions!$D$137*MIN(1,(Q$4-Assumptions!$D$136+1)/Assumptions!$C$10)*Q184</f>
        <v>0.012</v>
      </c>
      <c r="R187" s="54" t="n">
        <f aca="false">Assumptions!$D$137*MIN(1,(R$4-Assumptions!$D$136+1)/Assumptions!$C$10)*R184</f>
        <v>0.012</v>
      </c>
      <c r="S187" s="54" t="n">
        <f aca="false">Assumptions!$D$137*MIN(1,(S$4-Assumptions!$D$136+1)/Assumptions!$C$10)*S184</f>
        <v>0.012</v>
      </c>
      <c r="T187" s="54" t="n">
        <f aca="false">Assumptions!$D$137*MIN(1,(T$4-Assumptions!$D$136+1)/Assumptions!$C$10)*T184</f>
        <v>0.012</v>
      </c>
      <c r="U187" s="54" t="n">
        <f aca="false">Assumptions!$D$137*MIN(1,(U$4-Assumptions!$D$136+1)/Assumptions!$C$10)*U184</f>
        <v>0.012</v>
      </c>
      <c r="V187" s="54" t="n">
        <f aca="false">Assumptions!$D$137*MIN(1,(V$4-Assumptions!$D$136+1)/Assumptions!$C$10)*V184</f>
        <v>0.012</v>
      </c>
      <c r="W187" s="54" t="n">
        <f aca="false">Assumptions!$D$137*MIN(1,(W$4-Assumptions!$D$136+1)/Assumptions!$C$10)*W184</f>
        <v>0.012</v>
      </c>
      <c r="X187" s="54" t="n">
        <f aca="false">Assumptions!$D$137*MIN(1,(X$4-Assumptions!$D$136+1)/Assumptions!$C$10)*X184</f>
        <v>0.012</v>
      </c>
      <c r="Y187" s="54" t="n">
        <f aca="false">Assumptions!$D$137*MIN(1,(Y$4-Assumptions!$D$136+1)/Assumptions!$C$10)*Y184</f>
        <v>0.012</v>
      </c>
      <c r="Z187" s="54" t="n">
        <f aca="false">Assumptions!$D$137*MIN(1,(Z$4-Assumptions!$D$136+1)/Assumptions!$C$10)*Z184</f>
        <v>0.012</v>
      </c>
      <c r="AA187" s="54" t="n">
        <f aca="false">Assumptions!$D$137*MIN(1,(AA$4-Assumptions!$D$136+1)/Assumptions!$C$10)*AA184</f>
        <v>0.012</v>
      </c>
      <c r="AB187" s="54" t="n">
        <f aca="false">Assumptions!$D$137*MIN(1,(AB$4-Assumptions!$D$136+1)/Assumptions!$C$10)*AB184</f>
        <v>0.012</v>
      </c>
      <c r="AC187" s="54" t="n">
        <f aca="false">Assumptions!$D$137*MIN(1,(AC$4-Assumptions!$D$136+1)/Assumptions!$C$10)*AC184</f>
        <v>0.012</v>
      </c>
      <c r="AD187" s="54" t="n">
        <f aca="false">Assumptions!$D$137*MIN(1,(AD$4-Assumptions!$D$136+1)/Assumptions!$C$10)*AD184</f>
        <v>0.012</v>
      </c>
      <c r="AE187" s="54" t="n">
        <f aca="false">Assumptions!$D$137*MIN(1,(AE$4-Assumptions!$D$136+1)/Assumptions!$C$10)*AE184</f>
        <v>0.012</v>
      </c>
      <c r="AF187" s="54" t="n">
        <f aca="false">Assumptions!$D$137*MIN(1,(AF$4-Assumptions!$D$136+1)/Assumptions!$C$10)*AF184</f>
        <v>0.012</v>
      </c>
      <c r="AG187" s="54" t="n">
        <f aca="false">Assumptions!$D$137*MIN(1,(AG$4-Assumptions!$D$136+1)/Assumptions!$C$10)*AG184</f>
        <v>0.012</v>
      </c>
      <c r="AH187" s="54" t="n">
        <f aca="false">Assumptions!$D$137*MIN(1,(AH$4-Assumptions!$D$136+1)/Assumptions!$C$10)*AH184</f>
        <v>0.012</v>
      </c>
      <c r="AI187" s="54" t="n">
        <f aca="false">Assumptions!$D$137*MIN(1,(AI$4-Assumptions!$D$136+1)/Assumptions!$C$10)*AI184</f>
        <v>0.012</v>
      </c>
      <c r="AJ187" s="54" t="n">
        <f aca="false">Assumptions!$D$137*MIN(1,(AJ$4-Assumptions!$D$136+1)/Assumptions!$C$10)*AJ184</f>
        <v>0.012</v>
      </c>
      <c r="AK187" s="54" t="n">
        <f aca="false">Assumptions!$D$137*MIN(1,(AK$4-Assumptions!$D$136+1)/Assumptions!$C$10)*AK184</f>
        <v>0.012</v>
      </c>
      <c r="AL187" s="54" t="n">
        <f aca="false">Assumptions!$D$137*MIN(1,(AL$4-Assumptions!$D$136+1)/Assumptions!$C$10)*AL184</f>
        <v>0.012</v>
      </c>
    </row>
    <row r="188" customFormat="false" ht="15" hidden="false" customHeight="false" outlineLevel="0" collapsed="false">
      <c r="A188" s="7" t="s">
        <v>766</v>
      </c>
      <c r="B188" s="9" t="s">
        <v>760</v>
      </c>
      <c r="C188" s="55" t="n">
        <f aca="false">C186*C187</f>
        <v>-0</v>
      </c>
      <c r="D188" s="55" t="n">
        <f aca="false">D186*D187</f>
        <v>-0</v>
      </c>
      <c r="E188" s="55" t="n">
        <f aca="false">E186*E187</f>
        <v>0</v>
      </c>
      <c r="F188" s="55" t="n">
        <f aca="false">F186*F187</f>
        <v>0.4214784</v>
      </c>
      <c r="G188" s="55" t="n">
        <f aca="false">G186*G187</f>
        <v>0.67976036352</v>
      </c>
      <c r="H188" s="55" t="n">
        <f aca="false">H186*H187</f>
        <v>1.268886011904</v>
      </c>
      <c r="I188" s="55" t="n">
        <f aca="false">I186*I187</f>
        <v>1.98961326666547</v>
      </c>
      <c r="J188" s="55" t="n">
        <f aca="false">J186*J187</f>
        <v>2.52017680444293</v>
      </c>
      <c r="K188" s="55" t="n">
        <f aca="false">K186*K187</f>
        <v>3.56538697386453</v>
      </c>
      <c r="L188" s="55" t="n">
        <f aca="false">L186*L187</f>
        <v>3.79357174019186</v>
      </c>
      <c r="M188" s="55" t="n">
        <f aca="false">M186*M187</f>
        <v>3.80155820701332</v>
      </c>
      <c r="N188" s="55" t="n">
        <f aca="false">N186*N187</f>
        <v>4.25774519185491</v>
      </c>
      <c r="O188" s="55" t="n">
        <f aca="false">O186*O187</f>
        <v>5.04417577435047</v>
      </c>
      <c r="P188" s="55" t="n">
        <f aca="false">P186*P187</f>
        <v>7.3167097021631</v>
      </c>
      <c r="Q188" s="55" t="n">
        <f aca="false">Q186*Q187</f>
        <v>8.05400891061185</v>
      </c>
      <c r="R188" s="55" t="n">
        <f aca="false">R186*R187</f>
        <v>7.90486059745237</v>
      </c>
      <c r="S188" s="55" t="n">
        <f aca="false">S186*S187</f>
        <v>6.03298960797565</v>
      </c>
      <c r="T188" s="55" t="n">
        <f aca="false">T186*T187</f>
        <v>7.10552109383799</v>
      </c>
      <c r="U188" s="55" t="n">
        <f aca="false">U186*U187</f>
        <v>7.90844497744168</v>
      </c>
      <c r="V188" s="55" t="n">
        <f aca="false">V186*V187</f>
        <v>7.58457532598454</v>
      </c>
      <c r="W188" s="55" t="n">
        <f aca="false">W186*W187</f>
        <v>8.46278931109854</v>
      </c>
      <c r="X188" s="55" t="n">
        <f aca="false">X186*X187</f>
        <v>8.52202883627623</v>
      </c>
      <c r="Y188" s="55" t="n">
        <f aca="false">Y186*Y187</f>
        <v>8.08247155945777</v>
      </c>
      <c r="Z188" s="55" t="n">
        <f aca="false">Z186*Z187</f>
        <v>8.56741985302524</v>
      </c>
      <c r="AA188" s="55" t="n">
        <f aca="false">AA186*AA187</f>
        <v>9.86261214845318</v>
      </c>
      <c r="AB188" s="55" t="n">
        <f aca="false">AB186*AB187</f>
        <v>13.9010922808198</v>
      </c>
      <c r="AC188" s="55" t="n">
        <f aca="false">AC186*AC187</f>
        <v>14.868822166523</v>
      </c>
      <c r="AD188" s="55" t="n">
        <f aca="false">AD186*AD187</f>
        <v>14.1804507699247</v>
      </c>
      <c r="AE188" s="55" t="n">
        <f aca="false">AE186*AE187</f>
        <v>10.5162222909762</v>
      </c>
      <c r="AF188" s="55" t="n">
        <f aca="false">AF186*AF187</f>
        <v>12.0352321774505</v>
      </c>
      <c r="AG188" s="55" t="n">
        <f aca="false">AG186*AG187</f>
        <v>13.0161035999127</v>
      </c>
      <c r="AH188" s="55" t="n">
        <f aca="false">AH186*AH187</f>
        <v>12.1297689262044</v>
      </c>
      <c r="AI188" s="55" t="n">
        <f aca="false">AI186*AI187</f>
        <v>13.151223151569</v>
      </c>
      <c r="AJ188" s="55" t="n">
        <f aca="false">AJ186*AJ187</f>
        <v>12.8684718538102</v>
      </c>
      <c r="AK188" s="55" t="n">
        <f aca="false">AK186*AK187</f>
        <v>11.8593127452746</v>
      </c>
      <c r="AL188" s="55" t="n">
        <f aca="false">AL186*AL187</f>
        <v>12.2150921276328</v>
      </c>
      <c r="AM188" s="53" t="n">
        <f aca="false">SUMIF($C$6:$AL$6,1,C188:AL188)</f>
        <v>22.298176959457</v>
      </c>
      <c r="AN188" s="53" t="n">
        <f aca="false">SUMIF($C$6:$AL$6,2,C188:AL188)</f>
        <v>90.5859955496754</v>
      </c>
      <c r="AO188" s="53" t="n">
        <f aca="false">SUMIF($C$6:$AL$6,3,C188:AL188)</f>
        <v>150.604404238551</v>
      </c>
      <c r="AP188" s="53" t="n">
        <f aca="false">SUM(C188:AL188)</f>
        <v>263.488576747684</v>
      </c>
    </row>
    <row r="189" customFormat="false" ht="15" hidden="false" customHeight="false" outlineLevel="0" collapsed="false">
      <c r="A189" s="7" t="s">
        <v>761</v>
      </c>
      <c r="B189" s="9" t="s">
        <v>342</v>
      </c>
      <c r="C189" s="56" t="n">
        <f aca="false">C188*Assumptions!$D$138</f>
        <v>-0</v>
      </c>
      <c r="D189" s="56" t="n">
        <f aca="false">D188*Assumptions!$D$138</f>
        <v>-0</v>
      </c>
      <c r="E189" s="56" t="n">
        <f aca="false">E188*Assumptions!$D$138</f>
        <v>0</v>
      </c>
      <c r="F189" s="56" t="n">
        <f aca="false">F188*Assumptions!$D$138</f>
        <v>0.50577408</v>
      </c>
      <c r="G189" s="56" t="n">
        <f aca="false">G188*Assumptions!$D$138</f>
        <v>0.815712436224</v>
      </c>
      <c r="H189" s="56" t="n">
        <f aca="false">H188*Assumptions!$D$138</f>
        <v>1.5226632142848</v>
      </c>
      <c r="I189" s="56" t="n">
        <f aca="false">I188*Assumptions!$D$138</f>
        <v>2.38753591999857</v>
      </c>
      <c r="J189" s="56" t="n">
        <f aca="false">J188*Assumptions!$D$138</f>
        <v>3.02421216533152</v>
      </c>
      <c r="K189" s="56" t="n">
        <f aca="false">K188*Assumptions!$D$138</f>
        <v>4.27846436863743</v>
      </c>
      <c r="L189" s="56" t="n">
        <f aca="false">L188*Assumptions!$D$138</f>
        <v>4.55228608823023</v>
      </c>
      <c r="M189" s="56" t="n">
        <f aca="false">M188*Assumptions!$D$138</f>
        <v>4.56186984841598</v>
      </c>
      <c r="N189" s="56" t="n">
        <f aca="false">N188*Assumptions!$D$138</f>
        <v>5.1092942302259</v>
      </c>
      <c r="O189" s="56" t="n">
        <f aca="false">O188*Assumptions!$D$138</f>
        <v>6.05301092922056</v>
      </c>
      <c r="P189" s="56" t="n">
        <f aca="false">P188*Assumptions!$D$138</f>
        <v>8.78005164259572</v>
      </c>
      <c r="Q189" s="56" t="n">
        <f aca="false">Q188*Assumptions!$D$138</f>
        <v>9.66481069273421</v>
      </c>
      <c r="R189" s="56" t="n">
        <f aca="false">R188*Assumptions!$D$138</f>
        <v>9.48583271694284</v>
      </c>
      <c r="S189" s="56" t="n">
        <f aca="false">S188*Assumptions!$D$138</f>
        <v>7.23958752957078</v>
      </c>
      <c r="T189" s="56" t="n">
        <f aca="false">T188*Assumptions!$D$138</f>
        <v>8.52662531260558</v>
      </c>
      <c r="U189" s="56" t="n">
        <f aca="false">U188*Assumptions!$D$138</f>
        <v>9.49013397293001</v>
      </c>
      <c r="V189" s="56" t="n">
        <f aca="false">V188*Assumptions!$D$138</f>
        <v>9.10149039118145</v>
      </c>
      <c r="W189" s="56" t="n">
        <f aca="false">W188*Assumptions!$D$138</f>
        <v>10.1553471733183</v>
      </c>
      <c r="X189" s="56" t="n">
        <f aca="false">X188*Assumptions!$D$138</f>
        <v>10.2264346035315</v>
      </c>
      <c r="Y189" s="56" t="n">
        <f aca="false">Y188*Assumptions!$D$138</f>
        <v>9.69896587134933</v>
      </c>
      <c r="Z189" s="56" t="n">
        <f aca="false">Z188*Assumptions!$D$138</f>
        <v>10.2809038236303</v>
      </c>
      <c r="AA189" s="56" t="n">
        <f aca="false">AA188*Assumptions!$D$138</f>
        <v>11.8351345781438</v>
      </c>
      <c r="AB189" s="56" t="n">
        <f aca="false">AB188*Assumptions!$D$138</f>
        <v>16.6813107369838</v>
      </c>
      <c r="AC189" s="56" t="n">
        <f aca="false">AC188*Assumptions!$D$138</f>
        <v>17.8425865998276</v>
      </c>
      <c r="AD189" s="56" t="n">
        <f aca="false">AD188*Assumptions!$D$138</f>
        <v>17.0165409239097</v>
      </c>
      <c r="AE189" s="56" t="n">
        <f aca="false">AE188*Assumptions!$D$138</f>
        <v>12.6194667491714</v>
      </c>
      <c r="AF189" s="56" t="n">
        <f aca="false">AF188*Assumptions!$D$138</f>
        <v>14.4422786129406</v>
      </c>
      <c r="AG189" s="56" t="n">
        <f aca="false">AG188*Assumptions!$D$138</f>
        <v>15.6193243198953</v>
      </c>
      <c r="AH189" s="56" t="n">
        <f aca="false">AH188*Assumptions!$D$138</f>
        <v>14.5557227114453</v>
      </c>
      <c r="AI189" s="56" t="n">
        <f aca="false">AI188*Assumptions!$D$138</f>
        <v>15.7814677818828</v>
      </c>
      <c r="AJ189" s="56" t="n">
        <f aca="false">AJ188*Assumptions!$D$138</f>
        <v>15.4421662245723</v>
      </c>
      <c r="AK189" s="56" t="n">
        <f aca="false">AK188*Assumptions!$D$138</f>
        <v>14.2311752943295</v>
      </c>
      <c r="AL189" s="56" t="n">
        <f aca="false">AL188*Assumptions!$D$138</f>
        <v>14.6581105531594</v>
      </c>
      <c r="AM189" s="53" t="n">
        <f aca="false">SUMIF($C$6:$AL$6,1,C189:AL189)</f>
        <v>26.7578123513484</v>
      </c>
      <c r="AN189" s="53" t="n">
        <f aca="false">SUMIF($C$6:$AL$6,2,C189:AL189)</f>
        <v>108.703194659611</v>
      </c>
      <c r="AO189" s="53" t="n">
        <f aca="false">SUMIF($C$6:$AL$6,3,C189:AL189)</f>
        <v>180.725285086261</v>
      </c>
      <c r="AP189" s="53" t="n">
        <f aca="false">SUM(C189:AL189)</f>
        <v>316.18629209722</v>
      </c>
    </row>
    <row r="190" customFormat="false" ht="15" hidden="false" customHeight="false" outlineLevel="0" collapsed="false">
      <c r="A190" s="7" t="s">
        <v>762</v>
      </c>
      <c r="B190" s="9" t="s">
        <v>101</v>
      </c>
      <c r="C190" s="15" t="n">
        <f aca="false">'Unit Economics'!$E$54*Assumptions!$D$138*C184</f>
        <v>0</v>
      </c>
      <c r="D190" s="15" t="n">
        <f aca="false">'Unit Economics'!$E$54*Assumptions!$D$138*D184</f>
        <v>0</v>
      </c>
      <c r="E190" s="15" t="n">
        <f aca="false">'Unit Economics'!$E$54*Assumptions!$D$138*E184</f>
        <v>0</v>
      </c>
      <c r="F190" s="15" t="n">
        <f aca="false">'Unit Economics'!$E$54*Assumptions!$D$138*F184</f>
        <v>10.8507272727273</v>
      </c>
      <c r="G190" s="15" t="n">
        <f aca="false">'Unit Economics'!$E$54*Assumptions!$D$138*G184</f>
        <v>10.8507272727273</v>
      </c>
      <c r="H190" s="15" t="n">
        <f aca="false">'Unit Economics'!$E$54*Assumptions!$D$138*H184</f>
        <v>10.8507272727273</v>
      </c>
      <c r="I190" s="15" t="n">
        <f aca="false">'Unit Economics'!$E$54*Assumptions!$D$138*I184</f>
        <v>10.8507272727273</v>
      </c>
      <c r="J190" s="15" t="n">
        <f aca="false">'Unit Economics'!$E$54*Assumptions!$D$138*J184</f>
        <v>10.8507272727273</v>
      </c>
      <c r="K190" s="15" t="n">
        <f aca="false">'Unit Economics'!$E$54*Assumptions!$D$138*K184</f>
        <v>10.8507272727273</v>
      </c>
      <c r="L190" s="15" t="n">
        <f aca="false">'Unit Economics'!$E$54*Assumptions!$D$138*L184</f>
        <v>10.8507272727273</v>
      </c>
      <c r="M190" s="15" t="n">
        <f aca="false">'Unit Economics'!$E$54*Assumptions!$D$138*M184</f>
        <v>10.8507272727273</v>
      </c>
      <c r="N190" s="15" t="n">
        <f aca="false">'Unit Economics'!$E$54*Assumptions!$D$138*N184</f>
        <v>10.8507272727273</v>
      </c>
      <c r="O190" s="15" t="n">
        <f aca="false">'Unit Economics'!$E$54*Assumptions!$D$138*O184</f>
        <v>10.8507272727273</v>
      </c>
      <c r="P190" s="15" t="n">
        <f aca="false">'Unit Economics'!$E$54*Assumptions!$D$138*P184</f>
        <v>10.8507272727273</v>
      </c>
      <c r="Q190" s="15" t="n">
        <f aca="false">'Unit Economics'!$E$54*Assumptions!$D$138*Q184</f>
        <v>10.8507272727273</v>
      </c>
      <c r="R190" s="15" t="n">
        <f aca="false">'Unit Economics'!$E$54*Assumptions!$D$138*R184</f>
        <v>10.8507272727273</v>
      </c>
      <c r="S190" s="15" t="n">
        <f aca="false">'Unit Economics'!$E$54*Assumptions!$D$138*S184</f>
        <v>10.8507272727273</v>
      </c>
      <c r="T190" s="15" t="n">
        <f aca="false">'Unit Economics'!$E$54*Assumptions!$D$138*T184</f>
        <v>10.8507272727273</v>
      </c>
      <c r="U190" s="15" t="n">
        <f aca="false">'Unit Economics'!$E$54*Assumptions!$D$138*U184</f>
        <v>10.8507272727273</v>
      </c>
      <c r="V190" s="15" t="n">
        <f aca="false">'Unit Economics'!$E$54*Assumptions!$D$138*V184</f>
        <v>10.8507272727273</v>
      </c>
      <c r="W190" s="15" t="n">
        <f aca="false">'Unit Economics'!$E$54*Assumptions!$D$138*W184</f>
        <v>10.8507272727273</v>
      </c>
      <c r="X190" s="15" t="n">
        <f aca="false">'Unit Economics'!$E$54*Assumptions!$D$138*X184</f>
        <v>10.8507272727273</v>
      </c>
      <c r="Y190" s="15" t="n">
        <f aca="false">'Unit Economics'!$E$54*Assumptions!$D$138*Y184</f>
        <v>10.8507272727273</v>
      </c>
      <c r="Z190" s="15" t="n">
        <f aca="false">'Unit Economics'!$E$54*Assumptions!$D$138*Z184</f>
        <v>10.8507272727273</v>
      </c>
      <c r="AA190" s="15" t="n">
        <f aca="false">'Unit Economics'!$E$54*Assumptions!$D$138*AA184</f>
        <v>10.8507272727273</v>
      </c>
      <c r="AB190" s="15" t="n">
        <f aca="false">'Unit Economics'!$E$54*Assumptions!$D$138*AB184</f>
        <v>10.8507272727273</v>
      </c>
      <c r="AC190" s="15" t="n">
        <f aca="false">'Unit Economics'!$E$54*Assumptions!$D$138*AC184</f>
        <v>10.8507272727273</v>
      </c>
      <c r="AD190" s="15" t="n">
        <f aca="false">'Unit Economics'!$E$54*Assumptions!$D$138*AD184</f>
        <v>10.8507272727273</v>
      </c>
      <c r="AE190" s="15" t="n">
        <f aca="false">'Unit Economics'!$E$54*Assumptions!$D$138*AE184</f>
        <v>10.8507272727273</v>
      </c>
      <c r="AF190" s="15" t="n">
        <f aca="false">'Unit Economics'!$E$54*Assumptions!$D$138*AF184</f>
        <v>10.8507272727273</v>
      </c>
      <c r="AG190" s="15" t="n">
        <f aca="false">'Unit Economics'!$E$54*Assumptions!$D$138*AG184</f>
        <v>10.8507272727273</v>
      </c>
      <c r="AH190" s="15" t="n">
        <f aca="false">'Unit Economics'!$E$54*Assumptions!$D$138*AH184</f>
        <v>10.8507272727273</v>
      </c>
      <c r="AI190" s="15" t="n">
        <f aca="false">'Unit Economics'!$E$54*Assumptions!$D$138*AI184</f>
        <v>10.8507272727273</v>
      </c>
      <c r="AJ190" s="15" t="n">
        <f aca="false">'Unit Economics'!$E$54*Assumptions!$D$138*AJ184</f>
        <v>10.8507272727273</v>
      </c>
      <c r="AK190" s="15" t="n">
        <f aca="false">'Unit Economics'!$E$54*Assumptions!$D$138*AK184</f>
        <v>10.8507272727273</v>
      </c>
      <c r="AL190" s="15" t="n">
        <f aca="false">'Unit Economics'!$E$54*Assumptions!$D$138*AL184</f>
        <v>10.8507272727273</v>
      </c>
    </row>
    <row r="191" customFormat="false" ht="15" hidden="false" customHeight="false" outlineLevel="0" collapsed="false">
      <c r="A191" s="7" t="s">
        <v>763</v>
      </c>
      <c r="B191" s="9" t="s">
        <v>101</v>
      </c>
      <c r="C191" s="8" t="n">
        <f aca="false">C189*'Unit Economics'!$E$54</f>
        <v>-0</v>
      </c>
      <c r="D191" s="8" t="n">
        <f aca="false">D189*'Unit Economics'!$E$54</f>
        <v>-0</v>
      </c>
      <c r="E191" s="8" t="n">
        <f aca="false">E189*'Unit Economics'!$E$54</f>
        <v>0</v>
      </c>
      <c r="F191" s="8" t="n">
        <f aca="false">F189*'Unit Economics'!$E$54</f>
        <v>4.57334716974546</v>
      </c>
      <c r="G191" s="8" t="n">
        <f aca="false">G189*'Unit Economics'!$E$54</f>
        <v>7.37589431536547</v>
      </c>
      <c r="H191" s="8" t="n">
        <f aca="false">H189*'Unit Economics'!$E$54</f>
        <v>13.7683360553489</v>
      </c>
      <c r="I191" s="8" t="n">
        <f aca="false">I189*'Unit Economics'!$E$54</f>
        <v>21.5887509347871</v>
      </c>
      <c r="J191" s="8" t="n">
        <f aca="false">J189*'Unit Economics'!$E$54</f>
        <v>27.3457511840636</v>
      </c>
      <c r="K191" s="8" t="n">
        <f aca="false">K189*'Unit Economics'!$E$54</f>
        <v>38.6870416751384</v>
      </c>
      <c r="L191" s="8" t="n">
        <f aca="false">L189*'Unit Economics'!$E$54</f>
        <v>41.1630123423473</v>
      </c>
      <c r="M191" s="8" t="n">
        <f aca="false">M189*'Unit Economics'!$E$54</f>
        <v>41.2496713156996</v>
      </c>
      <c r="N191" s="8" t="n">
        <f aca="false">N189*'Unit Economics'!$E$54</f>
        <v>46.1996318735835</v>
      </c>
      <c r="O191" s="8" t="n">
        <f aca="false">O189*'Unit Economics'!$E$54</f>
        <v>54.7329756431748</v>
      </c>
      <c r="P191" s="8" t="n">
        <f aca="false">P189*'Unit Economics'!$E$54</f>
        <v>79.3916215118894</v>
      </c>
      <c r="Q191" s="8" t="n">
        <f aca="false">Q189*'Unit Economics'!$E$54</f>
        <v>87.3918541411644</v>
      </c>
      <c r="R191" s="8" t="n">
        <f aca="false">R189*'Unit Economics'!$E$54</f>
        <v>85.7734864718836</v>
      </c>
      <c r="S191" s="8" t="n">
        <f aca="false">S189*'Unit Economics'!$E$54</f>
        <v>65.4623248753416</v>
      </c>
      <c r="T191" s="8" t="n">
        <f aca="false">T189*'Unit Economics'!$E$54</f>
        <v>77.1000715198468</v>
      </c>
      <c r="U191" s="8" t="n">
        <f aca="false">U189*'Unit Economics'!$E$54</f>
        <v>85.8123796015894</v>
      </c>
      <c r="V191" s="8" t="n">
        <f aca="false">V189*'Unit Economics'!$E$54</f>
        <v>82.2981583417148</v>
      </c>
      <c r="W191" s="8" t="n">
        <f aca="false">W189*'Unit Economics'!$E$54</f>
        <v>91.8274187812818</v>
      </c>
      <c r="X191" s="8" t="n">
        <f aca="false">X189*'Unit Economics'!$E$54</f>
        <v>92.4702107127508</v>
      </c>
      <c r="Y191" s="8" t="n">
        <f aca="false">Y189*'Unit Economics'!$E$54</f>
        <v>87.700694581251</v>
      </c>
      <c r="Z191" s="8" t="n">
        <f aca="false">Z189*'Unit Economics'!$E$54</f>
        <v>92.9627362561261</v>
      </c>
      <c r="AA191" s="8" t="n">
        <f aca="false">AA189*'Unit Economics'!$E$54</f>
        <v>107.016514619552</v>
      </c>
      <c r="AB191" s="8" t="n">
        <f aca="false">AB189*'Unit Economics'!$E$54</f>
        <v>150.83696113219</v>
      </c>
      <c r="AC191" s="8" t="n">
        <f aca="false">AC189*'Unit Economics'!$E$54</f>
        <v>161.337534195623</v>
      </c>
      <c r="AD191" s="8" t="n">
        <f aca="false">AD189*'Unit Economics'!$E$54</f>
        <v>153.868203908789</v>
      </c>
      <c r="AE191" s="8" t="n">
        <f aca="false">AE189*'Unit Economics'!$E$54</f>
        <v>114.108660018758</v>
      </c>
      <c r="AF191" s="8" t="n">
        <f aca="false">AF189*'Unit Economics'!$E$54</f>
        <v>130.591022021467</v>
      </c>
      <c r="AG191" s="8" t="n">
        <f aca="false">AG189*'Unit Economics'!$E$54</f>
        <v>141.234190316217</v>
      </c>
      <c r="AH191" s="8" t="n">
        <f aca="false">AH189*'Unit Economics'!$E$54</f>
        <v>131.616814499446</v>
      </c>
      <c r="AI191" s="8" t="n">
        <f aca="false">AI189*'Unit Economics'!$E$54</f>
        <v>142.700335720452</v>
      </c>
      <c r="AJ191" s="8" t="n">
        <f aca="false">AJ189*'Unit Economics'!$E$54</f>
        <v>139.632278502462</v>
      </c>
      <c r="AK191" s="8" t="n">
        <f aca="false">AK189*'Unit Economics'!$E$54</f>
        <v>128.682168240953</v>
      </c>
      <c r="AL191" s="8" t="n">
        <f aca="false">AL189*'Unit Economics'!$E$54</f>
        <v>132.542633288182</v>
      </c>
      <c r="AM191" s="45" t="n">
        <f aca="false">SUMIF($C$6:$AL$6,1,C191:AL191)</f>
        <v>241.951436866079</v>
      </c>
      <c r="AN191" s="45" t="n">
        <f aca="false">SUMIF($C$6:$AL$6,2,C191:AL191)</f>
        <v>982.923932438015</v>
      </c>
      <c r="AO191" s="45" t="n">
        <f aca="false">SUMIF($C$6:$AL$6,3,C191:AL191)</f>
        <v>1634.16731646409</v>
      </c>
      <c r="AP191" s="45" t="n">
        <f aca="false">SUM(C191:AL191)</f>
        <v>2859.04268576818</v>
      </c>
    </row>
    <row r="192" customFormat="false" ht="15" hidden="false" customHeight="false" outlineLevel="0" collapsed="false">
      <c r="A192" s="7" t="s">
        <v>764</v>
      </c>
      <c r="B192" s="9" t="s">
        <v>101</v>
      </c>
      <c r="C192" s="8" t="n">
        <f aca="false">C189*'Unit Economics'!$F$54</f>
        <v>-0</v>
      </c>
      <c r="D192" s="8" t="n">
        <f aca="false">D189*'Unit Economics'!$F$54</f>
        <v>-0</v>
      </c>
      <c r="E192" s="8" t="n">
        <f aca="false">E189*'Unit Economics'!$F$54</f>
        <v>0</v>
      </c>
      <c r="F192" s="8" t="n">
        <f aca="false">F189*'Unit Economics'!$F$54</f>
        <v>3.771658469376</v>
      </c>
      <c r="G192" s="8" t="n">
        <f aca="false">G189*'Unit Economics'!$F$54</f>
        <v>6.08293077940962</v>
      </c>
      <c r="H192" s="8" t="n">
        <f aca="false">H189*'Unit Economics'!$F$54</f>
        <v>11.3548041215646</v>
      </c>
      <c r="I192" s="8" t="n">
        <f aca="false">I189*'Unit Economics'!$F$54</f>
        <v>17.8043328626133</v>
      </c>
      <c r="J192" s="8" t="n">
        <f aca="false">J189*'Unit Economics'!$F$54</f>
        <v>22.5521549593102</v>
      </c>
      <c r="K192" s="8" t="n">
        <f aca="false">K189*'Unit Economics'!$F$54</f>
        <v>31.9053644898031</v>
      </c>
      <c r="L192" s="8" t="n">
        <f aca="false">L189*'Unit Economics'!$F$54</f>
        <v>33.9473078171505</v>
      </c>
      <c r="M192" s="8" t="n">
        <f aca="false">M189*'Unit Economics'!$F$54</f>
        <v>34.0187758336076</v>
      </c>
      <c r="N192" s="8" t="n">
        <f aca="false">N189*'Unit Economics'!$F$54</f>
        <v>38.1010289336406</v>
      </c>
      <c r="O192" s="8" t="n">
        <f aca="false">O189*'Unit Economics'!$F$54</f>
        <v>45.1385131013836</v>
      </c>
      <c r="P192" s="8" t="n">
        <f aca="false">P189*'Unit Economics'!$F$54</f>
        <v>65.4746011091648</v>
      </c>
      <c r="Q192" s="8" t="n">
        <f aca="false">Q189*'Unit Economics'!$F$54</f>
        <v>72.0724262978576</v>
      </c>
      <c r="R192" s="8" t="n">
        <f aca="false">R189*'Unit Economics'!$F$54</f>
        <v>70.7377517367862</v>
      </c>
      <c r="S192" s="8" t="n">
        <f aca="false">S189*'Unit Economics'!$F$54</f>
        <v>53.9870521255152</v>
      </c>
      <c r="T192" s="8" t="n">
        <f aca="false">T189*'Unit Economics'!$F$54</f>
        <v>63.5847502811623</v>
      </c>
      <c r="U192" s="8" t="n">
        <f aca="false">U189*'Unit Economics'!$F$54</f>
        <v>70.7698270629337</v>
      </c>
      <c r="V192" s="8" t="n">
        <f aca="false">V189*'Unit Economics'!$F$54</f>
        <v>67.8716341451183</v>
      </c>
      <c r="W192" s="8" t="n">
        <f aca="false">W189*'Unit Economics'!$F$54</f>
        <v>75.7304549408689</v>
      </c>
      <c r="X192" s="8" t="n">
        <f aca="false">X189*'Unit Economics'!$F$54</f>
        <v>76.2605681254549</v>
      </c>
      <c r="Y192" s="8" t="n">
        <f aca="false">Y189*'Unit Economics'!$F$54</f>
        <v>72.3271282958262</v>
      </c>
      <c r="Z192" s="8" t="n">
        <f aca="false">Z189*'Unit Economics'!$F$54</f>
        <v>76.6667559935758</v>
      </c>
      <c r="AA192" s="8" t="n">
        <f aca="false">AA189*'Unit Economics'!$F$54</f>
        <v>88.256965576134</v>
      </c>
      <c r="AB192" s="8" t="n">
        <f aca="false">AB189*'Unit Economics'!$F$54</f>
        <v>124.395870427835</v>
      </c>
      <c r="AC192" s="8" t="n">
        <f aca="false">AC189*'Unit Economics'!$F$54</f>
        <v>133.055736792235</v>
      </c>
      <c r="AD192" s="8" t="n">
        <f aca="false">AD189*'Unit Economics'!$F$54</f>
        <v>126.895748977779</v>
      </c>
      <c r="AE192" s="8" t="n">
        <f aca="false">AE189*'Unit Economics'!$F$54</f>
        <v>94.1058874419211</v>
      </c>
      <c r="AF192" s="8" t="n">
        <f aca="false">AF189*'Unit Economics'!$F$54</f>
        <v>107.698960072421</v>
      </c>
      <c r="AG192" s="8" t="n">
        <f aca="false">AG189*'Unit Economics'!$F$54</f>
        <v>116.476425318323</v>
      </c>
      <c r="AH192" s="8" t="n">
        <f aca="false">AH189*'Unit Economics'!$F$54</f>
        <v>108.54493540379</v>
      </c>
      <c r="AI192" s="8" t="n">
        <f aca="false">AI189*'Unit Economics'!$F$54</f>
        <v>117.685561543056</v>
      </c>
      <c r="AJ192" s="8" t="n">
        <f aca="false">AJ189*'Unit Economics'!$F$54</f>
        <v>115.15532196988</v>
      </c>
      <c r="AK192" s="8" t="n">
        <f aca="false">AK189*'Unit Economics'!$F$54</f>
        <v>106.124720404874</v>
      </c>
      <c r="AL192" s="8" t="n">
        <f aca="false">AL189*'Unit Economics'!$F$54</f>
        <v>109.30846201702</v>
      </c>
      <c r="AM192" s="45" t="n">
        <f aca="false">SUMIF($C$6:$AL$6,1,C192:AL192)</f>
        <v>199.538358266476</v>
      </c>
      <c r="AN192" s="45" t="n">
        <f aca="false">SUMIF($C$6:$AL$6,2,C192:AL192)</f>
        <v>810.621463215648</v>
      </c>
      <c r="AO192" s="45" t="n">
        <f aca="false">SUMIF($C$6:$AL$6,3,C192:AL192)</f>
        <v>1347.70459594527</v>
      </c>
      <c r="AP192" s="45" t="n">
        <f aca="false">SUM(C192:AL192)</f>
        <v>2357.86441742739</v>
      </c>
    </row>
    <row r="193" customFormat="false" ht="15" hidden="false" customHeight="false" outlineLevel="0" collapsed="false">
      <c r="A193" s="5" t="s">
        <v>576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</row>
    <row r="194" customFormat="false" ht="15" hidden="false" customHeight="false" outlineLevel="0" collapsed="false">
      <c r="A194" s="7" t="s">
        <v>755</v>
      </c>
      <c r="B194" s="9" t="s">
        <v>319</v>
      </c>
      <c r="C194" s="38" t="n">
        <f aca="false">IF(AND(Assumptions!$D$140=1,C$4&gt;=Assumptions!$D$141),1,0)</f>
        <v>0</v>
      </c>
      <c r="D194" s="38" t="n">
        <f aca="false">IF(AND(Assumptions!$D$140=1,D$4&gt;=Assumptions!$D$141),1,0)</f>
        <v>0</v>
      </c>
      <c r="E194" s="38" t="n">
        <f aca="false">IF(AND(Assumptions!$D$140=1,E$4&gt;=Assumptions!$D$141),1,0)</f>
        <v>0</v>
      </c>
      <c r="F194" s="38" t="n">
        <f aca="false">IF(AND(Assumptions!$D$140=1,F$4&gt;=Assumptions!$D$141),1,0)</f>
        <v>1</v>
      </c>
      <c r="G194" s="38" t="n">
        <f aca="false">IF(AND(Assumptions!$D$140=1,G$4&gt;=Assumptions!$D$141),1,0)</f>
        <v>1</v>
      </c>
      <c r="H194" s="38" t="n">
        <f aca="false">IF(AND(Assumptions!$D$140=1,H$4&gt;=Assumptions!$D$141),1,0)</f>
        <v>1</v>
      </c>
      <c r="I194" s="38" t="n">
        <f aca="false">IF(AND(Assumptions!$D$140=1,I$4&gt;=Assumptions!$D$141),1,0)</f>
        <v>1</v>
      </c>
      <c r="J194" s="38" t="n">
        <f aca="false">IF(AND(Assumptions!$D$140=1,J$4&gt;=Assumptions!$D$141),1,0)</f>
        <v>1</v>
      </c>
      <c r="K194" s="38" t="n">
        <f aca="false">IF(AND(Assumptions!$D$140=1,K$4&gt;=Assumptions!$D$141),1,0)</f>
        <v>1</v>
      </c>
      <c r="L194" s="38" t="n">
        <f aca="false">IF(AND(Assumptions!$D$140=1,L$4&gt;=Assumptions!$D$141),1,0)</f>
        <v>1</v>
      </c>
      <c r="M194" s="38" t="n">
        <f aca="false">IF(AND(Assumptions!$D$140=1,M$4&gt;=Assumptions!$D$141),1,0)</f>
        <v>1</v>
      </c>
      <c r="N194" s="38" t="n">
        <f aca="false">IF(AND(Assumptions!$D$140=1,N$4&gt;=Assumptions!$D$141),1,0)</f>
        <v>1</v>
      </c>
      <c r="O194" s="38" t="n">
        <f aca="false">IF(AND(Assumptions!$D$140=1,O$4&gt;=Assumptions!$D$141),1,0)</f>
        <v>1</v>
      </c>
      <c r="P194" s="38" t="n">
        <f aca="false">IF(AND(Assumptions!$D$140=1,P$4&gt;=Assumptions!$D$141),1,0)</f>
        <v>1</v>
      </c>
      <c r="Q194" s="38" t="n">
        <f aca="false">IF(AND(Assumptions!$D$140=1,Q$4&gt;=Assumptions!$D$141),1,0)</f>
        <v>1</v>
      </c>
      <c r="R194" s="38" t="n">
        <f aca="false">IF(AND(Assumptions!$D$140=1,R$4&gt;=Assumptions!$D$141),1,0)</f>
        <v>1</v>
      </c>
      <c r="S194" s="38" t="n">
        <f aca="false">IF(AND(Assumptions!$D$140=1,S$4&gt;=Assumptions!$D$141),1,0)</f>
        <v>1</v>
      </c>
      <c r="T194" s="38" t="n">
        <f aca="false">IF(AND(Assumptions!$D$140=1,T$4&gt;=Assumptions!$D$141),1,0)</f>
        <v>1</v>
      </c>
      <c r="U194" s="38" t="n">
        <f aca="false">IF(AND(Assumptions!$D$140=1,U$4&gt;=Assumptions!$D$141),1,0)</f>
        <v>1</v>
      </c>
      <c r="V194" s="38" t="n">
        <f aca="false">IF(AND(Assumptions!$D$140=1,V$4&gt;=Assumptions!$D$141),1,0)</f>
        <v>1</v>
      </c>
      <c r="W194" s="38" t="n">
        <f aca="false">IF(AND(Assumptions!$D$140=1,W$4&gt;=Assumptions!$D$141),1,0)</f>
        <v>1</v>
      </c>
      <c r="X194" s="38" t="n">
        <f aca="false">IF(AND(Assumptions!$D$140=1,X$4&gt;=Assumptions!$D$141),1,0)</f>
        <v>1</v>
      </c>
      <c r="Y194" s="38" t="n">
        <f aca="false">IF(AND(Assumptions!$D$140=1,Y$4&gt;=Assumptions!$D$141),1,0)</f>
        <v>1</v>
      </c>
      <c r="Z194" s="38" t="n">
        <f aca="false">IF(AND(Assumptions!$D$140=1,Z$4&gt;=Assumptions!$D$141),1,0)</f>
        <v>1</v>
      </c>
      <c r="AA194" s="38" t="n">
        <f aca="false">IF(AND(Assumptions!$D$140=1,AA$4&gt;=Assumptions!$D$141),1,0)</f>
        <v>1</v>
      </c>
      <c r="AB194" s="38" t="n">
        <f aca="false">IF(AND(Assumptions!$D$140=1,AB$4&gt;=Assumptions!$D$141),1,0)</f>
        <v>1</v>
      </c>
      <c r="AC194" s="38" t="n">
        <f aca="false">IF(AND(Assumptions!$D$140=1,AC$4&gt;=Assumptions!$D$141),1,0)</f>
        <v>1</v>
      </c>
      <c r="AD194" s="38" t="n">
        <f aca="false">IF(AND(Assumptions!$D$140=1,AD$4&gt;=Assumptions!$D$141),1,0)</f>
        <v>1</v>
      </c>
      <c r="AE194" s="38" t="n">
        <f aca="false">IF(AND(Assumptions!$D$140=1,AE$4&gt;=Assumptions!$D$141),1,0)</f>
        <v>1</v>
      </c>
      <c r="AF194" s="38" t="n">
        <f aca="false">IF(AND(Assumptions!$D$140=1,AF$4&gt;=Assumptions!$D$141),1,0)</f>
        <v>1</v>
      </c>
      <c r="AG194" s="38" t="n">
        <f aca="false">IF(AND(Assumptions!$D$140=1,AG$4&gt;=Assumptions!$D$141),1,0)</f>
        <v>1</v>
      </c>
      <c r="AH194" s="38" t="n">
        <f aca="false">IF(AND(Assumptions!$D$140=1,AH$4&gt;=Assumptions!$D$141),1,0)</f>
        <v>1</v>
      </c>
      <c r="AI194" s="38" t="n">
        <f aca="false">IF(AND(Assumptions!$D$140=1,AI$4&gt;=Assumptions!$D$141),1,0)</f>
        <v>1</v>
      </c>
      <c r="AJ194" s="38" t="n">
        <f aca="false">IF(AND(Assumptions!$D$140=1,AJ$4&gt;=Assumptions!$D$141),1,0)</f>
        <v>1</v>
      </c>
      <c r="AK194" s="38" t="n">
        <f aca="false">IF(AND(Assumptions!$D$140=1,AK$4&gt;=Assumptions!$D$141),1,0)</f>
        <v>1</v>
      </c>
      <c r="AL194" s="38" t="n">
        <f aca="false">IF(AND(Assumptions!$D$140=1,AL$4&gt;=Assumptions!$D$141),1,0)</f>
        <v>1</v>
      </c>
    </row>
    <row r="195" customFormat="false" ht="15" hidden="false" customHeight="false" outlineLevel="0" collapsed="false">
      <c r="A195" s="7" t="s">
        <v>770</v>
      </c>
      <c r="B195" s="9" t="s">
        <v>771</v>
      </c>
      <c r="C195" s="14" t="n">
        <f aca="false">IF(C194=0,0,0*Assumptions!$D$144)</f>
        <v>0</v>
      </c>
      <c r="D195" s="14" t="n">
        <f aca="false">IF(D194=0,0,C236*Assumptions!$D$144)</f>
        <v>0</v>
      </c>
      <c r="E195" s="14" t="n">
        <f aca="false">IF(E194=0,0,D236*Assumptions!$D$144)</f>
        <v>0</v>
      </c>
      <c r="F195" s="14" t="n">
        <f aca="false">IF(F194=0,0,E236*Assumptions!$D$144)</f>
        <v>12.2732990390625</v>
      </c>
      <c r="G195" s="14" t="n">
        <f aca="false">IF(G194=0,0,F236*Assumptions!$D$144)</f>
        <v>18.0215522474766</v>
      </c>
      <c r="H195" s="14" t="n">
        <f aca="false">IF(H194=0,0,G236*Assumptions!$D$144)</f>
        <v>22.8388346461836</v>
      </c>
      <c r="I195" s="14" t="n">
        <f aca="false">IF(I194=0,0,H236*Assumptions!$D$144)</f>
        <v>29.1934396550291</v>
      </c>
      <c r="J195" s="14" t="n">
        <f aca="false">IF(J194=0,0,I236*Assumptions!$D$144)</f>
        <v>36.8680668758496</v>
      </c>
      <c r="K195" s="14" t="n">
        <f aca="false">IF(K194=0,0,J236*Assumptions!$D$144)</f>
        <v>44.5733553273183</v>
      </c>
      <c r="L195" s="14" t="n">
        <f aca="false">IF(L194=0,0,K236*Assumptions!$D$144)</f>
        <v>53.646949503497</v>
      </c>
      <c r="M195" s="14" t="n">
        <f aca="false">IF(M194=0,0,L236*Assumptions!$D$144)</f>
        <v>63.1976685868153</v>
      </c>
      <c r="N195" s="14" t="n">
        <f aca="false">IF(N194=0,0,M236*Assumptions!$D$144)</f>
        <v>72.580460495291</v>
      </c>
      <c r="O195" s="14" t="n">
        <f aca="false">IF(O194=0,0,N236*Assumptions!$D$144)</f>
        <v>83.0119621337557</v>
      </c>
      <c r="P195" s="14" t="n">
        <f aca="false">IF(P194=0,0,O236*Assumptions!$D$144)</f>
        <v>95.3583588591621</v>
      </c>
      <c r="Q195" s="14" t="n">
        <f aca="false">IF(Q194=0,0,P236*Assumptions!$D$144)</f>
        <v>113.562464758817</v>
      </c>
      <c r="R195" s="14" t="n">
        <f aca="false">IF(R194=0,0,Q236*Assumptions!$D$144)</f>
        <v>133.385084063007</v>
      </c>
      <c r="S195" s="14" t="n">
        <f aca="false">IF(S194=0,0,R236*Assumptions!$D$144)</f>
        <v>152.427896337481</v>
      </c>
      <c r="T195" s="14" t="n">
        <f aca="false">IF(T194=0,0,S236*Assumptions!$D$144)</f>
        <v>166.139104287474</v>
      </c>
      <c r="U195" s="14" t="n">
        <f aca="false">IF(U194=0,0,T236*Assumptions!$D$144)</f>
        <v>182.415975840327</v>
      </c>
      <c r="V195" s="14" t="n">
        <f aca="false">IF(V194=0,0,U236*Assumptions!$D$144)</f>
        <v>200.490123761101</v>
      </c>
      <c r="W195" s="14" t="n">
        <f aca="false">IF(W194=0,0,V236*Assumptions!$D$144)</f>
        <v>217.366071998921</v>
      </c>
      <c r="X195" s="14" t="n">
        <f aca="false">IF(X194=0,0,W236*Assumptions!$D$144)</f>
        <v>236.209121972034</v>
      </c>
      <c r="Y195" s="14" t="n">
        <f aca="false">IF(Y194=0,0,X236*Assumptions!$D$144)</f>
        <v>254.843106095405</v>
      </c>
      <c r="Z195" s="14" t="n">
        <f aca="false">IF(Z194=0,0,Y236*Assumptions!$D$144)</f>
        <v>271.978111206293</v>
      </c>
      <c r="AA195" s="14" t="n">
        <f aca="false">IF(AA194=0,0,Z236*Assumptions!$D$144)</f>
        <v>290.034834555734</v>
      </c>
      <c r="AB195" s="14" t="n">
        <f aca="false">IF(AB194=0,0,AA236*Assumptions!$D$144)</f>
        <v>311.112266924556</v>
      </c>
      <c r="AC195" s="14" t="n">
        <f aca="false">IF(AC194=0,0,AB236*Assumptions!$D$144)</f>
        <v>342.208928432068</v>
      </c>
      <c r="AD195" s="14" t="n">
        <f aca="false">IF(AD194=0,0,AC236*Assumptions!$D$144)</f>
        <v>375.247589050365</v>
      </c>
      <c r="AE195" s="14" t="n">
        <f aca="false">IF(AE194=0,0,AD236*Assumptions!$D$144)</f>
        <v>405.946739808332</v>
      </c>
      <c r="AF195" s="14" t="n">
        <f aca="false">IF(AF194=0,0,AE236*Assumptions!$D$144)</f>
        <v>426.741941952379</v>
      </c>
      <c r="AG195" s="14" t="n">
        <f aca="false">IF(AG194=0,0,AF236*Assumptions!$D$144)</f>
        <v>451.04466546092</v>
      </c>
      <c r="AH195" s="14" t="n">
        <f aca="false">IF(AH194=0,0,AG236*Assumptions!$D$144)</f>
        <v>477.416825229224</v>
      </c>
      <c r="AI195" s="14" t="n">
        <f aca="false">IF(AI194=0,0,AH236*Assumptions!$D$144)</f>
        <v>501.07376287574</v>
      </c>
      <c r="AJ195" s="14" t="n">
        <f aca="false">IF(AJ194=0,0,AI236*Assumptions!$D$144)</f>
        <v>526.903300833519</v>
      </c>
      <c r="AK195" s="14" t="n">
        <f aca="false">IF(AK194=0,0,AJ236*Assumptions!$D$144)</f>
        <v>551.562803351582</v>
      </c>
      <c r="AL195" s="14" t="n">
        <f aca="false">IF(AL194=0,0,AK236*Assumptions!$D$144)</f>
        <v>573.23886019828</v>
      </c>
    </row>
    <row r="196" customFormat="false" ht="15" hidden="false" customHeight="false" outlineLevel="0" collapsed="false">
      <c r="A196" s="7" t="s">
        <v>772</v>
      </c>
      <c r="B196" s="9" t="s">
        <v>327</v>
      </c>
      <c r="C196" s="52" t="n">
        <f aca="false">C195*C$7</f>
        <v>0</v>
      </c>
      <c r="D196" s="52" t="n">
        <f aca="false">D195*D$7</f>
        <v>0</v>
      </c>
      <c r="E196" s="52" t="n">
        <f aca="false">E195*E$7</f>
        <v>0</v>
      </c>
      <c r="F196" s="52" t="n">
        <f aca="false">F195*F$7</f>
        <v>15.3416237988281</v>
      </c>
      <c r="G196" s="52" t="n">
        <f aca="false">G195*G$7</f>
        <v>16.2193970227289</v>
      </c>
      <c r="H196" s="52" t="n">
        <f aca="false">H195*H$7</f>
        <v>22.8388346461836</v>
      </c>
      <c r="I196" s="52" t="n">
        <f aca="false">I195*I$7</f>
        <v>30.6531116377806</v>
      </c>
      <c r="J196" s="52" t="n">
        <f aca="false">J195*J$7</f>
        <v>35.0246635320572</v>
      </c>
      <c r="K196" s="52" t="n">
        <f aca="false">K195*K$7</f>
        <v>44.5733553273183</v>
      </c>
      <c r="L196" s="52" t="n">
        <f aca="false">L195*L$7</f>
        <v>50.9646020283221</v>
      </c>
      <c r="M196" s="52" t="n">
        <f aca="false">M195*M$7</f>
        <v>53.718018298793</v>
      </c>
      <c r="N196" s="52" t="n">
        <f aca="false">N195*N$7</f>
        <v>61.6933914209973</v>
      </c>
      <c r="O196" s="52" t="n">
        <f aca="false">O195*O$7</f>
        <v>78.861364027068</v>
      </c>
      <c r="P196" s="52" t="n">
        <f aca="false">P195*P$7</f>
        <v>123.965866516911</v>
      </c>
      <c r="Q196" s="52" t="n">
        <f aca="false">Q195*Q$7</f>
        <v>153.309327424403</v>
      </c>
      <c r="R196" s="52" t="n">
        <f aca="false">R195*R$7</f>
        <v>166.731355078758</v>
      </c>
      <c r="S196" s="52" t="n">
        <f aca="false">S195*S$7</f>
        <v>137.185106703733</v>
      </c>
      <c r="T196" s="52" t="n">
        <f aca="false">T195*T$7</f>
        <v>166.139104287474</v>
      </c>
      <c r="U196" s="52" t="n">
        <f aca="false">U195*U$7</f>
        <v>191.536774632343</v>
      </c>
      <c r="V196" s="52" t="n">
        <f aca="false">V195*V$7</f>
        <v>190.465617573046</v>
      </c>
      <c r="W196" s="52" t="n">
        <f aca="false">W195*W$7</f>
        <v>217.366071998921</v>
      </c>
      <c r="X196" s="52" t="n">
        <f aca="false">X195*X$7</f>
        <v>224.398665873432</v>
      </c>
      <c r="Y196" s="52" t="n">
        <f aca="false">Y195*Y$7</f>
        <v>216.616640181094</v>
      </c>
      <c r="Z196" s="52" t="n">
        <f aca="false">Z195*Z$7</f>
        <v>231.181394525349</v>
      </c>
      <c r="AA196" s="52" t="n">
        <f aca="false">AA195*AA$7</f>
        <v>275.533092827947</v>
      </c>
      <c r="AB196" s="52" t="n">
        <f aca="false">AB195*AB$7</f>
        <v>404.445947001923</v>
      </c>
      <c r="AC196" s="52" t="n">
        <f aca="false">AC195*AC$7</f>
        <v>461.982053383292</v>
      </c>
      <c r="AD196" s="52" t="n">
        <f aca="false">AD195*AD$7</f>
        <v>469.059486312956</v>
      </c>
      <c r="AE196" s="52" t="n">
        <f aca="false">AE195*AE$7</f>
        <v>365.352065827499</v>
      </c>
      <c r="AF196" s="52" t="n">
        <f aca="false">AF195*AF$7</f>
        <v>426.741941952379</v>
      </c>
      <c r="AG196" s="52" t="n">
        <f aca="false">AG195*AG$7</f>
        <v>473.596898733966</v>
      </c>
      <c r="AH196" s="52" t="n">
        <f aca="false">AH195*AH$7</f>
        <v>453.545983967763</v>
      </c>
      <c r="AI196" s="52" t="n">
        <f aca="false">AI195*AI$7</f>
        <v>501.07376287574</v>
      </c>
      <c r="AJ196" s="52" t="n">
        <f aca="false">AJ195*AJ$7</f>
        <v>500.558135791843</v>
      </c>
      <c r="AK196" s="52" t="n">
        <f aca="false">AK195*AK$7</f>
        <v>468.828382848845</v>
      </c>
      <c r="AL196" s="52" t="n">
        <f aca="false">AL195*AL$7</f>
        <v>487.253031168538</v>
      </c>
      <c r="AM196" s="53" t="n">
        <f aca="false">SUMIF($C$6:$AL$6,1,C196:AL196)</f>
        <v>331.026997713009</v>
      </c>
      <c r="AN196" s="53" t="n">
        <f aca="false">SUMIF($C$6:$AL$6,2,C196:AL196)</f>
        <v>2097.75728882253</v>
      </c>
      <c r="AO196" s="53" t="n">
        <f aca="false">SUMIF($C$6:$AL$6,3,C196:AL196)</f>
        <v>5287.97078269269</v>
      </c>
      <c r="AP196" s="53" t="n">
        <f aca="false">SUM(C196:AL196)</f>
        <v>7716.75506922823</v>
      </c>
    </row>
    <row r="197" customFormat="false" ht="15" hidden="false" customHeight="false" outlineLevel="0" collapsed="false">
      <c r="A197" s="7" t="s">
        <v>758</v>
      </c>
      <c r="B197" s="9" t="s">
        <v>96</v>
      </c>
      <c r="C197" s="54" t="n">
        <f aca="false">Assumptions!$D$142*MIN(1,(C$4-Assumptions!$D$141+1)/Assumptions!$C$10)*C194</f>
        <v>-0</v>
      </c>
      <c r="D197" s="54" t="n">
        <f aca="false">Assumptions!$D$142*MIN(1,(D$4-Assumptions!$D$141+1)/Assumptions!$C$10)*D194</f>
        <v>-0</v>
      </c>
      <c r="E197" s="54" t="n">
        <f aca="false">Assumptions!$D$142*MIN(1,(E$4-Assumptions!$D$141+1)/Assumptions!$C$10)*E194</f>
        <v>0</v>
      </c>
      <c r="F197" s="54" t="n">
        <f aca="false">Assumptions!$D$142*MIN(1,(F$4-Assumptions!$D$141+1)/Assumptions!$C$10)*F194</f>
        <v>0.0025</v>
      </c>
      <c r="G197" s="54" t="n">
        <f aca="false">Assumptions!$D$142*MIN(1,(G$4-Assumptions!$D$141+1)/Assumptions!$C$10)*G194</f>
        <v>0.005</v>
      </c>
      <c r="H197" s="54" t="n">
        <f aca="false">Assumptions!$D$142*MIN(1,(H$4-Assumptions!$D$141+1)/Assumptions!$C$10)*H194</f>
        <v>0.0075</v>
      </c>
      <c r="I197" s="54" t="n">
        <f aca="false">Assumptions!$D$142*MIN(1,(I$4-Assumptions!$D$141+1)/Assumptions!$C$10)*I194</f>
        <v>0.01</v>
      </c>
      <c r="J197" s="54" t="n">
        <f aca="false">Assumptions!$D$142*MIN(1,(J$4-Assumptions!$D$141+1)/Assumptions!$C$10)*J194</f>
        <v>0.0125</v>
      </c>
      <c r="K197" s="54" t="n">
        <f aca="false">Assumptions!$D$142*MIN(1,(K$4-Assumptions!$D$141+1)/Assumptions!$C$10)*K194</f>
        <v>0.015</v>
      </c>
      <c r="L197" s="54" t="n">
        <f aca="false">Assumptions!$D$142*MIN(1,(L$4-Assumptions!$D$141+1)/Assumptions!$C$10)*L194</f>
        <v>0.015</v>
      </c>
      <c r="M197" s="54" t="n">
        <f aca="false">Assumptions!$D$142*MIN(1,(M$4-Assumptions!$D$141+1)/Assumptions!$C$10)*M194</f>
        <v>0.015</v>
      </c>
      <c r="N197" s="54" t="n">
        <f aca="false">Assumptions!$D$142*MIN(1,(N$4-Assumptions!$D$141+1)/Assumptions!$C$10)*N194</f>
        <v>0.015</v>
      </c>
      <c r="O197" s="54" t="n">
        <f aca="false">Assumptions!$D$142*MIN(1,(O$4-Assumptions!$D$141+1)/Assumptions!$C$10)*O194</f>
        <v>0.015</v>
      </c>
      <c r="P197" s="54" t="n">
        <f aca="false">Assumptions!$D$142*MIN(1,(P$4-Assumptions!$D$141+1)/Assumptions!$C$10)*P194</f>
        <v>0.015</v>
      </c>
      <c r="Q197" s="54" t="n">
        <f aca="false">Assumptions!$D$142*MIN(1,(Q$4-Assumptions!$D$141+1)/Assumptions!$C$10)*Q194</f>
        <v>0.015</v>
      </c>
      <c r="R197" s="54" t="n">
        <f aca="false">Assumptions!$D$142*MIN(1,(R$4-Assumptions!$D$141+1)/Assumptions!$C$10)*R194</f>
        <v>0.015</v>
      </c>
      <c r="S197" s="54" t="n">
        <f aca="false">Assumptions!$D$142*MIN(1,(S$4-Assumptions!$D$141+1)/Assumptions!$C$10)*S194</f>
        <v>0.015</v>
      </c>
      <c r="T197" s="54" t="n">
        <f aca="false">Assumptions!$D$142*MIN(1,(T$4-Assumptions!$D$141+1)/Assumptions!$C$10)*T194</f>
        <v>0.015</v>
      </c>
      <c r="U197" s="54" t="n">
        <f aca="false">Assumptions!$D$142*MIN(1,(U$4-Assumptions!$D$141+1)/Assumptions!$C$10)*U194</f>
        <v>0.015</v>
      </c>
      <c r="V197" s="54" t="n">
        <f aca="false">Assumptions!$D$142*MIN(1,(V$4-Assumptions!$D$141+1)/Assumptions!$C$10)*V194</f>
        <v>0.015</v>
      </c>
      <c r="W197" s="54" t="n">
        <f aca="false">Assumptions!$D$142*MIN(1,(W$4-Assumptions!$D$141+1)/Assumptions!$C$10)*W194</f>
        <v>0.015</v>
      </c>
      <c r="X197" s="54" t="n">
        <f aca="false">Assumptions!$D$142*MIN(1,(X$4-Assumptions!$D$141+1)/Assumptions!$C$10)*X194</f>
        <v>0.015</v>
      </c>
      <c r="Y197" s="54" t="n">
        <f aca="false">Assumptions!$D$142*MIN(1,(Y$4-Assumptions!$D$141+1)/Assumptions!$C$10)*Y194</f>
        <v>0.015</v>
      </c>
      <c r="Z197" s="54" t="n">
        <f aca="false">Assumptions!$D$142*MIN(1,(Z$4-Assumptions!$D$141+1)/Assumptions!$C$10)*Z194</f>
        <v>0.015</v>
      </c>
      <c r="AA197" s="54" t="n">
        <f aca="false">Assumptions!$D$142*MIN(1,(AA$4-Assumptions!$D$141+1)/Assumptions!$C$10)*AA194</f>
        <v>0.015</v>
      </c>
      <c r="AB197" s="54" t="n">
        <f aca="false">Assumptions!$D$142*MIN(1,(AB$4-Assumptions!$D$141+1)/Assumptions!$C$10)*AB194</f>
        <v>0.015</v>
      </c>
      <c r="AC197" s="54" t="n">
        <f aca="false">Assumptions!$D$142*MIN(1,(AC$4-Assumptions!$D$141+1)/Assumptions!$C$10)*AC194</f>
        <v>0.015</v>
      </c>
      <c r="AD197" s="54" t="n">
        <f aca="false">Assumptions!$D$142*MIN(1,(AD$4-Assumptions!$D$141+1)/Assumptions!$C$10)*AD194</f>
        <v>0.015</v>
      </c>
      <c r="AE197" s="54" t="n">
        <f aca="false">Assumptions!$D$142*MIN(1,(AE$4-Assumptions!$D$141+1)/Assumptions!$C$10)*AE194</f>
        <v>0.015</v>
      </c>
      <c r="AF197" s="54" t="n">
        <f aca="false">Assumptions!$D$142*MIN(1,(AF$4-Assumptions!$D$141+1)/Assumptions!$C$10)*AF194</f>
        <v>0.015</v>
      </c>
      <c r="AG197" s="54" t="n">
        <f aca="false">Assumptions!$D$142*MIN(1,(AG$4-Assumptions!$D$141+1)/Assumptions!$C$10)*AG194</f>
        <v>0.015</v>
      </c>
      <c r="AH197" s="54" t="n">
        <f aca="false">Assumptions!$D$142*MIN(1,(AH$4-Assumptions!$D$141+1)/Assumptions!$C$10)*AH194</f>
        <v>0.015</v>
      </c>
      <c r="AI197" s="54" t="n">
        <f aca="false">Assumptions!$D$142*MIN(1,(AI$4-Assumptions!$D$141+1)/Assumptions!$C$10)*AI194</f>
        <v>0.015</v>
      </c>
      <c r="AJ197" s="54" t="n">
        <f aca="false">Assumptions!$D$142*MIN(1,(AJ$4-Assumptions!$D$141+1)/Assumptions!$C$10)*AJ194</f>
        <v>0.015</v>
      </c>
      <c r="AK197" s="54" t="n">
        <f aca="false">Assumptions!$D$142*MIN(1,(AK$4-Assumptions!$D$141+1)/Assumptions!$C$10)*AK194</f>
        <v>0.015</v>
      </c>
      <c r="AL197" s="54" t="n">
        <f aca="false">Assumptions!$D$142*MIN(1,(AL$4-Assumptions!$D$141+1)/Assumptions!$C$10)*AL194</f>
        <v>0.015</v>
      </c>
    </row>
    <row r="198" customFormat="false" ht="15" hidden="false" customHeight="false" outlineLevel="0" collapsed="false">
      <c r="A198" s="7" t="s">
        <v>766</v>
      </c>
      <c r="B198" s="9" t="s">
        <v>760</v>
      </c>
      <c r="C198" s="55" t="n">
        <f aca="false">C196*C197</f>
        <v>-0</v>
      </c>
      <c r="D198" s="55" t="n">
        <f aca="false">D196*D197</f>
        <v>-0</v>
      </c>
      <c r="E198" s="55" t="n">
        <f aca="false">E196*E197</f>
        <v>0</v>
      </c>
      <c r="F198" s="55" t="n">
        <f aca="false">F196*F197</f>
        <v>0.0383540594970703</v>
      </c>
      <c r="G198" s="55" t="n">
        <f aca="false">G196*G197</f>
        <v>0.0810969851136445</v>
      </c>
      <c r="H198" s="55" t="n">
        <f aca="false">H196*H197</f>
        <v>0.171291259846377</v>
      </c>
      <c r="I198" s="55" t="n">
        <f aca="false">I196*I197</f>
        <v>0.306531116377806</v>
      </c>
      <c r="J198" s="55" t="n">
        <f aca="false">J196*J197</f>
        <v>0.437808294150714</v>
      </c>
      <c r="K198" s="55" t="n">
        <f aca="false">K196*K197</f>
        <v>0.668600329909775</v>
      </c>
      <c r="L198" s="55" t="n">
        <f aca="false">L196*L197</f>
        <v>0.764469030424832</v>
      </c>
      <c r="M198" s="55" t="n">
        <f aca="false">M196*M197</f>
        <v>0.805770274481894</v>
      </c>
      <c r="N198" s="55" t="n">
        <f aca="false">N196*N197</f>
        <v>0.92540087131496</v>
      </c>
      <c r="O198" s="55" t="n">
        <f aca="false">O196*O197</f>
        <v>1.18292046040602</v>
      </c>
      <c r="P198" s="55" t="n">
        <f aca="false">P196*P197</f>
        <v>1.85948799775366</v>
      </c>
      <c r="Q198" s="55" t="n">
        <f aca="false">Q196*Q197</f>
        <v>2.29963991136605</v>
      </c>
      <c r="R198" s="55" t="n">
        <f aca="false">R196*R197</f>
        <v>2.50097032618138</v>
      </c>
      <c r="S198" s="55" t="n">
        <f aca="false">S196*S197</f>
        <v>2.05777660055599</v>
      </c>
      <c r="T198" s="55" t="n">
        <f aca="false">T196*T197</f>
        <v>2.49208656431211</v>
      </c>
      <c r="U198" s="55" t="n">
        <f aca="false">U196*U197</f>
        <v>2.87305161948514</v>
      </c>
      <c r="V198" s="55" t="n">
        <f aca="false">V196*V197</f>
        <v>2.85698426359569</v>
      </c>
      <c r="W198" s="55" t="n">
        <f aca="false">W196*W197</f>
        <v>3.26049107998382</v>
      </c>
      <c r="X198" s="55" t="n">
        <f aca="false">X196*X197</f>
        <v>3.36597998810149</v>
      </c>
      <c r="Y198" s="55" t="n">
        <f aca="false">Y196*Y197</f>
        <v>3.24924960271641</v>
      </c>
      <c r="Z198" s="55" t="n">
        <f aca="false">Z196*Z197</f>
        <v>3.46772091788024</v>
      </c>
      <c r="AA198" s="55" t="n">
        <f aca="false">AA196*AA197</f>
        <v>4.1329963924192</v>
      </c>
      <c r="AB198" s="55" t="n">
        <f aca="false">AB196*AB197</f>
        <v>6.06668920502885</v>
      </c>
      <c r="AC198" s="55" t="n">
        <f aca="false">AC196*AC197</f>
        <v>6.92973080074938</v>
      </c>
      <c r="AD198" s="55" t="n">
        <f aca="false">AD196*AD197</f>
        <v>7.03589229469434</v>
      </c>
      <c r="AE198" s="55" t="n">
        <f aca="false">AE196*AE197</f>
        <v>5.48028098741248</v>
      </c>
      <c r="AF198" s="55" t="n">
        <f aca="false">AF196*AF197</f>
        <v>6.40112912928569</v>
      </c>
      <c r="AG198" s="55" t="n">
        <f aca="false">AG196*AG197</f>
        <v>7.1039534810095</v>
      </c>
      <c r="AH198" s="55" t="n">
        <f aca="false">AH196*AH197</f>
        <v>6.80318975951645</v>
      </c>
      <c r="AI198" s="55" t="n">
        <f aca="false">AI196*AI197</f>
        <v>7.51610644313609</v>
      </c>
      <c r="AJ198" s="55" t="n">
        <f aca="false">AJ196*AJ197</f>
        <v>7.50837203687764</v>
      </c>
      <c r="AK198" s="55" t="n">
        <f aca="false">AK196*AK197</f>
        <v>7.03242574273267</v>
      </c>
      <c r="AL198" s="55" t="n">
        <f aca="false">AL196*AL197</f>
        <v>7.30879546752807</v>
      </c>
      <c r="AM198" s="53" t="n">
        <f aca="false">SUMIF($C$6:$AL$6,1,C198:AL198)</f>
        <v>4.19932222111707</v>
      </c>
      <c r="AN198" s="53" t="n">
        <f aca="false">SUMIF($C$6:$AL$6,2,C198:AL198)</f>
        <v>31.466359332338</v>
      </c>
      <c r="AO198" s="53" t="n">
        <f aca="false">SUMIF($C$6:$AL$6,3,C198:AL198)</f>
        <v>79.3195617403904</v>
      </c>
      <c r="AP198" s="53" t="n">
        <f aca="false">SUM(C198:AL198)</f>
        <v>114.985243293845</v>
      </c>
    </row>
    <row r="199" customFormat="false" ht="15" hidden="false" customHeight="false" outlineLevel="0" collapsed="false">
      <c r="A199" s="7" t="s">
        <v>761</v>
      </c>
      <c r="B199" s="9" t="s">
        <v>342</v>
      </c>
      <c r="C199" s="56" t="n">
        <f aca="false">C198*Assumptions!$D$143</f>
        <v>-0</v>
      </c>
      <c r="D199" s="56" t="n">
        <f aca="false">D198*Assumptions!$D$143</f>
        <v>-0</v>
      </c>
      <c r="E199" s="56" t="n">
        <f aca="false">E198*Assumptions!$D$143</f>
        <v>0</v>
      </c>
      <c r="F199" s="56" t="n">
        <f aca="false">F198*Assumptions!$D$143</f>
        <v>0.0383540594970703</v>
      </c>
      <c r="G199" s="56" t="n">
        <f aca="false">G198*Assumptions!$D$143</f>
        <v>0.0810969851136445</v>
      </c>
      <c r="H199" s="56" t="n">
        <f aca="false">H198*Assumptions!$D$143</f>
        <v>0.171291259846377</v>
      </c>
      <c r="I199" s="56" t="n">
        <f aca="false">I198*Assumptions!$D$143</f>
        <v>0.306531116377806</v>
      </c>
      <c r="J199" s="56" t="n">
        <f aca="false">J198*Assumptions!$D$143</f>
        <v>0.437808294150714</v>
      </c>
      <c r="K199" s="56" t="n">
        <f aca="false">K198*Assumptions!$D$143</f>
        <v>0.668600329909775</v>
      </c>
      <c r="L199" s="56" t="n">
        <f aca="false">L198*Assumptions!$D$143</f>
        <v>0.764469030424832</v>
      </c>
      <c r="M199" s="56" t="n">
        <f aca="false">M198*Assumptions!$D$143</f>
        <v>0.805770274481894</v>
      </c>
      <c r="N199" s="56" t="n">
        <f aca="false">N198*Assumptions!$D$143</f>
        <v>0.92540087131496</v>
      </c>
      <c r="O199" s="56" t="n">
        <f aca="false">O198*Assumptions!$D$143</f>
        <v>1.18292046040602</v>
      </c>
      <c r="P199" s="56" t="n">
        <f aca="false">P198*Assumptions!$D$143</f>
        <v>1.85948799775366</v>
      </c>
      <c r="Q199" s="56" t="n">
        <f aca="false">Q198*Assumptions!$D$143</f>
        <v>2.29963991136605</v>
      </c>
      <c r="R199" s="56" t="n">
        <f aca="false">R198*Assumptions!$D$143</f>
        <v>2.50097032618138</v>
      </c>
      <c r="S199" s="56" t="n">
        <f aca="false">S198*Assumptions!$D$143</f>
        <v>2.05777660055599</v>
      </c>
      <c r="T199" s="56" t="n">
        <f aca="false">T198*Assumptions!$D$143</f>
        <v>2.49208656431211</v>
      </c>
      <c r="U199" s="56" t="n">
        <f aca="false">U198*Assumptions!$D$143</f>
        <v>2.87305161948514</v>
      </c>
      <c r="V199" s="56" t="n">
        <f aca="false">V198*Assumptions!$D$143</f>
        <v>2.85698426359569</v>
      </c>
      <c r="W199" s="56" t="n">
        <f aca="false">W198*Assumptions!$D$143</f>
        <v>3.26049107998382</v>
      </c>
      <c r="X199" s="56" t="n">
        <f aca="false">X198*Assumptions!$D$143</f>
        <v>3.36597998810149</v>
      </c>
      <c r="Y199" s="56" t="n">
        <f aca="false">Y198*Assumptions!$D$143</f>
        <v>3.24924960271641</v>
      </c>
      <c r="Z199" s="56" t="n">
        <f aca="false">Z198*Assumptions!$D$143</f>
        <v>3.46772091788024</v>
      </c>
      <c r="AA199" s="56" t="n">
        <f aca="false">AA198*Assumptions!$D$143</f>
        <v>4.1329963924192</v>
      </c>
      <c r="AB199" s="56" t="n">
        <f aca="false">AB198*Assumptions!$D$143</f>
        <v>6.06668920502885</v>
      </c>
      <c r="AC199" s="56" t="n">
        <f aca="false">AC198*Assumptions!$D$143</f>
        <v>6.92973080074938</v>
      </c>
      <c r="AD199" s="56" t="n">
        <f aca="false">AD198*Assumptions!$D$143</f>
        <v>7.03589229469434</v>
      </c>
      <c r="AE199" s="56" t="n">
        <f aca="false">AE198*Assumptions!$D$143</f>
        <v>5.48028098741248</v>
      </c>
      <c r="AF199" s="56" t="n">
        <f aca="false">AF198*Assumptions!$D$143</f>
        <v>6.40112912928569</v>
      </c>
      <c r="AG199" s="56" t="n">
        <f aca="false">AG198*Assumptions!$D$143</f>
        <v>7.1039534810095</v>
      </c>
      <c r="AH199" s="56" t="n">
        <f aca="false">AH198*Assumptions!$D$143</f>
        <v>6.80318975951645</v>
      </c>
      <c r="AI199" s="56" t="n">
        <f aca="false">AI198*Assumptions!$D$143</f>
        <v>7.51610644313609</v>
      </c>
      <c r="AJ199" s="56" t="n">
        <f aca="false">AJ198*Assumptions!$D$143</f>
        <v>7.50837203687764</v>
      </c>
      <c r="AK199" s="56" t="n">
        <f aca="false">AK198*Assumptions!$D$143</f>
        <v>7.03242574273267</v>
      </c>
      <c r="AL199" s="56" t="n">
        <f aca="false">AL198*Assumptions!$D$143</f>
        <v>7.30879546752807</v>
      </c>
      <c r="AM199" s="53" t="n">
        <f aca="false">SUMIF($C$6:$AL$6,1,C199:AL199)</f>
        <v>4.19932222111707</v>
      </c>
      <c r="AN199" s="53" t="n">
        <f aca="false">SUMIF($C$6:$AL$6,2,C199:AL199)</f>
        <v>31.466359332338</v>
      </c>
      <c r="AO199" s="53" t="n">
        <f aca="false">SUMIF($C$6:$AL$6,3,C199:AL199)</f>
        <v>79.3195617403904</v>
      </c>
      <c r="AP199" s="53" t="n">
        <f aca="false">SUM(C199:AL199)</f>
        <v>114.985243293845</v>
      </c>
    </row>
    <row r="200" customFormat="false" ht="15" hidden="false" customHeight="false" outlineLevel="0" collapsed="false">
      <c r="A200" s="7" t="s">
        <v>762</v>
      </c>
      <c r="B200" s="9" t="s">
        <v>101</v>
      </c>
      <c r="C200" s="15" t="n">
        <f aca="false">'Unit Economics'!$E$55*Assumptions!$D$143*C194</f>
        <v>0</v>
      </c>
      <c r="D200" s="15" t="n">
        <f aca="false">'Unit Economics'!$E$55*Assumptions!$D$143*D194</f>
        <v>0</v>
      </c>
      <c r="E200" s="15" t="n">
        <f aca="false">'Unit Economics'!$E$55*Assumptions!$D$143*E194</f>
        <v>0</v>
      </c>
      <c r="F200" s="15" t="n">
        <f aca="false">'Unit Economics'!$E$55*Assumptions!$D$143*F194</f>
        <v>33.6</v>
      </c>
      <c r="G200" s="15" t="n">
        <f aca="false">'Unit Economics'!$E$55*Assumptions!$D$143*G194</f>
        <v>33.6</v>
      </c>
      <c r="H200" s="15" t="n">
        <f aca="false">'Unit Economics'!$E$55*Assumptions!$D$143*H194</f>
        <v>33.6</v>
      </c>
      <c r="I200" s="15" t="n">
        <f aca="false">'Unit Economics'!$E$55*Assumptions!$D$143*I194</f>
        <v>33.6</v>
      </c>
      <c r="J200" s="15" t="n">
        <f aca="false">'Unit Economics'!$E$55*Assumptions!$D$143*J194</f>
        <v>33.6</v>
      </c>
      <c r="K200" s="15" t="n">
        <f aca="false">'Unit Economics'!$E$55*Assumptions!$D$143*K194</f>
        <v>33.6</v>
      </c>
      <c r="L200" s="15" t="n">
        <f aca="false">'Unit Economics'!$E$55*Assumptions!$D$143*L194</f>
        <v>33.6</v>
      </c>
      <c r="M200" s="15" t="n">
        <f aca="false">'Unit Economics'!$E$55*Assumptions!$D$143*M194</f>
        <v>33.6</v>
      </c>
      <c r="N200" s="15" t="n">
        <f aca="false">'Unit Economics'!$E$55*Assumptions!$D$143*N194</f>
        <v>33.6</v>
      </c>
      <c r="O200" s="15" t="n">
        <f aca="false">'Unit Economics'!$E$55*Assumptions!$D$143*O194</f>
        <v>33.6</v>
      </c>
      <c r="P200" s="15" t="n">
        <f aca="false">'Unit Economics'!$E$55*Assumptions!$D$143*P194</f>
        <v>33.6</v>
      </c>
      <c r="Q200" s="15" t="n">
        <f aca="false">'Unit Economics'!$E$55*Assumptions!$D$143*Q194</f>
        <v>33.6</v>
      </c>
      <c r="R200" s="15" t="n">
        <f aca="false">'Unit Economics'!$E$55*Assumptions!$D$143*R194</f>
        <v>33.6</v>
      </c>
      <c r="S200" s="15" t="n">
        <f aca="false">'Unit Economics'!$E$55*Assumptions!$D$143*S194</f>
        <v>33.6</v>
      </c>
      <c r="T200" s="15" t="n">
        <f aca="false">'Unit Economics'!$E$55*Assumptions!$D$143*T194</f>
        <v>33.6</v>
      </c>
      <c r="U200" s="15" t="n">
        <f aca="false">'Unit Economics'!$E$55*Assumptions!$D$143*U194</f>
        <v>33.6</v>
      </c>
      <c r="V200" s="15" t="n">
        <f aca="false">'Unit Economics'!$E$55*Assumptions!$D$143*V194</f>
        <v>33.6</v>
      </c>
      <c r="W200" s="15" t="n">
        <f aca="false">'Unit Economics'!$E$55*Assumptions!$D$143*W194</f>
        <v>33.6</v>
      </c>
      <c r="X200" s="15" t="n">
        <f aca="false">'Unit Economics'!$E$55*Assumptions!$D$143*X194</f>
        <v>33.6</v>
      </c>
      <c r="Y200" s="15" t="n">
        <f aca="false">'Unit Economics'!$E$55*Assumptions!$D$143*Y194</f>
        <v>33.6</v>
      </c>
      <c r="Z200" s="15" t="n">
        <f aca="false">'Unit Economics'!$E$55*Assumptions!$D$143*Z194</f>
        <v>33.6</v>
      </c>
      <c r="AA200" s="15" t="n">
        <f aca="false">'Unit Economics'!$E$55*Assumptions!$D$143*AA194</f>
        <v>33.6</v>
      </c>
      <c r="AB200" s="15" t="n">
        <f aca="false">'Unit Economics'!$E$55*Assumptions!$D$143*AB194</f>
        <v>33.6</v>
      </c>
      <c r="AC200" s="15" t="n">
        <f aca="false">'Unit Economics'!$E$55*Assumptions!$D$143*AC194</f>
        <v>33.6</v>
      </c>
      <c r="AD200" s="15" t="n">
        <f aca="false">'Unit Economics'!$E$55*Assumptions!$D$143*AD194</f>
        <v>33.6</v>
      </c>
      <c r="AE200" s="15" t="n">
        <f aca="false">'Unit Economics'!$E$55*Assumptions!$D$143*AE194</f>
        <v>33.6</v>
      </c>
      <c r="AF200" s="15" t="n">
        <f aca="false">'Unit Economics'!$E$55*Assumptions!$D$143*AF194</f>
        <v>33.6</v>
      </c>
      <c r="AG200" s="15" t="n">
        <f aca="false">'Unit Economics'!$E$55*Assumptions!$D$143*AG194</f>
        <v>33.6</v>
      </c>
      <c r="AH200" s="15" t="n">
        <f aca="false">'Unit Economics'!$E$55*Assumptions!$D$143*AH194</f>
        <v>33.6</v>
      </c>
      <c r="AI200" s="15" t="n">
        <f aca="false">'Unit Economics'!$E$55*Assumptions!$D$143*AI194</f>
        <v>33.6</v>
      </c>
      <c r="AJ200" s="15" t="n">
        <f aca="false">'Unit Economics'!$E$55*Assumptions!$D$143*AJ194</f>
        <v>33.6</v>
      </c>
      <c r="AK200" s="15" t="n">
        <f aca="false">'Unit Economics'!$E$55*Assumptions!$D$143*AK194</f>
        <v>33.6</v>
      </c>
      <c r="AL200" s="15" t="n">
        <f aca="false">'Unit Economics'!$E$55*Assumptions!$D$143*AL194</f>
        <v>33.6</v>
      </c>
    </row>
    <row r="201" customFormat="false" ht="15" hidden="false" customHeight="false" outlineLevel="0" collapsed="false">
      <c r="A201" s="7" t="s">
        <v>763</v>
      </c>
      <c r="B201" s="9" t="s">
        <v>101</v>
      </c>
      <c r="C201" s="8" t="n">
        <f aca="false">C199*'Unit Economics'!$E$55</f>
        <v>-0</v>
      </c>
      <c r="D201" s="8" t="n">
        <f aca="false">D199*'Unit Economics'!$E$55</f>
        <v>-0</v>
      </c>
      <c r="E201" s="8" t="n">
        <f aca="false">E199*'Unit Economics'!$E$55</f>
        <v>0</v>
      </c>
      <c r="F201" s="8" t="n">
        <f aca="false">F199*'Unit Economics'!$E$55</f>
        <v>1.28869639910156</v>
      </c>
      <c r="G201" s="8" t="n">
        <f aca="false">G199*'Unit Economics'!$E$55</f>
        <v>2.72485869981846</v>
      </c>
      <c r="H201" s="8" t="n">
        <f aca="false">H199*'Unit Economics'!$E$55</f>
        <v>5.75538633083827</v>
      </c>
      <c r="I201" s="8" t="n">
        <f aca="false">I199*'Unit Economics'!$E$55</f>
        <v>10.2994455102943</v>
      </c>
      <c r="J201" s="8" t="n">
        <f aca="false">J199*'Unit Economics'!$E$55</f>
        <v>14.710358683464</v>
      </c>
      <c r="K201" s="8" t="n">
        <f aca="false">K199*'Unit Economics'!$E$55</f>
        <v>22.4649710849684</v>
      </c>
      <c r="L201" s="8" t="n">
        <f aca="false">L199*'Unit Economics'!$E$55</f>
        <v>25.6861594222743</v>
      </c>
      <c r="M201" s="8" t="n">
        <f aca="false">M199*'Unit Economics'!$E$55</f>
        <v>27.0738812225917</v>
      </c>
      <c r="N201" s="8" t="n">
        <f aca="false">N199*'Unit Economics'!$E$55</f>
        <v>31.0934692761827</v>
      </c>
      <c r="O201" s="8" t="n">
        <f aca="false">O199*'Unit Economics'!$E$55</f>
        <v>39.7461274696422</v>
      </c>
      <c r="P201" s="8" t="n">
        <f aca="false">P199*'Unit Economics'!$E$55</f>
        <v>62.478796724523</v>
      </c>
      <c r="Q201" s="8" t="n">
        <f aca="false">Q199*'Unit Economics'!$E$55</f>
        <v>77.2679010218991</v>
      </c>
      <c r="R201" s="8" t="n">
        <f aca="false">R199*'Unit Economics'!$E$55</f>
        <v>84.0326029596942</v>
      </c>
      <c r="S201" s="8" t="n">
        <f aca="false">S199*'Unit Economics'!$E$55</f>
        <v>69.1412937786814</v>
      </c>
      <c r="T201" s="8" t="n">
        <f aca="false">T199*'Unit Economics'!$E$55</f>
        <v>83.7341085608868</v>
      </c>
      <c r="U201" s="8" t="n">
        <f aca="false">U199*'Unit Economics'!$E$55</f>
        <v>96.5345344147008</v>
      </c>
      <c r="V201" s="8" t="n">
        <f aca="false">V199*'Unit Economics'!$E$55</f>
        <v>95.9946712568153</v>
      </c>
      <c r="W201" s="8" t="n">
        <f aca="false">W199*'Unit Economics'!$E$55</f>
        <v>109.552500287456</v>
      </c>
      <c r="X201" s="8" t="n">
        <f aca="false">X199*'Unit Economics'!$E$55</f>
        <v>113.09692760021</v>
      </c>
      <c r="Y201" s="8" t="n">
        <f aca="false">Y199*'Unit Economics'!$E$55</f>
        <v>109.174786651271</v>
      </c>
      <c r="Z201" s="8" t="n">
        <f aca="false">Z199*'Unit Economics'!$E$55</f>
        <v>116.515422840776</v>
      </c>
      <c r="AA201" s="8" t="n">
        <f aca="false">AA199*'Unit Economics'!$E$55</f>
        <v>138.868678785285</v>
      </c>
      <c r="AB201" s="8" t="n">
        <f aca="false">AB199*'Unit Economics'!$E$55</f>
        <v>203.840757288969</v>
      </c>
      <c r="AC201" s="8" t="n">
        <f aca="false">AC199*'Unit Economics'!$E$55</f>
        <v>232.838954905179</v>
      </c>
      <c r="AD201" s="8" t="n">
        <f aca="false">AD199*'Unit Economics'!$E$55</f>
        <v>236.40598110173</v>
      </c>
      <c r="AE201" s="8" t="n">
        <f aca="false">AE199*'Unit Economics'!$E$55</f>
        <v>184.137441177059</v>
      </c>
      <c r="AF201" s="8" t="n">
        <f aca="false">AF199*'Unit Economics'!$E$55</f>
        <v>215.077938743999</v>
      </c>
      <c r="AG201" s="8" t="n">
        <f aca="false">AG199*'Unit Economics'!$E$55</f>
        <v>238.692836961919</v>
      </c>
      <c r="AH201" s="8" t="n">
        <f aca="false">AH199*'Unit Economics'!$E$55</f>
        <v>228.587175919753</v>
      </c>
      <c r="AI201" s="8" t="n">
        <f aca="false">AI199*'Unit Economics'!$E$55</f>
        <v>252.541176489373</v>
      </c>
      <c r="AJ201" s="8" t="n">
        <f aca="false">AJ199*'Unit Economics'!$E$55</f>
        <v>252.281300439089</v>
      </c>
      <c r="AK201" s="8" t="n">
        <f aca="false">AK199*'Unit Economics'!$E$55</f>
        <v>236.289504955818</v>
      </c>
      <c r="AL201" s="8" t="n">
        <f aca="false">AL199*'Unit Economics'!$E$55</f>
        <v>245.575527708943</v>
      </c>
      <c r="AM201" s="45" t="n">
        <f aca="false">SUMIF($C$6:$AL$6,1,C201:AL201)</f>
        <v>141.097226629534</v>
      </c>
      <c r="AN201" s="45" t="n">
        <f aca="false">SUMIF($C$6:$AL$6,2,C201:AL201)</f>
        <v>1057.26967356656</v>
      </c>
      <c r="AO201" s="45" t="n">
        <f aca="false">SUMIF($C$6:$AL$6,3,C201:AL201)</f>
        <v>2665.13727447712</v>
      </c>
      <c r="AP201" s="45" t="n">
        <f aca="false">SUM(C201:AL201)</f>
        <v>3863.50417467321</v>
      </c>
    </row>
    <row r="202" customFormat="false" ht="15" hidden="false" customHeight="false" outlineLevel="0" collapsed="false">
      <c r="A202" s="7" t="s">
        <v>764</v>
      </c>
      <c r="B202" s="9" t="s">
        <v>101</v>
      </c>
      <c r="C202" s="8" t="n">
        <f aca="false">C199*'Unit Economics'!$F$55</f>
        <v>-0</v>
      </c>
      <c r="D202" s="8" t="n">
        <f aca="false">D199*'Unit Economics'!$F$55</f>
        <v>-0</v>
      </c>
      <c r="E202" s="8" t="n">
        <f aca="false">E199*'Unit Economics'!$F$55</f>
        <v>0</v>
      </c>
      <c r="F202" s="8" t="n">
        <f aca="false">F199*'Unit Economics'!$F$55</f>
        <v>1.17538316572342</v>
      </c>
      <c r="G202" s="8" t="n">
        <f aca="false">G199*'Unit Economics'!$F$55</f>
        <v>2.4852657669987</v>
      </c>
      <c r="H202" s="8" t="n">
        <f aca="false">H199*'Unit Economics'!$F$55</f>
        <v>5.24932343274813</v>
      </c>
      <c r="I202" s="8" t="n">
        <f aca="false">I199*'Unit Economics'!$F$55</f>
        <v>9.39382998006768</v>
      </c>
      <c r="J202" s="8" t="n">
        <f aca="false">J199*'Unit Economics'!$F$55</f>
        <v>13.4168978592251</v>
      </c>
      <c r="K202" s="8" t="n">
        <f aca="false">K199*'Unit Economics'!$F$55</f>
        <v>20.489658270283</v>
      </c>
      <c r="L202" s="8" t="n">
        <f aca="false">L199*'Unit Economics'!$F$55</f>
        <v>23.4276121187872</v>
      </c>
      <c r="M202" s="8" t="n">
        <f aca="false">M199*'Unit Economics'!$F$55</f>
        <v>24.6933135236623</v>
      </c>
      <c r="N202" s="8" t="n">
        <f aca="false">N199*'Unit Economics'!$F$55</f>
        <v>28.3594649419697</v>
      </c>
      <c r="O202" s="8" t="n">
        <f aca="false">O199*'Unit Economics'!$F$55</f>
        <v>36.2513072614187</v>
      </c>
      <c r="P202" s="8" t="n">
        <f aca="false">P199*'Unit Economics'!$F$55</f>
        <v>56.9851253839596</v>
      </c>
      <c r="Q202" s="8" t="n">
        <f aca="false">Q199*'Unit Economics'!$F$55</f>
        <v>70.4738448677593</v>
      </c>
      <c r="R202" s="8" t="n">
        <f aca="false">R199*'Unit Economics'!$F$55</f>
        <v>76.643736228024</v>
      </c>
      <c r="S202" s="8" t="n">
        <f aca="false">S199*'Unit Economics'!$F$55</f>
        <v>63.0617985899987</v>
      </c>
      <c r="T202" s="8" t="n">
        <f aca="false">T199*'Unit Economics'!$F$55</f>
        <v>76.3714880152831</v>
      </c>
      <c r="U202" s="8" t="n">
        <f aca="false">U199*'Unit Economics'!$F$55</f>
        <v>88.0463907100939</v>
      </c>
      <c r="V202" s="8" t="n">
        <f aca="false">V199*'Unit Economics'!$F$55</f>
        <v>87.5539969484482</v>
      </c>
      <c r="W202" s="8" t="n">
        <f aca="false">W199*'Unit Economics'!$F$55</f>
        <v>99.9197054407522</v>
      </c>
      <c r="X202" s="8" t="n">
        <f aca="false">X199*'Unit Economics'!$F$55</f>
        <v>103.152476323363</v>
      </c>
      <c r="Y202" s="8" t="n">
        <f aca="false">Y199*'Unit Economics'!$F$55</f>
        <v>99.575203625006</v>
      </c>
      <c r="Z202" s="8" t="n">
        <f aca="false">Z199*'Unit Economics'!$F$55</f>
        <v>106.270388160991</v>
      </c>
      <c r="AA202" s="8" t="n">
        <f aca="false">AA199*'Unit Economics'!$F$55</f>
        <v>126.658154243522</v>
      </c>
      <c r="AB202" s="8" t="n">
        <f aca="false">AB199*'Unit Economics'!$F$55</f>
        <v>185.917330701632</v>
      </c>
      <c r="AC202" s="8" t="n">
        <f aca="false">AC199*'Unit Economics'!$F$55</f>
        <v>212.365758227445</v>
      </c>
      <c r="AD202" s="8" t="n">
        <f aca="false">AD199*'Unit Economics'!$F$55</f>
        <v>215.619140906285</v>
      </c>
      <c r="AE202" s="8" t="n">
        <f aca="false">AE199*'Unit Economics'!$F$55</f>
        <v>167.946499027848</v>
      </c>
      <c r="AF202" s="8" t="n">
        <f aca="false">AF199*'Unit Economics'!$F$55</f>
        <v>196.166442844437</v>
      </c>
      <c r="AG202" s="8" t="n">
        <f aca="false">AG199*'Unit Economics'!$F$55</f>
        <v>217.704916797625</v>
      </c>
      <c r="AH202" s="8" t="n">
        <f aca="false">AH199*'Unit Economics'!$F$55</f>
        <v>208.487832094237</v>
      </c>
      <c r="AI202" s="8" t="n">
        <f aca="false">AI199*'Unit Economics'!$F$55</f>
        <v>230.335591613771</v>
      </c>
      <c r="AJ202" s="8" t="n">
        <f aca="false">AJ199*'Unit Economics'!$F$55</f>
        <v>230.098566093337</v>
      </c>
      <c r="AK202" s="8" t="n">
        <f aca="false">AK199*'Unit Economics'!$F$55</f>
        <v>215.512906341488</v>
      </c>
      <c r="AL202" s="8" t="n">
        <f aca="false">AL199*'Unit Economics'!$F$55</f>
        <v>223.982422379678</v>
      </c>
      <c r="AM202" s="45" t="n">
        <f aca="false">SUMIF($C$6:$AL$6,1,C202:AL202)</f>
        <v>128.690749059465</v>
      </c>
      <c r="AN202" s="45" t="n">
        <f aca="false">SUMIF($C$6:$AL$6,2,C202:AL202)</f>
        <v>964.305461555097</v>
      </c>
      <c r="AO202" s="45" t="n">
        <f aca="false">SUMIF($C$6:$AL$6,3,C202:AL202)</f>
        <v>2430.79556127131</v>
      </c>
      <c r="AP202" s="45" t="n">
        <f aca="false">SUM(C202:AL202)</f>
        <v>3523.79177188587</v>
      </c>
    </row>
    <row r="203" customFormat="false" ht="15" hidden="false" customHeight="false" outlineLevel="0" collapsed="false">
      <c r="A203" s="5" t="s">
        <v>577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</row>
    <row r="204" customFormat="false" ht="15" hidden="false" customHeight="false" outlineLevel="0" collapsed="false">
      <c r="A204" s="7" t="s">
        <v>755</v>
      </c>
      <c r="B204" s="9" t="s">
        <v>319</v>
      </c>
      <c r="C204" s="38" t="n">
        <f aca="false">IF(AND(Assumptions!$D$146=1,C$4&gt;=Assumptions!$D$147),1,0)</f>
        <v>0</v>
      </c>
      <c r="D204" s="38" t="n">
        <f aca="false">IF(AND(Assumptions!$D$146=1,D$4&gt;=Assumptions!$D$147),1,0)</f>
        <v>0</v>
      </c>
      <c r="E204" s="38" t="n">
        <f aca="false">IF(AND(Assumptions!$D$146=1,E$4&gt;=Assumptions!$D$147),1,0)</f>
        <v>0</v>
      </c>
      <c r="F204" s="38" t="n">
        <f aca="false">IF(AND(Assumptions!$D$146=1,F$4&gt;=Assumptions!$D$147),1,0)</f>
        <v>0</v>
      </c>
      <c r="G204" s="38" t="n">
        <f aca="false">IF(AND(Assumptions!$D$146=1,G$4&gt;=Assumptions!$D$147),1,0)</f>
        <v>1</v>
      </c>
      <c r="H204" s="38" t="n">
        <f aca="false">IF(AND(Assumptions!$D$146=1,H$4&gt;=Assumptions!$D$147),1,0)</f>
        <v>1</v>
      </c>
      <c r="I204" s="38" t="n">
        <f aca="false">IF(AND(Assumptions!$D$146=1,I$4&gt;=Assumptions!$D$147),1,0)</f>
        <v>1</v>
      </c>
      <c r="J204" s="38" t="n">
        <f aca="false">IF(AND(Assumptions!$D$146=1,J$4&gt;=Assumptions!$D$147),1,0)</f>
        <v>1</v>
      </c>
      <c r="K204" s="38" t="n">
        <f aca="false">IF(AND(Assumptions!$D$146=1,K$4&gt;=Assumptions!$D$147),1,0)</f>
        <v>1</v>
      </c>
      <c r="L204" s="38" t="n">
        <f aca="false">IF(AND(Assumptions!$D$146=1,L$4&gt;=Assumptions!$D$147),1,0)</f>
        <v>1</v>
      </c>
      <c r="M204" s="38" t="n">
        <f aca="false">IF(AND(Assumptions!$D$146=1,M$4&gt;=Assumptions!$D$147),1,0)</f>
        <v>1</v>
      </c>
      <c r="N204" s="38" t="n">
        <f aca="false">IF(AND(Assumptions!$D$146=1,N$4&gt;=Assumptions!$D$147),1,0)</f>
        <v>1</v>
      </c>
      <c r="O204" s="38" t="n">
        <f aca="false">IF(AND(Assumptions!$D$146=1,O$4&gt;=Assumptions!$D$147),1,0)</f>
        <v>1</v>
      </c>
      <c r="P204" s="38" t="n">
        <f aca="false">IF(AND(Assumptions!$D$146=1,P$4&gt;=Assumptions!$D$147),1,0)</f>
        <v>1</v>
      </c>
      <c r="Q204" s="38" t="n">
        <f aca="false">IF(AND(Assumptions!$D$146=1,Q$4&gt;=Assumptions!$D$147),1,0)</f>
        <v>1</v>
      </c>
      <c r="R204" s="38" t="n">
        <f aca="false">IF(AND(Assumptions!$D$146=1,R$4&gt;=Assumptions!$D$147),1,0)</f>
        <v>1</v>
      </c>
      <c r="S204" s="38" t="n">
        <f aca="false">IF(AND(Assumptions!$D$146=1,S$4&gt;=Assumptions!$D$147),1,0)</f>
        <v>1</v>
      </c>
      <c r="T204" s="38" t="n">
        <f aca="false">IF(AND(Assumptions!$D$146=1,T$4&gt;=Assumptions!$D$147),1,0)</f>
        <v>1</v>
      </c>
      <c r="U204" s="38" t="n">
        <f aca="false">IF(AND(Assumptions!$D$146=1,U$4&gt;=Assumptions!$D$147),1,0)</f>
        <v>1</v>
      </c>
      <c r="V204" s="38" t="n">
        <f aca="false">IF(AND(Assumptions!$D$146=1,V$4&gt;=Assumptions!$D$147),1,0)</f>
        <v>1</v>
      </c>
      <c r="W204" s="38" t="n">
        <f aca="false">IF(AND(Assumptions!$D$146=1,W$4&gt;=Assumptions!$D$147),1,0)</f>
        <v>1</v>
      </c>
      <c r="X204" s="38" t="n">
        <f aca="false">IF(AND(Assumptions!$D$146=1,X$4&gt;=Assumptions!$D$147),1,0)</f>
        <v>1</v>
      </c>
      <c r="Y204" s="38" t="n">
        <f aca="false">IF(AND(Assumptions!$D$146=1,Y$4&gt;=Assumptions!$D$147),1,0)</f>
        <v>1</v>
      </c>
      <c r="Z204" s="38" t="n">
        <f aca="false">IF(AND(Assumptions!$D$146=1,Z$4&gt;=Assumptions!$D$147),1,0)</f>
        <v>1</v>
      </c>
      <c r="AA204" s="38" t="n">
        <f aca="false">IF(AND(Assumptions!$D$146=1,AA$4&gt;=Assumptions!$D$147),1,0)</f>
        <v>1</v>
      </c>
      <c r="AB204" s="38" t="n">
        <f aca="false">IF(AND(Assumptions!$D$146=1,AB$4&gt;=Assumptions!$D$147),1,0)</f>
        <v>1</v>
      </c>
      <c r="AC204" s="38" t="n">
        <f aca="false">IF(AND(Assumptions!$D$146=1,AC$4&gt;=Assumptions!$D$147),1,0)</f>
        <v>1</v>
      </c>
      <c r="AD204" s="38" t="n">
        <f aca="false">IF(AND(Assumptions!$D$146=1,AD$4&gt;=Assumptions!$D$147),1,0)</f>
        <v>1</v>
      </c>
      <c r="AE204" s="38" t="n">
        <f aca="false">IF(AND(Assumptions!$D$146=1,AE$4&gt;=Assumptions!$D$147),1,0)</f>
        <v>1</v>
      </c>
      <c r="AF204" s="38" t="n">
        <f aca="false">IF(AND(Assumptions!$D$146=1,AF$4&gt;=Assumptions!$D$147),1,0)</f>
        <v>1</v>
      </c>
      <c r="AG204" s="38" t="n">
        <f aca="false">IF(AND(Assumptions!$D$146=1,AG$4&gt;=Assumptions!$D$147),1,0)</f>
        <v>1</v>
      </c>
      <c r="AH204" s="38" t="n">
        <f aca="false">IF(AND(Assumptions!$D$146=1,AH$4&gt;=Assumptions!$D$147),1,0)</f>
        <v>1</v>
      </c>
      <c r="AI204" s="38" t="n">
        <f aca="false">IF(AND(Assumptions!$D$146=1,AI$4&gt;=Assumptions!$D$147),1,0)</f>
        <v>1</v>
      </c>
      <c r="AJ204" s="38" t="n">
        <f aca="false">IF(AND(Assumptions!$D$146=1,AJ$4&gt;=Assumptions!$D$147),1,0)</f>
        <v>1</v>
      </c>
      <c r="AK204" s="38" t="n">
        <f aca="false">IF(AND(Assumptions!$D$146=1,AK$4&gt;=Assumptions!$D$147),1,0)</f>
        <v>1</v>
      </c>
      <c r="AL204" s="38" t="n">
        <f aca="false">IF(AND(Assumptions!$D$146=1,AL$4&gt;=Assumptions!$D$147),1,0)</f>
        <v>1</v>
      </c>
    </row>
    <row r="205" customFormat="false" ht="15" hidden="false" customHeight="false" outlineLevel="0" collapsed="false">
      <c r="A205" s="7" t="s">
        <v>756</v>
      </c>
      <c r="B205" s="9" t="s">
        <v>327</v>
      </c>
      <c r="C205" s="14" t="n">
        <f aca="false">IF(C204=0,0,Assumptions!$D$148)</f>
        <v>0</v>
      </c>
      <c r="D205" s="14" t="n">
        <f aca="false">IF(D204=0,0,IF(D$4=Assumptions!$D$147,Assumptions!$D$148,C205*(1+CHOOSE(D$6,Assumptions!$D$149,Assumptions!$D$150,Assumptions!$D$151))))</f>
        <v>0</v>
      </c>
      <c r="E205" s="14" t="n">
        <f aca="false">IF(E204=0,0,IF(E$4=Assumptions!$D$147,Assumptions!$D$148,D205*(1+CHOOSE(E$6,Assumptions!$D$149,Assumptions!$D$150,Assumptions!$D$151))))</f>
        <v>0</v>
      </c>
      <c r="F205" s="14" t="n">
        <f aca="false">IF(F204=0,0,IF(F$4=Assumptions!$D$147,Assumptions!$D$148,E205*(1+CHOOSE(F$6,Assumptions!$D$149,Assumptions!$D$150,Assumptions!$D$151))))</f>
        <v>0</v>
      </c>
      <c r="G205" s="14" t="n">
        <f aca="false">IF(G204=0,0,IF(G$4=Assumptions!$D$147,Assumptions!$D$148,F205*(1+CHOOSE(G$6,Assumptions!$D$149,Assumptions!$D$150,Assumptions!$D$151))))</f>
        <v>300</v>
      </c>
      <c r="H205" s="14" t="n">
        <f aca="false">IF(H204=0,0,IF(H$4=Assumptions!$D$147,Assumptions!$D$148,G205*(1+CHOOSE(H$6,Assumptions!$D$149,Assumptions!$D$150,Assumptions!$D$151))))</f>
        <v>318</v>
      </c>
      <c r="I205" s="14" t="n">
        <f aca="false">IF(I204=0,0,IF(I$4=Assumptions!$D$147,Assumptions!$D$148,H205*(1+CHOOSE(I$6,Assumptions!$D$149,Assumptions!$D$150,Assumptions!$D$151))))</f>
        <v>337.08</v>
      </c>
      <c r="J205" s="14" t="n">
        <f aca="false">IF(J204=0,0,IF(J$4=Assumptions!$D$147,Assumptions!$D$148,I205*(1+CHOOSE(J$6,Assumptions!$D$149,Assumptions!$D$150,Assumptions!$D$151))))</f>
        <v>357.3048</v>
      </c>
      <c r="K205" s="14" t="n">
        <f aca="false">IF(K204=0,0,IF(K$4=Assumptions!$D$147,Assumptions!$D$148,J205*(1+CHOOSE(K$6,Assumptions!$D$149,Assumptions!$D$150,Assumptions!$D$151))))</f>
        <v>378.743088</v>
      </c>
      <c r="L205" s="14" t="n">
        <f aca="false">IF(L204=0,0,IF(L$4=Assumptions!$D$147,Assumptions!$D$148,K205*(1+CHOOSE(L$6,Assumptions!$D$149,Assumptions!$D$150,Assumptions!$D$151))))</f>
        <v>401.46767328</v>
      </c>
      <c r="M205" s="14" t="n">
        <f aca="false">IF(M204=0,0,IF(M$4=Assumptions!$D$147,Assumptions!$D$148,L205*(1+CHOOSE(M$6,Assumptions!$D$149,Assumptions!$D$150,Assumptions!$D$151))))</f>
        <v>425.5557336768</v>
      </c>
      <c r="N205" s="14" t="n">
        <f aca="false">IF(N204=0,0,IF(N$4=Assumptions!$D$147,Assumptions!$D$148,M205*(1+CHOOSE(N$6,Assumptions!$D$149,Assumptions!$D$150,Assumptions!$D$151))))</f>
        <v>451.089077697408</v>
      </c>
      <c r="O205" s="14" t="n">
        <f aca="false">IF(O204=0,0,IF(O$4=Assumptions!$D$147,Assumptions!$D$148,N205*(1+CHOOSE(O$6,Assumptions!$D$149,Assumptions!$D$150,Assumptions!$D$151))))</f>
        <v>469.132640805304</v>
      </c>
      <c r="P205" s="14" t="n">
        <f aca="false">IF(P204=0,0,IF(P$4=Assumptions!$D$147,Assumptions!$D$148,O205*(1+CHOOSE(P$6,Assumptions!$D$149,Assumptions!$D$150,Assumptions!$D$151))))</f>
        <v>487.897946437517</v>
      </c>
      <c r="Q205" s="14" t="n">
        <f aca="false">IF(Q204=0,0,IF(Q$4=Assumptions!$D$147,Assumptions!$D$148,P205*(1+CHOOSE(Q$6,Assumptions!$D$149,Assumptions!$D$150,Assumptions!$D$151))))</f>
        <v>507.413864295017</v>
      </c>
      <c r="R205" s="14" t="n">
        <f aca="false">IF(R204=0,0,IF(R$4=Assumptions!$D$147,Assumptions!$D$148,Q205*(1+CHOOSE(R$6,Assumptions!$D$149,Assumptions!$D$150,Assumptions!$D$151))))</f>
        <v>527.710418866818</v>
      </c>
      <c r="S205" s="14" t="n">
        <f aca="false">IF(S204=0,0,IF(S$4=Assumptions!$D$147,Assumptions!$D$148,R205*(1+CHOOSE(S$6,Assumptions!$D$149,Assumptions!$D$150,Assumptions!$D$151))))</f>
        <v>548.818835621491</v>
      </c>
      <c r="T205" s="14" t="n">
        <f aca="false">IF(T204=0,0,IF(T$4=Assumptions!$D$147,Assumptions!$D$148,S205*(1+CHOOSE(T$6,Assumptions!$D$149,Assumptions!$D$150,Assumptions!$D$151))))</f>
        <v>570.77158904635</v>
      </c>
      <c r="U205" s="14" t="n">
        <f aca="false">IF(U204=0,0,IF(U$4=Assumptions!$D$147,Assumptions!$D$148,T205*(1+CHOOSE(U$6,Assumptions!$D$149,Assumptions!$D$150,Assumptions!$D$151))))</f>
        <v>593.602452608204</v>
      </c>
      <c r="V205" s="14" t="n">
        <f aca="false">IF(V204=0,0,IF(V$4=Assumptions!$D$147,Assumptions!$D$148,U205*(1+CHOOSE(V$6,Assumptions!$D$149,Assumptions!$D$150,Assumptions!$D$151))))</f>
        <v>617.346550712533</v>
      </c>
      <c r="W205" s="14" t="n">
        <f aca="false">IF(W204=0,0,IF(W$4=Assumptions!$D$147,Assumptions!$D$148,V205*(1+CHOOSE(W$6,Assumptions!$D$149,Assumptions!$D$150,Assumptions!$D$151))))</f>
        <v>642.040412741034</v>
      </c>
      <c r="X205" s="14" t="n">
        <f aca="false">IF(X204=0,0,IF(X$4=Assumptions!$D$147,Assumptions!$D$148,W205*(1+CHOOSE(X$6,Assumptions!$D$149,Assumptions!$D$150,Assumptions!$D$151))))</f>
        <v>667.722029250675</v>
      </c>
      <c r="Y205" s="14" t="n">
        <f aca="false">IF(Y204=0,0,IF(Y$4=Assumptions!$D$147,Assumptions!$D$148,X205*(1+CHOOSE(Y$6,Assumptions!$D$149,Assumptions!$D$150,Assumptions!$D$151))))</f>
        <v>694.430910420702</v>
      </c>
      <c r="Z205" s="14" t="n">
        <f aca="false">IF(Z204=0,0,IF(Z$4=Assumptions!$D$147,Assumptions!$D$148,Y205*(1+CHOOSE(Z$6,Assumptions!$D$149,Assumptions!$D$150,Assumptions!$D$151))))</f>
        <v>722.20814683753</v>
      </c>
      <c r="AA205" s="14" t="n">
        <f aca="false">IF(AA204=0,0,IF(AA$4=Assumptions!$D$147,Assumptions!$D$148,Z205*(1+CHOOSE(AA$6,Assumptions!$D$149,Assumptions!$D$150,Assumptions!$D$151))))</f>
        <v>736.652309774281</v>
      </c>
      <c r="AB205" s="14" t="n">
        <f aca="false">IF(AB204=0,0,IF(AB$4=Assumptions!$D$147,Assumptions!$D$148,AA205*(1+CHOOSE(AB$6,Assumptions!$D$149,Assumptions!$D$150,Assumptions!$D$151))))</f>
        <v>751.385355969767</v>
      </c>
      <c r="AC205" s="14" t="n">
        <f aca="false">IF(AC204=0,0,IF(AC$4=Assumptions!$D$147,Assumptions!$D$148,AB205*(1+CHOOSE(AC$6,Assumptions!$D$149,Assumptions!$D$150,Assumptions!$D$151))))</f>
        <v>766.413063089162</v>
      </c>
      <c r="AD205" s="14" t="n">
        <f aca="false">IF(AD204=0,0,IF(AD$4=Assumptions!$D$147,Assumptions!$D$148,AC205*(1+CHOOSE(AD$6,Assumptions!$D$149,Assumptions!$D$150,Assumptions!$D$151))))</f>
        <v>781.741324350945</v>
      </c>
      <c r="AE205" s="14" t="n">
        <f aca="false">IF(AE204=0,0,IF(AE$4=Assumptions!$D$147,Assumptions!$D$148,AD205*(1+CHOOSE(AE$6,Assumptions!$D$149,Assumptions!$D$150,Assumptions!$D$151))))</f>
        <v>797.376150837964</v>
      </c>
      <c r="AF205" s="14" t="n">
        <f aca="false">IF(AF204=0,0,IF(AF$4=Assumptions!$D$147,Assumptions!$D$148,AE205*(1+CHOOSE(AF$6,Assumptions!$D$149,Assumptions!$D$150,Assumptions!$D$151))))</f>
        <v>813.323673854724</v>
      </c>
      <c r="AG205" s="14" t="n">
        <f aca="false">IF(AG204=0,0,IF(AG$4=Assumptions!$D$147,Assumptions!$D$148,AF205*(1+CHOOSE(AG$6,Assumptions!$D$149,Assumptions!$D$150,Assumptions!$D$151))))</f>
        <v>829.590147331818</v>
      </c>
      <c r="AH205" s="14" t="n">
        <f aca="false">IF(AH204=0,0,IF(AH$4=Assumptions!$D$147,Assumptions!$D$148,AG205*(1+CHOOSE(AH$6,Assumptions!$D$149,Assumptions!$D$150,Assumptions!$D$151))))</f>
        <v>846.181950278454</v>
      </c>
      <c r="AI205" s="14" t="n">
        <f aca="false">IF(AI204=0,0,IF(AI$4=Assumptions!$D$147,Assumptions!$D$148,AH205*(1+CHOOSE(AI$6,Assumptions!$D$149,Assumptions!$D$150,Assumptions!$D$151))))</f>
        <v>863.105589284024</v>
      </c>
      <c r="AJ205" s="14" t="n">
        <f aca="false">IF(AJ204=0,0,IF(AJ$4=Assumptions!$D$147,Assumptions!$D$148,AI205*(1+CHOOSE(AJ$6,Assumptions!$D$149,Assumptions!$D$150,Assumptions!$D$151))))</f>
        <v>880.367701069704</v>
      </c>
      <c r="AK205" s="14" t="n">
        <f aca="false">IF(AK204=0,0,IF(AK$4=Assumptions!$D$147,Assumptions!$D$148,AJ205*(1+CHOOSE(AK$6,Assumptions!$D$149,Assumptions!$D$150,Assumptions!$D$151))))</f>
        <v>897.975055091098</v>
      </c>
      <c r="AL205" s="14" t="n">
        <f aca="false">IF(AL204=0,0,IF(AL$4=Assumptions!$D$147,Assumptions!$D$148,AK205*(1+CHOOSE(AL$6,Assumptions!$D$149,Assumptions!$D$150,Assumptions!$D$151))))</f>
        <v>915.93455619292</v>
      </c>
    </row>
    <row r="206" customFormat="false" ht="15" hidden="false" customHeight="false" outlineLevel="0" collapsed="false">
      <c r="A206" s="7" t="s">
        <v>773</v>
      </c>
      <c r="B206" s="9" t="s">
        <v>327</v>
      </c>
      <c r="C206" s="52" t="n">
        <f aca="false">C205*C$7</f>
        <v>0</v>
      </c>
      <c r="D206" s="52" t="n">
        <f aca="false">D205*D$7</f>
        <v>0</v>
      </c>
      <c r="E206" s="52" t="n">
        <f aca="false">E205*E$7</f>
        <v>0</v>
      </c>
      <c r="F206" s="52" t="n">
        <f aca="false">F205*F$7</f>
        <v>0</v>
      </c>
      <c r="G206" s="52" t="n">
        <f aca="false">G205*G$7</f>
        <v>270</v>
      </c>
      <c r="H206" s="52" t="n">
        <f aca="false">H205*H$7</f>
        <v>318</v>
      </c>
      <c r="I206" s="52" t="n">
        <f aca="false">I205*I$7</f>
        <v>353.934</v>
      </c>
      <c r="J206" s="52" t="n">
        <f aca="false">J205*J$7</f>
        <v>339.43956</v>
      </c>
      <c r="K206" s="52" t="n">
        <f aca="false">K205*K$7</f>
        <v>378.743088</v>
      </c>
      <c r="L206" s="52" t="n">
        <f aca="false">L205*L$7</f>
        <v>381.394289616</v>
      </c>
      <c r="M206" s="52" t="n">
        <f aca="false">M205*M$7</f>
        <v>361.72237362528</v>
      </c>
      <c r="N206" s="52" t="n">
        <f aca="false">N205*N$7</f>
        <v>383.425716042797</v>
      </c>
      <c r="O206" s="52" t="n">
        <f aca="false">O205*O$7</f>
        <v>445.676008765039</v>
      </c>
      <c r="P206" s="52" t="n">
        <f aca="false">P205*P$7</f>
        <v>634.267330368772</v>
      </c>
      <c r="Q206" s="52" t="n">
        <f aca="false">Q205*Q$7</f>
        <v>685.008716798273</v>
      </c>
      <c r="R206" s="52" t="n">
        <f aca="false">R205*R$7</f>
        <v>659.638023583523</v>
      </c>
      <c r="S206" s="52" t="n">
        <f aca="false">S205*S$7</f>
        <v>493.936952059342</v>
      </c>
      <c r="T206" s="52" t="n">
        <f aca="false">T205*T$7</f>
        <v>570.77158904635</v>
      </c>
      <c r="U206" s="52" t="n">
        <f aca="false">U205*U$7</f>
        <v>623.282575238615</v>
      </c>
      <c r="V206" s="52" t="n">
        <f aca="false">V205*V$7</f>
        <v>586.479223176906</v>
      </c>
      <c r="W206" s="52" t="n">
        <f aca="false">W205*W$7</f>
        <v>642.040412741034</v>
      </c>
      <c r="X206" s="52" t="n">
        <f aca="false">X205*X$7</f>
        <v>634.335927788142</v>
      </c>
      <c r="Y206" s="52" t="n">
        <f aca="false">Y205*Y$7</f>
        <v>590.266273857597</v>
      </c>
      <c r="Z206" s="52" t="n">
        <f aca="false">Z205*Z$7</f>
        <v>613.876924811901</v>
      </c>
      <c r="AA206" s="52" t="n">
        <f aca="false">AA205*AA$7</f>
        <v>699.819694285567</v>
      </c>
      <c r="AB206" s="52" t="n">
        <f aca="false">AB205*AB$7</f>
        <v>976.800962760697</v>
      </c>
      <c r="AC206" s="52" t="n">
        <f aca="false">AC205*AC$7</f>
        <v>1034.65763517037</v>
      </c>
      <c r="AD206" s="52" t="n">
        <f aca="false">AD205*AD$7</f>
        <v>977.176655438682</v>
      </c>
      <c r="AE206" s="52" t="n">
        <f aca="false">AE205*AE$7</f>
        <v>717.638535754168</v>
      </c>
      <c r="AF206" s="52" t="n">
        <f aca="false">AF205*AF$7</f>
        <v>813.323673854724</v>
      </c>
      <c r="AG206" s="52" t="n">
        <f aca="false">AG205*AG$7</f>
        <v>871.069654698409</v>
      </c>
      <c r="AH206" s="52" t="n">
        <f aca="false">AH205*AH$7</f>
        <v>803.872852764532</v>
      </c>
      <c r="AI206" s="52" t="n">
        <f aca="false">AI205*AI$7</f>
        <v>863.105589284024</v>
      </c>
      <c r="AJ206" s="52" t="n">
        <f aca="false">AJ205*AJ$7</f>
        <v>836.349316016219</v>
      </c>
      <c r="AK206" s="52" t="n">
        <f aca="false">AK205*AK$7</f>
        <v>763.278796827433</v>
      </c>
      <c r="AL206" s="52" t="n">
        <f aca="false">AL205*AL$7</f>
        <v>778.544372763982</v>
      </c>
      <c r="AM206" s="53" t="n">
        <f aca="false">SUMIF($C$6:$AL$6,1,C206:AL206)</f>
        <v>2786.65902728408</v>
      </c>
      <c r="AN206" s="53" t="n">
        <f aca="false">SUMIF($C$6:$AL$6,2,C206:AL206)</f>
        <v>7179.57995823549</v>
      </c>
      <c r="AO206" s="53" t="n">
        <f aca="false">SUMIF($C$6:$AL$6,3,C206:AL206)</f>
        <v>10135.6377396188</v>
      </c>
      <c r="AP206" s="53" t="n">
        <f aca="false">SUM(C206:AL206)</f>
        <v>20101.8767251384</v>
      </c>
    </row>
    <row r="207" customFormat="false" ht="15" hidden="false" customHeight="false" outlineLevel="0" collapsed="false">
      <c r="A207" s="7" t="s">
        <v>758</v>
      </c>
      <c r="B207" s="9" t="s">
        <v>96</v>
      </c>
      <c r="C207" s="54" t="n">
        <f aca="false">Assumptions!$D$152*MIN(1,(C$4-Assumptions!$D$147+1)/Assumptions!$C$10)*C204</f>
        <v>-0</v>
      </c>
      <c r="D207" s="54" t="n">
        <f aca="false">Assumptions!$D$152*MIN(1,(D$4-Assumptions!$D$147+1)/Assumptions!$C$10)*D204</f>
        <v>-0</v>
      </c>
      <c r="E207" s="54" t="n">
        <f aca="false">Assumptions!$D$152*MIN(1,(E$4-Assumptions!$D$147+1)/Assumptions!$C$10)*E204</f>
        <v>-0</v>
      </c>
      <c r="F207" s="54" t="n">
        <f aca="false">Assumptions!$D$152*MIN(1,(F$4-Assumptions!$D$147+1)/Assumptions!$C$10)*F204</f>
        <v>0</v>
      </c>
      <c r="G207" s="54" t="n">
        <f aca="false">Assumptions!$D$152*MIN(1,(G$4-Assumptions!$D$147+1)/Assumptions!$C$10)*G204</f>
        <v>0.00416666666666667</v>
      </c>
      <c r="H207" s="54" t="n">
        <f aca="false">Assumptions!$D$152*MIN(1,(H$4-Assumptions!$D$147+1)/Assumptions!$C$10)*H204</f>
        <v>0.00833333333333333</v>
      </c>
      <c r="I207" s="54" t="n">
        <f aca="false">Assumptions!$D$152*MIN(1,(I$4-Assumptions!$D$147+1)/Assumptions!$C$10)*I204</f>
        <v>0.0125</v>
      </c>
      <c r="J207" s="54" t="n">
        <f aca="false">Assumptions!$D$152*MIN(1,(J$4-Assumptions!$D$147+1)/Assumptions!$C$10)*J204</f>
        <v>0.0166666666666667</v>
      </c>
      <c r="K207" s="54" t="n">
        <f aca="false">Assumptions!$D$152*MIN(1,(K$4-Assumptions!$D$147+1)/Assumptions!$C$10)*K204</f>
        <v>0.0208333333333333</v>
      </c>
      <c r="L207" s="54" t="n">
        <f aca="false">Assumptions!$D$152*MIN(1,(L$4-Assumptions!$D$147+1)/Assumptions!$C$10)*L204</f>
        <v>0.025</v>
      </c>
      <c r="M207" s="54" t="n">
        <f aca="false">Assumptions!$D$152*MIN(1,(M$4-Assumptions!$D$147+1)/Assumptions!$C$10)*M204</f>
        <v>0.025</v>
      </c>
      <c r="N207" s="54" t="n">
        <f aca="false">Assumptions!$D$152*MIN(1,(N$4-Assumptions!$D$147+1)/Assumptions!$C$10)*N204</f>
        <v>0.025</v>
      </c>
      <c r="O207" s="54" t="n">
        <f aca="false">Assumptions!$D$152*MIN(1,(O$4-Assumptions!$D$147+1)/Assumptions!$C$10)*O204</f>
        <v>0.025</v>
      </c>
      <c r="P207" s="54" t="n">
        <f aca="false">Assumptions!$D$152*MIN(1,(P$4-Assumptions!$D$147+1)/Assumptions!$C$10)*P204</f>
        <v>0.025</v>
      </c>
      <c r="Q207" s="54" t="n">
        <f aca="false">Assumptions!$D$152*MIN(1,(Q$4-Assumptions!$D$147+1)/Assumptions!$C$10)*Q204</f>
        <v>0.025</v>
      </c>
      <c r="R207" s="54" t="n">
        <f aca="false">Assumptions!$D$152*MIN(1,(R$4-Assumptions!$D$147+1)/Assumptions!$C$10)*R204</f>
        <v>0.025</v>
      </c>
      <c r="S207" s="54" t="n">
        <f aca="false">Assumptions!$D$152*MIN(1,(S$4-Assumptions!$D$147+1)/Assumptions!$C$10)*S204</f>
        <v>0.025</v>
      </c>
      <c r="T207" s="54" t="n">
        <f aca="false">Assumptions!$D$152*MIN(1,(T$4-Assumptions!$D$147+1)/Assumptions!$C$10)*T204</f>
        <v>0.025</v>
      </c>
      <c r="U207" s="54" t="n">
        <f aca="false">Assumptions!$D$152*MIN(1,(U$4-Assumptions!$D$147+1)/Assumptions!$C$10)*U204</f>
        <v>0.025</v>
      </c>
      <c r="V207" s="54" t="n">
        <f aca="false">Assumptions!$D$152*MIN(1,(V$4-Assumptions!$D$147+1)/Assumptions!$C$10)*V204</f>
        <v>0.025</v>
      </c>
      <c r="W207" s="54" t="n">
        <f aca="false">Assumptions!$D$152*MIN(1,(W$4-Assumptions!$D$147+1)/Assumptions!$C$10)*W204</f>
        <v>0.025</v>
      </c>
      <c r="X207" s="54" t="n">
        <f aca="false">Assumptions!$D$152*MIN(1,(X$4-Assumptions!$D$147+1)/Assumptions!$C$10)*X204</f>
        <v>0.025</v>
      </c>
      <c r="Y207" s="54" t="n">
        <f aca="false">Assumptions!$D$152*MIN(1,(Y$4-Assumptions!$D$147+1)/Assumptions!$C$10)*Y204</f>
        <v>0.025</v>
      </c>
      <c r="Z207" s="54" t="n">
        <f aca="false">Assumptions!$D$152*MIN(1,(Z$4-Assumptions!$D$147+1)/Assumptions!$C$10)*Z204</f>
        <v>0.025</v>
      </c>
      <c r="AA207" s="54" t="n">
        <f aca="false">Assumptions!$D$152*MIN(1,(AA$4-Assumptions!$D$147+1)/Assumptions!$C$10)*AA204</f>
        <v>0.025</v>
      </c>
      <c r="AB207" s="54" t="n">
        <f aca="false">Assumptions!$D$152*MIN(1,(AB$4-Assumptions!$D$147+1)/Assumptions!$C$10)*AB204</f>
        <v>0.025</v>
      </c>
      <c r="AC207" s="54" t="n">
        <f aca="false">Assumptions!$D$152*MIN(1,(AC$4-Assumptions!$D$147+1)/Assumptions!$C$10)*AC204</f>
        <v>0.025</v>
      </c>
      <c r="AD207" s="54" t="n">
        <f aca="false">Assumptions!$D$152*MIN(1,(AD$4-Assumptions!$D$147+1)/Assumptions!$C$10)*AD204</f>
        <v>0.025</v>
      </c>
      <c r="AE207" s="54" t="n">
        <f aca="false">Assumptions!$D$152*MIN(1,(AE$4-Assumptions!$D$147+1)/Assumptions!$C$10)*AE204</f>
        <v>0.025</v>
      </c>
      <c r="AF207" s="54" t="n">
        <f aca="false">Assumptions!$D$152*MIN(1,(AF$4-Assumptions!$D$147+1)/Assumptions!$C$10)*AF204</f>
        <v>0.025</v>
      </c>
      <c r="AG207" s="54" t="n">
        <f aca="false">Assumptions!$D$152*MIN(1,(AG$4-Assumptions!$D$147+1)/Assumptions!$C$10)*AG204</f>
        <v>0.025</v>
      </c>
      <c r="AH207" s="54" t="n">
        <f aca="false">Assumptions!$D$152*MIN(1,(AH$4-Assumptions!$D$147+1)/Assumptions!$C$10)*AH204</f>
        <v>0.025</v>
      </c>
      <c r="AI207" s="54" t="n">
        <f aca="false">Assumptions!$D$152*MIN(1,(AI$4-Assumptions!$D$147+1)/Assumptions!$C$10)*AI204</f>
        <v>0.025</v>
      </c>
      <c r="AJ207" s="54" t="n">
        <f aca="false">Assumptions!$D$152*MIN(1,(AJ$4-Assumptions!$D$147+1)/Assumptions!$C$10)*AJ204</f>
        <v>0.025</v>
      </c>
      <c r="AK207" s="54" t="n">
        <f aca="false">Assumptions!$D$152*MIN(1,(AK$4-Assumptions!$D$147+1)/Assumptions!$C$10)*AK204</f>
        <v>0.025</v>
      </c>
      <c r="AL207" s="54" t="n">
        <f aca="false">Assumptions!$D$152*MIN(1,(AL$4-Assumptions!$D$147+1)/Assumptions!$C$10)*AL204</f>
        <v>0.025</v>
      </c>
    </row>
    <row r="208" customFormat="false" ht="15" hidden="false" customHeight="false" outlineLevel="0" collapsed="false">
      <c r="A208" s="7" t="s">
        <v>766</v>
      </c>
      <c r="B208" s="9" t="s">
        <v>760</v>
      </c>
      <c r="C208" s="55" t="n">
        <f aca="false">C206*C207</f>
        <v>-0</v>
      </c>
      <c r="D208" s="55" t="n">
        <f aca="false">D206*D207</f>
        <v>-0</v>
      </c>
      <c r="E208" s="55" t="n">
        <f aca="false">E206*E207</f>
        <v>-0</v>
      </c>
      <c r="F208" s="55" t="n">
        <f aca="false">F206*F207</f>
        <v>0</v>
      </c>
      <c r="G208" s="55" t="n">
        <f aca="false">G206*G207</f>
        <v>1.125</v>
      </c>
      <c r="H208" s="55" t="n">
        <f aca="false">H206*H207</f>
        <v>2.65</v>
      </c>
      <c r="I208" s="55" t="n">
        <f aca="false">I206*I207</f>
        <v>4.424175</v>
      </c>
      <c r="J208" s="55" t="n">
        <f aca="false">J206*J207</f>
        <v>5.657326</v>
      </c>
      <c r="K208" s="55" t="n">
        <f aca="false">K206*K207</f>
        <v>7.890481</v>
      </c>
      <c r="L208" s="55" t="n">
        <f aca="false">L206*L207</f>
        <v>9.5348572404</v>
      </c>
      <c r="M208" s="55" t="n">
        <f aca="false">M206*M207</f>
        <v>9.043059340632</v>
      </c>
      <c r="N208" s="55" t="n">
        <f aca="false">N206*N207</f>
        <v>9.58564290106992</v>
      </c>
      <c r="O208" s="55" t="n">
        <f aca="false">O206*O207</f>
        <v>11.141900219126</v>
      </c>
      <c r="P208" s="55" t="n">
        <f aca="false">P206*P207</f>
        <v>15.8566832592193</v>
      </c>
      <c r="Q208" s="55" t="n">
        <f aca="false">Q206*Q207</f>
        <v>17.1252179199568</v>
      </c>
      <c r="R208" s="55" t="n">
        <f aca="false">R206*R207</f>
        <v>16.4909505895881</v>
      </c>
      <c r="S208" s="55" t="n">
        <f aca="false">S206*S207</f>
        <v>12.3484238014835</v>
      </c>
      <c r="T208" s="55" t="n">
        <f aca="false">T206*T207</f>
        <v>14.2692897261588</v>
      </c>
      <c r="U208" s="55" t="n">
        <f aca="false">U206*U207</f>
        <v>15.5820643809654</v>
      </c>
      <c r="V208" s="55" t="n">
        <f aca="false">V206*V207</f>
        <v>14.6619805794227</v>
      </c>
      <c r="W208" s="55" t="n">
        <f aca="false">W206*W207</f>
        <v>16.0510103185259</v>
      </c>
      <c r="X208" s="55" t="n">
        <f aca="false">X206*X207</f>
        <v>15.8583981947035</v>
      </c>
      <c r="Y208" s="55" t="n">
        <f aca="false">Y206*Y207</f>
        <v>14.7566568464399</v>
      </c>
      <c r="Z208" s="55" t="n">
        <f aca="false">Z206*Z207</f>
        <v>15.3469231202975</v>
      </c>
      <c r="AA208" s="55" t="n">
        <f aca="false">AA206*AA207</f>
        <v>17.4954923571392</v>
      </c>
      <c r="AB208" s="55" t="n">
        <f aca="false">AB206*AB207</f>
        <v>24.4200240690174</v>
      </c>
      <c r="AC208" s="55" t="n">
        <f aca="false">AC206*AC207</f>
        <v>25.8664408792592</v>
      </c>
      <c r="AD208" s="55" t="n">
        <f aca="false">AD206*AD207</f>
        <v>24.429416385967</v>
      </c>
      <c r="AE208" s="55" t="n">
        <f aca="false">AE206*AE207</f>
        <v>17.9409633938542</v>
      </c>
      <c r="AF208" s="55" t="n">
        <f aca="false">AF206*AF207</f>
        <v>20.3330918463681</v>
      </c>
      <c r="AG208" s="55" t="n">
        <f aca="false">AG206*AG207</f>
        <v>21.7767413674602</v>
      </c>
      <c r="AH208" s="55" t="n">
        <f aca="false">AH206*AH207</f>
        <v>20.0968213191133</v>
      </c>
      <c r="AI208" s="55" t="n">
        <f aca="false">AI206*AI207</f>
        <v>21.5776397321006</v>
      </c>
      <c r="AJ208" s="55" t="n">
        <f aca="false">AJ206*AJ207</f>
        <v>20.9087329004055</v>
      </c>
      <c r="AK208" s="55" t="n">
        <f aca="false">AK206*AK207</f>
        <v>19.0819699206858</v>
      </c>
      <c r="AL208" s="55" t="n">
        <f aca="false">AL206*AL207</f>
        <v>19.4636093190996</v>
      </c>
      <c r="AM208" s="53" t="n">
        <f aca="false">SUMIF($C$6:$AL$6,1,C208:AL208)</f>
        <v>49.9105414821019</v>
      </c>
      <c r="AN208" s="53" t="n">
        <f aca="false">SUMIF($C$6:$AL$6,2,C208:AL208)</f>
        <v>179.489498955887</v>
      </c>
      <c r="AO208" s="53" t="n">
        <f aca="false">SUMIF($C$6:$AL$6,3,C208:AL208)</f>
        <v>253.39094349047</v>
      </c>
      <c r="AP208" s="53" t="n">
        <f aca="false">SUM(C208:AL208)</f>
        <v>482.790983928459</v>
      </c>
    </row>
    <row r="209" customFormat="false" ht="15" hidden="false" customHeight="false" outlineLevel="0" collapsed="false">
      <c r="A209" s="7" t="s">
        <v>761</v>
      </c>
      <c r="B209" s="9" t="s">
        <v>342</v>
      </c>
      <c r="C209" s="56" t="n">
        <f aca="false">C208*Assumptions!$D$153</f>
        <v>-0</v>
      </c>
      <c r="D209" s="56" t="n">
        <f aca="false">D208*Assumptions!$D$153</f>
        <v>-0</v>
      </c>
      <c r="E209" s="56" t="n">
        <f aca="false">E208*Assumptions!$D$153</f>
        <v>-0</v>
      </c>
      <c r="F209" s="56" t="n">
        <f aca="false">F208*Assumptions!$D$153</f>
        <v>0</v>
      </c>
      <c r="G209" s="56" t="n">
        <f aca="false">G208*Assumptions!$D$153</f>
        <v>1.35</v>
      </c>
      <c r="H209" s="56" t="n">
        <f aca="false">H208*Assumptions!$D$153</f>
        <v>3.18</v>
      </c>
      <c r="I209" s="56" t="n">
        <f aca="false">I208*Assumptions!$D$153</f>
        <v>5.30901</v>
      </c>
      <c r="J209" s="56" t="n">
        <f aca="false">J208*Assumptions!$D$153</f>
        <v>6.7887912</v>
      </c>
      <c r="K209" s="56" t="n">
        <f aca="false">K208*Assumptions!$D$153</f>
        <v>9.4685772</v>
      </c>
      <c r="L209" s="56" t="n">
        <f aca="false">L208*Assumptions!$D$153</f>
        <v>11.44182868848</v>
      </c>
      <c r="M209" s="56" t="n">
        <f aca="false">M208*Assumptions!$D$153</f>
        <v>10.8516712087584</v>
      </c>
      <c r="N209" s="56" t="n">
        <f aca="false">N208*Assumptions!$D$153</f>
        <v>11.5027714812839</v>
      </c>
      <c r="O209" s="56" t="n">
        <f aca="false">O208*Assumptions!$D$153</f>
        <v>13.3702802629512</v>
      </c>
      <c r="P209" s="56" t="n">
        <f aca="false">P208*Assumptions!$D$153</f>
        <v>19.0280199110631</v>
      </c>
      <c r="Q209" s="56" t="n">
        <f aca="false">Q208*Assumptions!$D$153</f>
        <v>20.5502615039482</v>
      </c>
      <c r="R209" s="56" t="n">
        <f aca="false">R208*Assumptions!$D$153</f>
        <v>19.7891407075057</v>
      </c>
      <c r="S209" s="56" t="n">
        <f aca="false">S208*Assumptions!$D$153</f>
        <v>14.8181085617803</v>
      </c>
      <c r="T209" s="56" t="n">
        <f aca="false">T208*Assumptions!$D$153</f>
        <v>17.1231476713905</v>
      </c>
      <c r="U209" s="56" t="n">
        <f aca="false">U208*Assumptions!$D$153</f>
        <v>18.6984772571584</v>
      </c>
      <c r="V209" s="56" t="n">
        <f aca="false">V208*Assumptions!$D$153</f>
        <v>17.5943766953072</v>
      </c>
      <c r="W209" s="56" t="n">
        <f aca="false">W208*Assumptions!$D$153</f>
        <v>19.261212382231</v>
      </c>
      <c r="X209" s="56" t="n">
        <f aca="false">X208*Assumptions!$D$153</f>
        <v>19.0300778336442</v>
      </c>
      <c r="Y209" s="56" t="n">
        <f aca="false">Y208*Assumptions!$D$153</f>
        <v>17.7079882157279</v>
      </c>
      <c r="Z209" s="56" t="n">
        <f aca="false">Z208*Assumptions!$D$153</f>
        <v>18.416307744357</v>
      </c>
      <c r="AA209" s="56" t="n">
        <f aca="false">AA208*Assumptions!$D$153</f>
        <v>20.994590828567</v>
      </c>
      <c r="AB209" s="56" t="n">
        <f aca="false">AB208*Assumptions!$D$153</f>
        <v>29.3040288828209</v>
      </c>
      <c r="AC209" s="56" t="n">
        <f aca="false">AC208*Assumptions!$D$153</f>
        <v>31.0397290551111</v>
      </c>
      <c r="AD209" s="56" t="n">
        <f aca="false">AD208*Assumptions!$D$153</f>
        <v>29.3152996631605</v>
      </c>
      <c r="AE209" s="56" t="n">
        <f aca="false">AE208*Assumptions!$D$153</f>
        <v>21.529156072625</v>
      </c>
      <c r="AF209" s="56" t="n">
        <f aca="false">AF208*Assumptions!$D$153</f>
        <v>24.3997102156417</v>
      </c>
      <c r="AG209" s="56" t="n">
        <f aca="false">AG208*Assumptions!$D$153</f>
        <v>26.1320896409523</v>
      </c>
      <c r="AH209" s="56" t="n">
        <f aca="false">AH208*Assumptions!$D$153</f>
        <v>24.1161855829359</v>
      </c>
      <c r="AI209" s="56" t="n">
        <f aca="false">AI208*Assumptions!$D$153</f>
        <v>25.8931676785207</v>
      </c>
      <c r="AJ209" s="56" t="n">
        <f aca="false">AJ208*Assumptions!$D$153</f>
        <v>25.0904794804866</v>
      </c>
      <c r="AK209" s="56" t="n">
        <f aca="false">AK208*Assumptions!$D$153</f>
        <v>22.898363904823</v>
      </c>
      <c r="AL209" s="56" t="n">
        <f aca="false">AL208*Assumptions!$D$153</f>
        <v>23.3563311829195</v>
      </c>
      <c r="AM209" s="53" t="n">
        <f aca="false">SUMIF($C$6:$AL$6,1,C209:AL209)</f>
        <v>59.8926497785223</v>
      </c>
      <c r="AN209" s="53" t="n">
        <f aca="false">SUMIF($C$6:$AL$6,2,C209:AL209)</f>
        <v>215.387398747065</v>
      </c>
      <c r="AO209" s="53" t="n">
        <f aca="false">SUMIF($C$6:$AL$6,3,C209:AL209)</f>
        <v>304.069132188564</v>
      </c>
      <c r="AP209" s="53" t="n">
        <f aca="false">SUM(C209:AL209)</f>
        <v>579.349180714151</v>
      </c>
    </row>
    <row r="210" customFormat="false" ht="15" hidden="false" customHeight="false" outlineLevel="0" collapsed="false">
      <c r="A210" s="7" t="s">
        <v>762</v>
      </c>
      <c r="B210" s="9" t="s">
        <v>101</v>
      </c>
      <c r="C210" s="15" t="n">
        <f aca="false">'Unit Economics'!$E$56*Assumptions!$D$153*C204</f>
        <v>0</v>
      </c>
      <c r="D210" s="15" t="n">
        <f aca="false">'Unit Economics'!$E$56*Assumptions!$D$153*D204</f>
        <v>0</v>
      </c>
      <c r="E210" s="15" t="n">
        <f aca="false">'Unit Economics'!$E$56*Assumptions!$D$153*E204</f>
        <v>0</v>
      </c>
      <c r="F210" s="15" t="n">
        <f aca="false">'Unit Economics'!$E$56*Assumptions!$D$153*F204</f>
        <v>0</v>
      </c>
      <c r="G210" s="15" t="n">
        <f aca="false">'Unit Economics'!$E$56*Assumptions!$D$153*G204</f>
        <v>15.588</v>
      </c>
      <c r="H210" s="15" t="n">
        <f aca="false">'Unit Economics'!$E$56*Assumptions!$D$153*H204</f>
        <v>15.588</v>
      </c>
      <c r="I210" s="15" t="n">
        <f aca="false">'Unit Economics'!$E$56*Assumptions!$D$153*I204</f>
        <v>15.588</v>
      </c>
      <c r="J210" s="15" t="n">
        <f aca="false">'Unit Economics'!$E$56*Assumptions!$D$153*J204</f>
        <v>15.588</v>
      </c>
      <c r="K210" s="15" t="n">
        <f aca="false">'Unit Economics'!$E$56*Assumptions!$D$153*K204</f>
        <v>15.588</v>
      </c>
      <c r="L210" s="15" t="n">
        <f aca="false">'Unit Economics'!$E$56*Assumptions!$D$153*L204</f>
        <v>15.588</v>
      </c>
      <c r="M210" s="15" t="n">
        <f aca="false">'Unit Economics'!$E$56*Assumptions!$D$153*M204</f>
        <v>15.588</v>
      </c>
      <c r="N210" s="15" t="n">
        <f aca="false">'Unit Economics'!$E$56*Assumptions!$D$153*N204</f>
        <v>15.588</v>
      </c>
      <c r="O210" s="15" t="n">
        <f aca="false">'Unit Economics'!$E$56*Assumptions!$D$153*O204</f>
        <v>15.588</v>
      </c>
      <c r="P210" s="15" t="n">
        <f aca="false">'Unit Economics'!$E$56*Assumptions!$D$153*P204</f>
        <v>15.588</v>
      </c>
      <c r="Q210" s="15" t="n">
        <f aca="false">'Unit Economics'!$E$56*Assumptions!$D$153*Q204</f>
        <v>15.588</v>
      </c>
      <c r="R210" s="15" t="n">
        <f aca="false">'Unit Economics'!$E$56*Assumptions!$D$153*R204</f>
        <v>15.588</v>
      </c>
      <c r="S210" s="15" t="n">
        <f aca="false">'Unit Economics'!$E$56*Assumptions!$D$153*S204</f>
        <v>15.588</v>
      </c>
      <c r="T210" s="15" t="n">
        <f aca="false">'Unit Economics'!$E$56*Assumptions!$D$153*T204</f>
        <v>15.588</v>
      </c>
      <c r="U210" s="15" t="n">
        <f aca="false">'Unit Economics'!$E$56*Assumptions!$D$153*U204</f>
        <v>15.588</v>
      </c>
      <c r="V210" s="15" t="n">
        <f aca="false">'Unit Economics'!$E$56*Assumptions!$D$153*V204</f>
        <v>15.588</v>
      </c>
      <c r="W210" s="15" t="n">
        <f aca="false">'Unit Economics'!$E$56*Assumptions!$D$153*W204</f>
        <v>15.588</v>
      </c>
      <c r="X210" s="15" t="n">
        <f aca="false">'Unit Economics'!$E$56*Assumptions!$D$153*X204</f>
        <v>15.588</v>
      </c>
      <c r="Y210" s="15" t="n">
        <f aca="false">'Unit Economics'!$E$56*Assumptions!$D$153*Y204</f>
        <v>15.588</v>
      </c>
      <c r="Z210" s="15" t="n">
        <f aca="false">'Unit Economics'!$E$56*Assumptions!$D$153*Z204</f>
        <v>15.588</v>
      </c>
      <c r="AA210" s="15" t="n">
        <f aca="false">'Unit Economics'!$E$56*Assumptions!$D$153*AA204</f>
        <v>15.588</v>
      </c>
      <c r="AB210" s="15" t="n">
        <f aca="false">'Unit Economics'!$E$56*Assumptions!$D$153*AB204</f>
        <v>15.588</v>
      </c>
      <c r="AC210" s="15" t="n">
        <f aca="false">'Unit Economics'!$E$56*Assumptions!$D$153*AC204</f>
        <v>15.588</v>
      </c>
      <c r="AD210" s="15" t="n">
        <f aca="false">'Unit Economics'!$E$56*Assumptions!$D$153*AD204</f>
        <v>15.588</v>
      </c>
      <c r="AE210" s="15" t="n">
        <f aca="false">'Unit Economics'!$E$56*Assumptions!$D$153*AE204</f>
        <v>15.588</v>
      </c>
      <c r="AF210" s="15" t="n">
        <f aca="false">'Unit Economics'!$E$56*Assumptions!$D$153*AF204</f>
        <v>15.588</v>
      </c>
      <c r="AG210" s="15" t="n">
        <f aca="false">'Unit Economics'!$E$56*Assumptions!$D$153*AG204</f>
        <v>15.588</v>
      </c>
      <c r="AH210" s="15" t="n">
        <f aca="false">'Unit Economics'!$E$56*Assumptions!$D$153*AH204</f>
        <v>15.588</v>
      </c>
      <c r="AI210" s="15" t="n">
        <f aca="false">'Unit Economics'!$E$56*Assumptions!$D$153*AI204</f>
        <v>15.588</v>
      </c>
      <c r="AJ210" s="15" t="n">
        <f aca="false">'Unit Economics'!$E$56*Assumptions!$D$153*AJ204</f>
        <v>15.588</v>
      </c>
      <c r="AK210" s="15" t="n">
        <f aca="false">'Unit Economics'!$E$56*Assumptions!$D$153*AK204</f>
        <v>15.588</v>
      </c>
      <c r="AL210" s="15" t="n">
        <f aca="false">'Unit Economics'!$E$56*Assumptions!$D$153*AL204</f>
        <v>15.588</v>
      </c>
    </row>
    <row r="211" customFormat="false" ht="15" hidden="false" customHeight="false" outlineLevel="0" collapsed="false">
      <c r="A211" s="7" t="s">
        <v>763</v>
      </c>
      <c r="B211" s="9" t="s">
        <v>101</v>
      </c>
      <c r="C211" s="8" t="n">
        <f aca="false">C209*'Unit Economics'!$E$56</f>
        <v>-0</v>
      </c>
      <c r="D211" s="8" t="n">
        <f aca="false">D209*'Unit Economics'!$E$56</f>
        <v>-0</v>
      </c>
      <c r="E211" s="8" t="n">
        <f aca="false">E209*'Unit Economics'!$E$56</f>
        <v>-0</v>
      </c>
      <c r="F211" s="8" t="n">
        <f aca="false">F209*'Unit Economics'!$E$56</f>
        <v>0</v>
      </c>
      <c r="G211" s="8" t="n">
        <f aca="false">G209*'Unit Economics'!$E$56</f>
        <v>17.5365</v>
      </c>
      <c r="H211" s="8" t="n">
        <f aca="false">H209*'Unit Economics'!$E$56</f>
        <v>41.3082</v>
      </c>
      <c r="I211" s="8" t="n">
        <f aca="false">I209*'Unit Economics'!$E$56</f>
        <v>68.9640399</v>
      </c>
      <c r="J211" s="8" t="n">
        <f aca="false">J209*'Unit Economics'!$E$56</f>
        <v>88.186397688</v>
      </c>
      <c r="K211" s="8" t="n">
        <f aca="false">K209*'Unit Economics'!$E$56</f>
        <v>122.996817828</v>
      </c>
      <c r="L211" s="8" t="n">
        <f aca="false">L209*'Unit Economics'!$E$56</f>
        <v>148.629354663355</v>
      </c>
      <c r="M211" s="8" t="n">
        <f aca="false">M209*'Unit Economics'!$E$56</f>
        <v>140.963209001772</v>
      </c>
      <c r="N211" s="8" t="n">
        <f aca="false">N209*'Unit Economics'!$E$56</f>
        <v>149.421001541878</v>
      </c>
      <c r="O211" s="8" t="n">
        <f aca="false">O209*'Unit Economics'!$E$56</f>
        <v>173.679940615736</v>
      </c>
      <c r="P211" s="8" t="n">
        <f aca="false">P209*'Unit Economics'!$E$56</f>
        <v>247.17397864471</v>
      </c>
      <c r="Q211" s="8" t="n">
        <f aca="false">Q209*'Unit Economics'!$E$56</f>
        <v>266.947896936287</v>
      </c>
      <c r="R211" s="8" t="n">
        <f aca="false">R209*'Unit Economics'!$E$56</f>
        <v>257.060937790499</v>
      </c>
      <c r="S211" s="8" t="n">
        <f aca="false">S209*'Unit Economics'!$E$56</f>
        <v>192.487230217525</v>
      </c>
      <c r="T211" s="8" t="n">
        <f aca="false">T209*'Unit Economics'!$E$56</f>
        <v>222.429688251363</v>
      </c>
      <c r="U211" s="8" t="n">
        <f aca="false">U209*'Unit Economics'!$E$56</f>
        <v>242.893219570488</v>
      </c>
      <c r="V211" s="8" t="n">
        <f aca="false">V209*'Unit Economics'!$E$56</f>
        <v>228.55095327204</v>
      </c>
      <c r="W211" s="8" t="n">
        <f aca="false">W209*'Unit Economics'!$E$56</f>
        <v>250.203148845181</v>
      </c>
      <c r="X211" s="8" t="n">
        <f aca="false">X209*'Unit Economics'!$E$56</f>
        <v>247.200711059039</v>
      </c>
      <c r="Y211" s="8" t="n">
        <f aca="false">Y209*'Unit Economics'!$E$56</f>
        <v>230.026766922306</v>
      </c>
      <c r="Z211" s="8" t="n">
        <f aca="false">Z209*'Unit Economics'!$E$56</f>
        <v>239.227837599198</v>
      </c>
      <c r="AA211" s="8" t="n">
        <f aca="false">AA209*'Unit Economics'!$E$56</f>
        <v>272.719734863086</v>
      </c>
      <c r="AB211" s="8" t="n">
        <f aca="false">AB209*'Unit Economics'!$E$56</f>
        <v>380.659335187844</v>
      </c>
      <c r="AC211" s="8" t="n">
        <f aca="false">AC209*'Unit Economics'!$E$56</f>
        <v>403.206080425893</v>
      </c>
      <c r="AD211" s="8" t="n">
        <f aca="false">AD209*'Unit Economics'!$E$56</f>
        <v>380.805742624454</v>
      </c>
      <c r="AE211" s="8" t="n">
        <f aca="false">AE209*'Unit Economics'!$E$56</f>
        <v>279.663737383399</v>
      </c>
      <c r="AF211" s="8" t="n">
        <f aca="false">AF209*'Unit Economics'!$E$56</f>
        <v>316.952235701186</v>
      </c>
      <c r="AG211" s="8" t="n">
        <f aca="false">AG209*'Unit Economics'!$E$56</f>
        <v>339.45584443597</v>
      </c>
      <c r="AH211" s="8" t="n">
        <f aca="false">AH209*'Unit Economics'!$E$56</f>
        <v>313.269250722338</v>
      </c>
      <c r="AI211" s="8" t="n">
        <f aca="false">AI209*'Unit Economics'!$E$56</f>
        <v>336.352248143984</v>
      </c>
      <c r="AJ211" s="8" t="n">
        <f aca="false">AJ209*'Unit Economics'!$E$56</f>
        <v>325.925328451521</v>
      </c>
      <c r="AK211" s="8" t="n">
        <f aca="false">AK209*'Unit Economics'!$E$56</f>
        <v>297.449747123651</v>
      </c>
      <c r="AL211" s="8" t="n">
        <f aca="false">AL209*'Unit Economics'!$E$56</f>
        <v>303.398742066124</v>
      </c>
      <c r="AM211" s="45" t="n">
        <f aca="false">SUMIF($C$6:$AL$6,1,C211:AL211)</f>
        <v>778.005520623005</v>
      </c>
      <c r="AN211" s="45" t="n">
        <f aca="false">SUMIF($C$6:$AL$6,2,C211:AL211)</f>
        <v>2797.88230972437</v>
      </c>
      <c r="AO211" s="45" t="n">
        <f aca="false">SUMIF($C$6:$AL$6,3,C211:AL211)</f>
        <v>3949.85802712945</v>
      </c>
      <c r="AP211" s="45" t="n">
        <f aca="false">SUM(C211:AL211)</f>
        <v>7525.74585747683</v>
      </c>
    </row>
    <row r="212" customFormat="false" ht="15" hidden="false" customHeight="false" outlineLevel="0" collapsed="false">
      <c r="A212" s="7" t="s">
        <v>764</v>
      </c>
      <c r="B212" s="9" t="s">
        <v>101</v>
      </c>
      <c r="C212" s="8" t="n">
        <f aca="false">C209*'Unit Economics'!$F$56</f>
        <v>-0</v>
      </c>
      <c r="D212" s="8" t="n">
        <f aca="false">D209*'Unit Economics'!$F$56</f>
        <v>-0</v>
      </c>
      <c r="E212" s="8" t="n">
        <f aca="false">E209*'Unit Economics'!$F$56</f>
        <v>-0</v>
      </c>
      <c r="F212" s="8" t="n">
        <f aca="false">F209*'Unit Economics'!$F$56</f>
        <v>0</v>
      </c>
      <c r="G212" s="8" t="n">
        <f aca="false">G209*'Unit Economics'!$F$56</f>
        <v>6.1069869</v>
      </c>
      <c r="H212" s="8" t="n">
        <f aca="false">H209*'Unit Economics'!$F$56</f>
        <v>14.38534692</v>
      </c>
      <c r="I212" s="8" t="n">
        <f aca="false">I209*'Unit Economics'!$F$56</f>
        <v>24.01633668294</v>
      </c>
      <c r="J212" s="8" t="n">
        <f aca="false">J209*'Unit Economics'!$F$56</f>
        <v>30.7104140186928</v>
      </c>
      <c r="K212" s="8" t="n">
        <f aca="false">K209*'Unit Economics'!$F$56</f>
        <v>42.8329458681768</v>
      </c>
      <c r="L212" s="8" t="n">
        <f aca="false">L209*'Unit Economics'!$F$56</f>
        <v>51.7593317871049</v>
      </c>
      <c r="M212" s="8" t="n">
        <f aca="false">M209*'Unit Economics'!$F$56</f>
        <v>49.0896399370331</v>
      </c>
      <c r="N212" s="8" t="n">
        <f aca="false">N209*'Unit Economics'!$F$56</f>
        <v>52.0350183332551</v>
      </c>
      <c r="O212" s="8" t="n">
        <f aca="false">O209*'Unit Economics'!$F$56</f>
        <v>60.4830566038307</v>
      </c>
      <c r="P212" s="8" t="n">
        <f aca="false">P209*'Unit Economics'!$F$56</f>
        <v>86.0769395035569</v>
      </c>
      <c r="Q212" s="8" t="n">
        <f aca="false">Q209*'Unit Economics'!$F$56</f>
        <v>92.9630946638415</v>
      </c>
      <c r="R212" s="8" t="n">
        <f aca="false">R209*'Unit Economics'!$F$56</f>
        <v>89.5200170836992</v>
      </c>
      <c r="S212" s="8" t="n">
        <f aca="false">S209*'Unit Economics'!$F$56</f>
        <v>67.0325887922739</v>
      </c>
      <c r="T212" s="8" t="n">
        <f aca="false">T209*'Unit Economics'!$F$56</f>
        <v>77.4598803821832</v>
      </c>
      <c r="U212" s="8" t="n">
        <f aca="false">U209*'Unit Economics'!$F$56</f>
        <v>84.5861893773441</v>
      </c>
      <c r="V212" s="8" t="n">
        <f aca="false">V209*'Unit Economics'!$F$56</f>
        <v>79.5915762903009</v>
      </c>
      <c r="W212" s="8" t="n">
        <f aca="false">W209*'Unit Economics'!$F$56</f>
        <v>87.1318308862242</v>
      </c>
      <c r="X212" s="8" t="n">
        <f aca="false">X209*'Unit Economics'!$F$56</f>
        <v>86.0862489155895</v>
      </c>
      <c r="Y212" s="8" t="n">
        <f aca="false">Y209*'Unit Economics'!$F$56</f>
        <v>80.105520043559</v>
      </c>
      <c r="Z212" s="8" t="n">
        <f aca="false">Z209*'Unit Economics'!$F$56</f>
        <v>83.3097408453014</v>
      </c>
      <c r="AA212" s="8" t="n">
        <f aca="false">AA209*'Unit Economics'!$F$56</f>
        <v>94.9731045636436</v>
      </c>
      <c r="AB212" s="8" t="n">
        <f aca="false">AB209*'Unit Economics'!$F$56</f>
        <v>132.562459633044</v>
      </c>
      <c r="AC212" s="8" t="n">
        <f aca="false">AC209*'Unit Economics'!$F$56</f>
        <v>140.414236088232</v>
      </c>
      <c r="AD212" s="8" t="n">
        <f aca="false">AD209*'Unit Economics'!$F$56</f>
        <v>132.613445194441</v>
      </c>
      <c r="AE212" s="8" t="n">
        <f aca="false">AE209*'Unit Economics'!$F$56</f>
        <v>97.3913141507974</v>
      </c>
      <c r="AF212" s="8" t="n">
        <f aca="false">AF209*'Unit Economics'!$F$56</f>
        <v>110.376822704237</v>
      </c>
      <c r="AG212" s="8" t="n">
        <f aca="false">AG209*'Unit Economics'!$F$56</f>
        <v>118.213577116238</v>
      </c>
      <c r="AH212" s="8" t="n">
        <f aca="false">AH209*'Unit Economics'!$F$56</f>
        <v>109.094244024414</v>
      </c>
      <c r="AI212" s="8" t="n">
        <f aca="false">AI209*'Unit Economics'!$F$56</f>
        <v>117.132767268318</v>
      </c>
      <c r="AJ212" s="8" t="n">
        <f aca="false">AJ209*'Unit Economics'!$F$56</f>
        <v>113.501651483</v>
      </c>
      <c r="AK212" s="8" t="n">
        <f aca="false">AK209*'Unit Economics'!$F$56</f>
        <v>103.585191406064</v>
      </c>
      <c r="AL212" s="8" t="n">
        <f aca="false">AL209*'Unit Economics'!$F$56</f>
        <v>105.656895234186</v>
      </c>
      <c r="AM212" s="45" t="n">
        <f aca="false">SUMIF($C$6:$AL$6,1,C212:AL212)</f>
        <v>270.936020447203</v>
      </c>
      <c r="AN212" s="45" t="n">
        <f aca="false">SUMIF($C$6:$AL$6,2,C212:AL212)</f>
        <v>974.346683387704</v>
      </c>
      <c r="AO212" s="45" t="n">
        <f aca="false">SUMIF($C$6:$AL$6,3,C212:AL212)</f>
        <v>1375.51570886661</v>
      </c>
      <c r="AP212" s="45" t="n">
        <f aca="false">SUM(C212:AL212)</f>
        <v>2620.79841270152</v>
      </c>
    </row>
    <row r="213" customFormat="false" ht="15" hidden="false" customHeight="false" outlineLevel="0" collapsed="false">
      <c r="A213" s="5" t="s">
        <v>578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</row>
    <row r="214" customFormat="false" ht="15" hidden="false" customHeight="false" outlineLevel="0" collapsed="false">
      <c r="A214" s="7" t="s">
        <v>755</v>
      </c>
      <c r="B214" s="9" t="s">
        <v>319</v>
      </c>
      <c r="C214" s="38" t="n">
        <f aca="false">IF(AND(Assumptions!$D$155=1,C$4&gt;=Assumptions!$D$156),1,0)</f>
        <v>0</v>
      </c>
      <c r="D214" s="38" t="n">
        <f aca="false">IF(AND(Assumptions!$D$155=1,D$4&gt;=Assumptions!$D$156),1,0)</f>
        <v>0</v>
      </c>
      <c r="E214" s="38" t="n">
        <f aca="false">IF(AND(Assumptions!$D$155=1,E$4&gt;=Assumptions!$D$156),1,0)</f>
        <v>0</v>
      </c>
      <c r="F214" s="38" t="n">
        <f aca="false">IF(AND(Assumptions!$D$155=1,F$4&gt;=Assumptions!$D$156),1,0)</f>
        <v>0</v>
      </c>
      <c r="G214" s="38" t="n">
        <f aca="false">IF(AND(Assumptions!$D$155=1,G$4&gt;=Assumptions!$D$156),1,0)</f>
        <v>0</v>
      </c>
      <c r="H214" s="38" t="n">
        <f aca="false">IF(AND(Assumptions!$D$155=1,H$4&gt;=Assumptions!$D$156),1,0)</f>
        <v>0</v>
      </c>
      <c r="I214" s="38" t="n">
        <f aca="false">IF(AND(Assumptions!$D$155=1,I$4&gt;=Assumptions!$D$156),1,0)</f>
        <v>0</v>
      </c>
      <c r="J214" s="38" t="n">
        <f aca="false">IF(AND(Assumptions!$D$155=1,J$4&gt;=Assumptions!$D$156),1,0)</f>
        <v>0</v>
      </c>
      <c r="K214" s="38" t="n">
        <f aca="false">IF(AND(Assumptions!$D$155=1,K$4&gt;=Assumptions!$D$156),1,0)</f>
        <v>0</v>
      </c>
      <c r="L214" s="38" t="n">
        <f aca="false">IF(AND(Assumptions!$D$155=1,L$4&gt;=Assumptions!$D$156),1,0)</f>
        <v>0</v>
      </c>
      <c r="M214" s="38" t="n">
        <f aca="false">IF(AND(Assumptions!$D$155=1,M$4&gt;=Assumptions!$D$156),1,0)</f>
        <v>0</v>
      </c>
      <c r="N214" s="38" t="n">
        <f aca="false">IF(AND(Assumptions!$D$155=1,N$4&gt;=Assumptions!$D$156),1,0)</f>
        <v>0</v>
      </c>
      <c r="O214" s="38" t="n">
        <f aca="false">IF(AND(Assumptions!$D$155=1,O$4&gt;=Assumptions!$D$156),1,0)</f>
        <v>1</v>
      </c>
      <c r="P214" s="38" t="n">
        <f aca="false">IF(AND(Assumptions!$D$155=1,P$4&gt;=Assumptions!$D$156),1,0)</f>
        <v>1</v>
      </c>
      <c r="Q214" s="38" t="n">
        <f aca="false">IF(AND(Assumptions!$D$155=1,Q$4&gt;=Assumptions!$D$156),1,0)</f>
        <v>1</v>
      </c>
      <c r="R214" s="38" t="n">
        <f aca="false">IF(AND(Assumptions!$D$155=1,R$4&gt;=Assumptions!$D$156),1,0)</f>
        <v>1</v>
      </c>
      <c r="S214" s="38" t="n">
        <f aca="false">IF(AND(Assumptions!$D$155=1,S$4&gt;=Assumptions!$D$156),1,0)</f>
        <v>1</v>
      </c>
      <c r="T214" s="38" t="n">
        <f aca="false">IF(AND(Assumptions!$D$155=1,T$4&gt;=Assumptions!$D$156),1,0)</f>
        <v>1</v>
      </c>
      <c r="U214" s="38" t="n">
        <f aca="false">IF(AND(Assumptions!$D$155=1,U$4&gt;=Assumptions!$D$156),1,0)</f>
        <v>1</v>
      </c>
      <c r="V214" s="38" t="n">
        <f aca="false">IF(AND(Assumptions!$D$155=1,V$4&gt;=Assumptions!$D$156),1,0)</f>
        <v>1</v>
      </c>
      <c r="W214" s="38" t="n">
        <f aca="false">IF(AND(Assumptions!$D$155=1,W$4&gt;=Assumptions!$D$156),1,0)</f>
        <v>1</v>
      </c>
      <c r="X214" s="38" t="n">
        <f aca="false">IF(AND(Assumptions!$D$155=1,X$4&gt;=Assumptions!$D$156),1,0)</f>
        <v>1</v>
      </c>
      <c r="Y214" s="38" t="n">
        <f aca="false">IF(AND(Assumptions!$D$155=1,Y$4&gt;=Assumptions!$D$156),1,0)</f>
        <v>1</v>
      </c>
      <c r="Z214" s="38" t="n">
        <f aca="false">IF(AND(Assumptions!$D$155=1,Z$4&gt;=Assumptions!$D$156),1,0)</f>
        <v>1</v>
      </c>
      <c r="AA214" s="38" t="n">
        <f aca="false">IF(AND(Assumptions!$D$155=1,AA$4&gt;=Assumptions!$D$156),1,0)</f>
        <v>1</v>
      </c>
      <c r="AB214" s="38" t="n">
        <f aca="false">IF(AND(Assumptions!$D$155=1,AB$4&gt;=Assumptions!$D$156),1,0)</f>
        <v>1</v>
      </c>
      <c r="AC214" s="38" t="n">
        <f aca="false">IF(AND(Assumptions!$D$155=1,AC$4&gt;=Assumptions!$D$156),1,0)</f>
        <v>1</v>
      </c>
      <c r="AD214" s="38" t="n">
        <f aca="false">IF(AND(Assumptions!$D$155=1,AD$4&gt;=Assumptions!$D$156),1,0)</f>
        <v>1</v>
      </c>
      <c r="AE214" s="38" t="n">
        <f aca="false">IF(AND(Assumptions!$D$155=1,AE$4&gt;=Assumptions!$D$156),1,0)</f>
        <v>1</v>
      </c>
      <c r="AF214" s="38" t="n">
        <f aca="false">IF(AND(Assumptions!$D$155=1,AF$4&gt;=Assumptions!$D$156),1,0)</f>
        <v>1</v>
      </c>
      <c r="AG214" s="38" t="n">
        <f aca="false">IF(AND(Assumptions!$D$155=1,AG$4&gt;=Assumptions!$D$156),1,0)</f>
        <v>1</v>
      </c>
      <c r="AH214" s="38" t="n">
        <f aca="false">IF(AND(Assumptions!$D$155=1,AH$4&gt;=Assumptions!$D$156),1,0)</f>
        <v>1</v>
      </c>
      <c r="AI214" s="38" t="n">
        <f aca="false">IF(AND(Assumptions!$D$155=1,AI$4&gt;=Assumptions!$D$156),1,0)</f>
        <v>1</v>
      </c>
      <c r="AJ214" s="38" t="n">
        <f aca="false">IF(AND(Assumptions!$D$155=1,AJ$4&gt;=Assumptions!$D$156),1,0)</f>
        <v>1</v>
      </c>
      <c r="AK214" s="38" t="n">
        <f aca="false">IF(AND(Assumptions!$D$155=1,AK$4&gt;=Assumptions!$D$156),1,0)</f>
        <v>1</v>
      </c>
      <c r="AL214" s="38" t="n">
        <f aca="false">IF(AND(Assumptions!$D$155=1,AL$4&gt;=Assumptions!$D$156),1,0)</f>
        <v>1</v>
      </c>
    </row>
    <row r="215" customFormat="false" ht="15" hidden="false" customHeight="false" outlineLevel="0" collapsed="false">
      <c r="A215" s="7" t="s">
        <v>756</v>
      </c>
      <c r="B215" s="9" t="s">
        <v>327</v>
      </c>
      <c r="C215" s="14" t="n">
        <f aca="false">IF(C214=0,0,Assumptions!$D$157)</f>
        <v>0</v>
      </c>
      <c r="D215" s="14" t="n">
        <f aca="false">IF(D214=0,0,IF(D$4=Assumptions!$D$156,Assumptions!$D$157,C215*(1+CHOOSE(D$6,Assumptions!$D$158,Assumptions!$D$159,Assumptions!$D$160))))</f>
        <v>0</v>
      </c>
      <c r="E215" s="14" t="n">
        <f aca="false">IF(E214=0,0,IF(E$4=Assumptions!$D$156,Assumptions!$D$157,D215*(1+CHOOSE(E$6,Assumptions!$D$158,Assumptions!$D$159,Assumptions!$D$160))))</f>
        <v>0</v>
      </c>
      <c r="F215" s="14" t="n">
        <f aca="false">IF(F214=0,0,IF(F$4=Assumptions!$D$156,Assumptions!$D$157,E215*(1+CHOOSE(F$6,Assumptions!$D$158,Assumptions!$D$159,Assumptions!$D$160))))</f>
        <v>0</v>
      </c>
      <c r="G215" s="14" t="n">
        <f aca="false">IF(G214=0,0,IF(G$4=Assumptions!$D$156,Assumptions!$D$157,F215*(1+CHOOSE(G$6,Assumptions!$D$158,Assumptions!$D$159,Assumptions!$D$160))))</f>
        <v>0</v>
      </c>
      <c r="H215" s="14" t="n">
        <f aca="false">IF(H214=0,0,IF(H$4=Assumptions!$D$156,Assumptions!$D$157,G215*(1+CHOOSE(H$6,Assumptions!$D$158,Assumptions!$D$159,Assumptions!$D$160))))</f>
        <v>0</v>
      </c>
      <c r="I215" s="14" t="n">
        <f aca="false">IF(I214=0,0,IF(I$4=Assumptions!$D$156,Assumptions!$D$157,H215*(1+CHOOSE(I$6,Assumptions!$D$158,Assumptions!$D$159,Assumptions!$D$160))))</f>
        <v>0</v>
      </c>
      <c r="J215" s="14" t="n">
        <f aca="false">IF(J214=0,0,IF(J$4=Assumptions!$D$156,Assumptions!$D$157,I215*(1+CHOOSE(J$6,Assumptions!$D$158,Assumptions!$D$159,Assumptions!$D$160))))</f>
        <v>0</v>
      </c>
      <c r="K215" s="14" t="n">
        <f aca="false">IF(K214=0,0,IF(K$4=Assumptions!$D$156,Assumptions!$D$157,J215*(1+CHOOSE(K$6,Assumptions!$D$158,Assumptions!$D$159,Assumptions!$D$160))))</f>
        <v>0</v>
      </c>
      <c r="L215" s="14" t="n">
        <f aca="false">IF(L214=0,0,IF(L$4=Assumptions!$D$156,Assumptions!$D$157,K215*(1+CHOOSE(L$6,Assumptions!$D$158,Assumptions!$D$159,Assumptions!$D$160))))</f>
        <v>0</v>
      </c>
      <c r="M215" s="14" t="n">
        <f aca="false">IF(M214=0,0,IF(M$4=Assumptions!$D$156,Assumptions!$D$157,L215*(1+CHOOSE(M$6,Assumptions!$D$158,Assumptions!$D$159,Assumptions!$D$160))))</f>
        <v>0</v>
      </c>
      <c r="N215" s="14" t="n">
        <f aca="false">IF(N214=0,0,IF(N$4=Assumptions!$D$156,Assumptions!$D$157,M215*(1+CHOOSE(N$6,Assumptions!$D$158,Assumptions!$D$159,Assumptions!$D$160))))</f>
        <v>0</v>
      </c>
      <c r="O215" s="14" t="n">
        <f aca="false">IF(O214=0,0,IF(O$4=Assumptions!$D$156,Assumptions!$D$157,N215*(1+CHOOSE(O$6,Assumptions!$D$158,Assumptions!$D$159,Assumptions!$D$160))))</f>
        <v>300</v>
      </c>
      <c r="P215" s="14" t="n">
        <f aca="false">IF(P214=0,0,IF(P$4=Assumptions!$D$156,Assumptions!$D$157,O215*(1+CHOOSE(P$6,Assumptions!$D$158,Assumptions!$D$159,Assumptions!$D$160))))</f>
        <v>318</v>
      </c>
      <c r="Q215" s="14" t="n">
        <f aca="false">IF(Q214=0,0,IF(Q$4=Assumptions!$D$156,Assumptions!$D$157,P215*(1+CHOOSE(Q$6,Assumptions!$D$158,Assumptions!$D$159,Assumptions!$D$160))))</f>
        <v>337.08</v>
      </c>
      <c r="R215" s="14" t="n">
        <f aca="false">IF(R214=0,0,IF(R$4=Assumptions!$D$156,Assumptions!$D$157,Q215*(1+CHOOSE(R$6,Assumptions!$D$158,Assumptions!$D$159,Assumptions!$D$160))))</f>
        <v>357.3048</v>
      </c>
      <c r="S215" s="14" t="n">
        <f aca="false">IF(S214=0,0,IF(S$4=Assumptions!$D$156,Assumptions!$D$157,R215*(1+CHOOSE(S$6,Assumptions!$D$158,Assumptions!$D$159,Assumptions!$D$160))))</f>
        <v>378.743088</v>
      </c>
      <c r="T215" s="14" t="n">
        <f aca="false">IF(T214=0,0,IF(T$4=Assumptions!$D$156,Assumptions!$D$157,S215*(1+CHOOSE(T$6,Assumptions!$D$158,Assumptions!$D$159,Assumptions!$D$160))))</f>
        <v>401.46767328</v>
      </c>
      <c r="U215" s="14" t="n">
        <f aca="false">IF(U214=0,0,IF(U$4=Assumptions!$D$156,Assumptions!$D$157,T215*(1+CHOOSE(U$6,Assumptions!$D$158,Assumptions!$D$159,Assumptions!$D$160))))</f>
        <v>425.5557336768</v>
      </c>
      <c r="V215" s="14" t="n">
        <f aca="false">IF(V214=0,0,IF(V$4=Assumptions!$D$156,Assumptions!$D$157,U215*(1+CHOOSE(V$6,Assumptions!$D$158,Assumptions!$D$159,Assumptions!$D$160))))</f>
        <v>451.089077697408</v>
      </c>
      <c r="W215" s="14" t="n">
        <f aca="false">IF(W214=0,0,IF(W$4=Assumptions!$D$156,Assumptions!$D$157,V215*(1+CHOOSE(W$6,Assumptions!$D$158,Assumptions!$D$159,Assumptions!$D$160))))</f>
        <v>478.154422359253</v>
      </c>
      <c r="X215" s="14" t="n">
        <f aca="false">IF(X214=0,0,IF(X$4=Assumptions!$D$156,Assumptions!$D$157,W215*(1+CHOOSE(X$6,Assumptions!$D$158,Assumptions!$D$159,Assumptions!$D$160))))</f>
        <v>506.843687700808</v>
      </c>
      <c r="Y215" s="14" t="n">
        <f aca="false">IF(Y214=0,0,IF(Y$4=Assumptions!$D$156,Assumptions!$D$157,X215*(1+CHOOSE(Y$6,Assumptions!$D$158,Assumptions!$D$159,Assumptions!$D$160))))</f>
        <v>537.254308962856</v>
      </c>
      <c r="Z215" s="14" t="n">
        <f aca="false">IF(Z214=0,0,IF(Z$4=Assumptions!$D$156,Assumptions!$D$157,Y215*(1+CHOOSE(Z$6,Assumptions!$D$158,Assumptions!$D$159,Assumptions!$D$160))))</f>
        <v>569.489567500628</v>
      </c>
      <c r="AA215" s="14" t="n">
        <f aca="false">IF(AA214=0,0,IF(AA$4=Assumptions!$D$156,Assumptions!$D$157,Z215*(1+CHOOSE(AA$6,Assumptions!$D$158,Assumptions!$D$159,Assumptions!$D$160))))</f>
        <v>586.574254525647</v>
      </c>
      <c r="AB215" s="14" t="n">
        <f aca="false">IF(AB214=0,0,IF(AB$4=Assumptions!$D$156,Assumptions!$D$157,AA215*(1+CHOOSE(AB$6,Assumptions!$D$158,Assumptions!$D$159,Assumptions!$D$160))))</f>
        <v>604.171482161416</v>
      </c>
      <c r="AC215" s="14" t="n">
        <f aca="false">IF(AC214=0,0,IF(AC$4=Assumptions!$D$156,Assumptions!$D$157,AB215*(1+CHOOSE(AC$6,Assumptions!$D$158,Assumptions!$D$159,Assumptions!$D$160))))</f>
        <v>622.296626626259</v>
      </c>
      <c r="AD215" s="14" t="n">
        <f aca="false">IF(AD214=0,0,IF(AD$4=Assumptions!$D$156,Assumptions!$D$157,AC215*(1+CHOOSE(AD$6,Assumptions!$D$158,Assumptions!$D$159,Assumptions!$D$160))))</f>
        <v>640.965525425046</v>
      </c>
      <c r="AE215" s="14" t="n">
        <f aca="false">IF(AE214=0,0,IF(AE$4=Assumptions!$D$156,Assumptions!$D$157,AD215*(1+CHOOSE(AE$6,Assumptions!$D$158,Assumptions!$D$159,Assumptions!$D$160))))</f>
        <v>660.194491187798</v>
      </c>
      <c r="AF215" s="14" t="n">
        <f aca="false">IF(AF214=0,0,IF(AF$4=Assumptions!$D$156,Assumptions!$D$157,AE215*(1+CHOOSE(AF$6,Assumptions!$D$158,Assumptions!$D$159,Assumptions!$D$160))))</f>
        <v>680.000325923432</v>
      </c>
      <c r="AG215" s="14" t="n">
        <f aca="false">IF(AG214=0,0,IF(AG$4=Assumptions!$D$156,Assumptions!$D$157,AF215*(1+CHOOSE(AG$6,Assumptions!$D$158,Assumptions!$D$159,Assumptions!$D$160))))</f>
        <v>700.400335701135</v>
      </c>
      <c r="AH215" s="14" t="n">
        <f aca="false">IF(AH214=0,0,IF(AH$4=Assumptions!$D$156,Assumptions!$D$157,AG215*(1+CHOOSE(AH$6,Assumptions!$D$158,Assumptions!$D$159,Assumptions!$D$160))))</f>
        <v>721.412345772169</v>
      </c>
      <c r="AI215" s="14" t="n">
        <f aca="false">IF(AI214=0,0,IF(AI$4=Assumptions!$D$156,Assumptions!$D$157,AH215*(1+CHOOSE(AI$6,Assumptions!$D$158,Assumptions!$D$159,Assumptions!$D$160))))</f>
        <v>743.054716145334</v>
      </c>
      <c r="AJ215" s="14" t="n">
        <f aca="false">IF(AJ214=0,0,IF(AJ$4=Assumptions!$D$156,Assumptions!$D$157,AI215*(1+CHOOSE(AJ$6,Assumptions!$D$158,Assumptions!$D$159,Assumptions!$D$160))))</f>
        <v>765.346357629694</v>
      </c>
      <c r="AK215" s="14" t="n">
        <f aca="false">IF(AK214=0,0,IF(AK$4=Assumptions!$D$156,Assumptions!$D$157,AJ215*(1+CHOOSE(AK$6,Assumptions!$D$158,Assumptions!$D$159,Assumptions!$D$160))))</f>
        <v>788.306748358585</v>
      </c>
      <c r="AL215" s="14" t="n">
        <f aca="false">IF(AL214=0,0,IF(AL$4=Assumptions!$D$156,Assumptions!$D$157,AK215*(1+CHOOSE(AL$6,Assumptions!$D$158,Assumptions!$D$159,Assumptions!$D$160))))</f>
        <v>811.955950809342</v>
      </c>
    </row>
    <row r="216" customFormat="false" ht="15" hidden="false" customHeight="false" outlineLevel="0" collapsed="false">
      <c r="A216" s="7" t="s">
        <v>774</v>
      </c>
      <c r="B216" s="9" t="s">
        <v>327</v>
      </c>
      <c r="C216" s="52" t="n">
        <f aca="false">C215*C$8</f>
        <v>0</v>
      </c>
      <c r="D216" s="52" t="n">
        <f aca="false">D215*D$8</f>
        <v>0</v>
      </c>
      <c r="E216" s="52" t="n">
        <f aca="false">E215*E$8</f>
        <v>0</v>
      </c>
      <c r="F216" s="52" t="n">
        <f aca="false">F215*F$8</f>
        <v>0</v>
      </c>
      <c r="G216" s="52" t="n">
        <f aca="false">G215*G$8</f>
        <v>0</v>
      </c>
      <c r="H216" s="52" t="n">
        <f aca="false">H215*H$8</f>
        <v>0</v>
      </c>
      <c r="I216" s="52" t="n">
        <f aca="false">I215*I$8</f>
        <v>0</v>
      </c>
      <c r="J216" s="52" t="n">
        <f aca="false">J215*J$8</f>
        <v>0</v>
      </c>
      <c r="K216" s="52" t="n">
        <f aca="false">K215*K$8</f>
        <v>0</v>
      </c>
      <c r="L216" s="52" t="n">
        <f aca="false">L215*L$8</f>
        <v>0</v>
      </c>
      <c r="M216" s="52" t="n">
        <f aca="false">M215*M$8</f>
        <v>0</v>
      </c>
      <c r="N216" s="52" t="n">
        <f aca="false">N215*N$8</f>
        <v>0</v>
      </c>
      <c r="O216" s="52" t="n">
        <f aca="false">O215*O$8</f>
        <v>360</v>
      </c>
      <c r="P216" s="52" t="n">
        <f aca="false">P215*P$8</f>
        <v>318</v>
      </c>
      <c r="Q216" s="52" t="n">
        <f aca="false">Q215*Q$8</f>
        <v>235.956</v>
      </c>
      <c r="R216" s="52" t="n">
        <f aca="false">R215*R$8</f>
        <v>393.03528</v>
      </c>
      <c r="S216" s="52" t="n">
        <f aca="false">S215*S$8</f>
        <v>378.743088</v>
      </c>
      <c r="T216" s="52" t="n">
        <f aca="false">T215*T$8</f>
        <v>401.46767328</v>
      </c>
      <c r="U216" s="52" t="n">
        <f aca="false">U215*U$8</f>
        <v>383.00016030912</v>
      </c>
      <c r="V216" s="52" t="n">
        <f aca="false">V215*V$8</f>
        <v>315.762354388186</v>
      </c>
      <c r="W216" s="52" t="n">
        <f aca="false">W215*W$8</f>
        <v>191.261768943701</v>
      </c>
      <c r="X216" s="52" t="n">
        <f aca="false">X215*X$8</f>
        <v>304.106212620485</v>
      </c>
      <c r="Y216" s="52" t="n">
        <f aca="false">Y215*Y$8</f>
        <v>698.430601651713</v>
      </c>
      <c r="Z216" s="52" t="n">
        <f aca="false">Z215*Z$8</f>
        <v>797.285394500879</v>
      </c>
      <c r="AA216" s="52" t="n">
        <f aca="false">AA215*AA$8</f>
        <v>703.889105430776</v>
      </c>
      <c r="AB216" s="52" t="n">
        <f aca="false">AB215*AB$8</f>
        <v>604.171482161416</v>
      </c>
      <c r="AC216" s="52" t="n">
        <f aca="false">AC215*AC$8</f>
        <v>435.607638638381</v>
      </c>
      <c r="AD216" s="52" t="n">
        <f aca="false">AD215*AD$8</f>
        <v>705.062077967551</v>
      </c>
      <c r="AE216" s="52" t="n">
        <f aca="false">AE215*AE$8</f>
        <v>660.194491187798</v>
      </c>
      <c r="AF216" s="52" t="n">
        <f aca="false">AF215*AF$8</f>
        <v>680.000325923432</v>
      </c>
      <c r="AG216" s="52" t="n">
        <f aca="false">AG215*AG$8</f>
        <v>630.360302131021</v>
      </c>
      <c r="AH216" s="52" t="n">
        <f aca="false">AH215*AH$8</f>
        <v>504.988642040518</v>
      </c>
      <c r="AI216" s="52" t="n">
        <f aca="false">AI215*AI$8</f>
        <v>297.221886458134</v>
      </c>
      <c r="AJ216" s="52" t="n">
        <f aca="false">AJ215*AJ$8</f>
        <v>459.207814577816</v>
      </c>
      <c r="AK216" s="52" t="n">
        <f aca="false">AK215*AK$8</f>
        <v>1024.79877286616</v>
      </c>
      <c r="AL216" s="52" t="n">
        <f aca="false">AL215*AL$8</f>
        <v>1136.73833113308</v>
      </c>
      <c r="AM216" s="53" t="n">
        <f aca="false">SUMIF($C$6:$AL$6,1,C216:AL216)</f>
        <v>0</v>
      </c>
      <c r="AN216" s="53" t="n">
        <f aca="false">SUMIF($C$6:$AL$6,2,C216:AL216)</f>
        <v>4777.04853369408</v>
      </c>
      <c r="AO216" s="53" t="n">
        <f aca="false">SUMIF($C$6:$AL$6,3,C216:AL216)</f>
        <v>7842.24087051608</v>
      </c>
      <c r="AP216" s="53" t="n">
        <f aca="false">SUM(C216:AL216)</f>
        <v>12619.2894042102</v>
      </c>
    </row>
    <row r="217" customFormat="false" ht="15" hidden="false" customHeight="false" outlineLevel="0" collapsed="false">
      <c r="A217" s="7" t="s">
        <v>758</v>
      </c>
      <c r="B217" s="9" t="s">
        <v>96</v>
      </c>
      <c r="C217" s="54" t="n">
        <f aca="false">Assumptions!$D$161*MIN(1,(C$4-Assumptions!$D$156+1)/Assumptions!$C$10)*C214</f>
        <v>-0</v>
      </c>
      <c r="D217" s="54" t="n">
        <f aca="false">Assumptions!$D$161*MIN(1,(D$4-Assumptions!$D$156+1)/Assumptions!$C$10)*D214</f>
        <v>-0</v>
      </c>
      <c r="E217" s="54" t="n">
        <f aca="false">Assumptions!$D$161*MIN(1,(E$4-Assumptions!$D$156+1)/Assumptions!$C$10)*E214</f>
        <v>-0</v>
      </c>
      <c r="F217" s="54" t="n">
        <f aca="false">Assumptions!$D$161*MIN(1,(F$4-Assumptions!$D$156+1)/Assumptions!$C$10)*F214</f>
        <v>-0</v>
      </c>
      <c r="G217" s="54" t="n">
        <f aca="false">Assumptions!$D$161*MIN(1,(G$4-Assumptions!$D$156+1)/Assumptions!$C$10)*G214</f>
        <v>-0</v>
      </c>
      <c r="H217" s="54" t="n">
        <f aca="false">Assumptions!$D$161*MIN(1,(H$4-Assumptions!$D$156+1)/Assumptions!$C$10)*H214</f>
        <v>-0</v>
      </c>
      <c r="I217" s="54" t="n">
        <f aca="false">Assumptions!$D$161*MIN(1,(I$4-Assumptions!$D$156+1)/Assumptions!$C$10)*I214</f>
        <v>-0</v>
      </c>
      <c r="J217" s="54" t="n">
        <f aca="false">Assumptions!$D$161*MIN(1,(J$4-Assumptions!$D$156+1)/Assumptions!$C$10)*J214</f>
        <v>-0</v>
      </c>
      <c r="K217" s="54" t="n">
        <f aca="false">Assumptions!$D$161*MIN(1,(K$4-Assumptions!$D$156+1)/Assumptions!$C$10)*K214</f>
        <v>-0</v>
      </c>
      <c r="L217" s="54" t="n">
        <f aca="false">Assumptions!$D$161*MIN(1,(L$4-Assumptions!$D$156+1)/Assumptions!$C$10)*L214</f>
        <v>-0</v>
      </c>
      <c r="M217" s="54" t="n">
        <f aca="false">Assumptions!$D$161*MIN(1,(M$4-Assumptions!$D$156+1)/Assumptions!$C$10)*M214</f>
        <v>-0</v>
      </c>
      <c r="N217" s="54" t="n">
        <f aca="false">Assumptions!$D$161*MIN(1,(N$4-Assumptions!$D$156+1)/Assumptions!$C$10)*N214</f>
        <v>0</v>
      </c>
      <c r="O217" s="54" t="n">
        <f aca="false">Assumptions!$D$161*MIN(1,(O$4-Assumptions!$D$156+1)/Assumptions!$C$10)*O214</f>
        <v>0.0025</v>
      </c>
      <c r="P217" s="54" t="n">
        <f aca="false">Assumptions!$D$161*MIN(1,(P$4-Assumptions!$D$156+1)/Assumptions!$C$10)*P214</f>
        <v>0.005</v>
      </c>
      <c r="Q217" s="54" t="n">
        <f aca="false">Assumptions!$D$161*MIN(1,(Q$4-Assumptions!$D$156+1)/Assumptions!$C$10)*Q214</f>
        <v>0.0075</v>
      </c>
      <c r="R217" s="54" t="n">
        <f aca="false">Assumptions!$D$161*MIN(1,(R$4-Assumptions!$D$156+1)/Assumptions!$C$10)*R214</f>
        <v>0.01</v>
      </c>
      <c r="S217" s="54" t="n">
        <f aca="false">Assumptions!$D$161*MIN(1,(S$4-Assumptions!$D$156+1)/Assumptions!$C$10)*S214</f>
        <v>0.0125</v>
      </c>
      <c r="T217" s="54" t="n">
        <f aca="false">Assumptions!$D$161*MIN(1,(T$4-Assumptions!$D$156+1)/Assumptions!$C$10)*T214</f>
        <v>0.015</v>
      </c>
      <c r="U217" s="54" t="n">
        <f aca="false">Assumptions!$D$161*MIN(1,(U$4-Assumptions!$D$156+1)/Assumptions!$C$10)*U214</f>
        <v>0.015</v>
      </c>
      <c r="V217" s="54" t="n">
        <f aca="false">Assumptions!$D$161*MIN(1,(V$4-Assumptions!$D$156+1)/Assumptions!$C$10)*V214</f>
        <v>0.015</v>
      </c>
      <c r="W217" s="54" t="n">
        <f aca="false">Assumptions!$D$161*MIN(1,(W$4-Assumptions!$D$156+1)/Assumptions!$C$10)*W214</f>
        <v>0.015</v>
      </c>
      <c r="X217" s="54" t="n">
        <f aca="false">Assumptions!$D$161*MIN(1,(X$4-Assumptions!$D$156+1)/Assumptions!$C$10)*X214</f>
        <v>0.015</v>
      </c>
      <c r="Y217" s="54" t="n">
        <f aca="false">Assumptions!$D$161*MIN(1,(Y$4-Assumptions!$D$156+1)/Assumptions!$C$10)*Y214</f>
        <v>0.015</v>
      </c>
      <c r="Z217" s="54" t="n">
        <f aca="false">Assumptions!$D$161*MIN(1,(Z$4-Assumptions!$D$156+1)/Assumptions!$C$10)*Z214</f>
        <v>0.015</v>
      </c>
      <c r="AA217" s="54" t="n">
        <f aca="false">Assumptions!$D$161*MIN(1,(AA$4-Assumptions!$D$156+1)/Assumptions!$C$10)*AA214</f>
        <v>0.015</v>
      </c>
      <c r="AB217" s="54" t="n">
        <f aca="false">Assumptions!$D$161*MIN(1,(AB$4-Assumptions!$D$156+1)/Assumptions!$C$10)*AB214</f>
        <v>0.015</v>
      </c>
      <c r="AC217" s="54" t="n">
        <f aca="false">Assumptions!$D$161*MIN(1,(AC$4-Assumptions!$D$156+1)/Assumptions!$C$10)*AC214</f>
        <v>0.015</v>
      </c>
      <c r="AD217" s="54" t="n">
        <f aca="false">Assumptions!$D$161*MIN(1,(AD$4-Assumptions!$D$156+1)/Assumptions!$C$10)*AD214</f>
        <v>0.015</v>
      </c>
      <c r="AE217" s="54" t="n">
        <f aca="false">Assumptions!$D$161*MIN(1,(AE$4-Assumptions!$D$156+1)/Assumptions!$C$10)*AE214</f>
        <v>0.015</v>
      </c>
      <c r="AF217" s="54" t="n">
        <f aca="false">Assumptions!$D$161*MIN(1,(AF$4-Assumptions!$D$156+1)/Assumptions!$C$10)*AF214</f>
        <v>0.015</v>
      </c>
      <c r="AG217" s="54" t="n">
        <f aca="false">Assumptions!$D$161*MIN(1,(AG$4-Assumptions!$D$156+1)/Assumptions!$C$10)*AG214</f>
        <v>0.015</v>
      </c>
      <c r="AH217" s="54" t="n">
        <f aca="false">Assumptions!$D$161*MIN(1,(AH$4-Assumptions!$D$156+1)/Assumptions!$C$10)*AH214</f>
        <v>0.015</v>
      </c>
      <c r="AI217" s="54" t="n">
        <f aca="false">Assumptions!$D$161*MIN(1,(AI$4-Assumptions!$D$156+1)/Assumptions!$C$10)*AI214</f>
        <v>0.015</v>
      </c>
      <c r="AJ217" s="54" t="n">
        <f aca="false">Assumptions!$D$161*MIN(1,(AJ$4-Assumptions!$D$156+1)/Assumptions!$C$10)*AJ214</f>
        <v>0.015</v>
      </c>
      <c r="AK217" s="54" t="n">
        <f aca="false">Assumptions!$D$161*MIN(1,(AK$4-Assumptions!$D$156+1)/Assumptions!$C$10)*AK214</f>
        <v>0.015</v>
      </c>
      <c r="AL217" s="54" t="n">
        <f aca="false">Assumptions!$D$161*MIN(1,(AL$4-Assumptions!$D$156+1)/Assumptions!$C$10)*AL214</f>
        <v>0.015</v>
      </c>
    </row>
    <row r="218" customFormat="false" ht="15" hidden="false" customHeight="false" outlineLevel="0" collapsed="false">
      <c r="A218" s="7" t="s">
        <v>766</v>
      </c>
      <c r="B218" s="9" t="s">
        <v>760</v>
      </c>
      <c r="C218" s="55" t="n">
        <f aca="false">C216*C217</f>
        <v>-0</v>
      </c>
      <c r="D218" s="55" t="n">
        <f aca="false">D216*D217</f>
        <v>-0</v>
      </c>
      <c r="E218" s="55" t="n">
        <f aca="false">E216*E217</f>
        <v>-0</v>
      </c>
      <c r="F218" s="55" t="n">
        <f aca="false">F216*F217</f>
        <v>-0</v>
      </c>
      <c r="G218" s="55" t="n">
        <f aca="false">G216*G217</f>
        <v>-0</v>
      </c>
      <c r="H218" s="55" t="n">
        <f aca="false">H216*H217</f>
        <v>-0</v>
      </c>
      <c r="I218" s="55" t="n">
        <f aca="false">I216*I217</f>
        <v>-0</v>
      </c>
      <c r="J218" s="55" t="n">
        <f aca="false">J216*J217</f>
        <v>-0</v>
      </c>
      <c r="K218" s="55" t="n">
        <f aca="false">K216*K217</f>
        <v>-0</v>
      </c>
      <c r="L218" s="55" t="n">
        <f aca="false">L216*L217</f>
        <v>-0</v>
      </c>
      <c r="M218" s="55" t="n">
        <f aca="false">M216*M217</f>
        <v>-0</v>
      </c>
      <c r="N218" s="55" t="n">
        <f aca="false">N216*N217</f>
        <v>0</v>
      </c>
      <c r="O218" s="55" t="n">
        <f aca="false">O216*O217</f>
        <v>0.9</v>
      </c>
      <c r="P218" s="55" t="n">
        <f aca="false">P216*P217</f>
        <v>1.59</v>
      </c>
      <c r="Q218" s="55" t="n">
        <f aca="false">Q216*Q217</f>
        <v>1.76967</v>
      </c>
      <c r="R218" s="55" t="n">
        <f aca="false">R216*R217</f>
        <v>3.9303528</v>
      </c>
      <c r="S218" s="55" t="n">
        <f aca="false">S216*S217</f>
        <v>4.7342886</v>
      </c>
      <c r="T218" s="55" t="n">
        <f aca="false">T216*T217</f>
        <v>6.0220150992</v>
      </c>
      <c r="U218" s="55" t="n">
        <f aca="false">U216*U217</f>
        <v>5.7450024046368</v>
      </c>
      <c r="V218" s="55" t="n">
        <f aca="false">V216*V217</f>
        <v>4.73643531582279</v>
      </c>
      <c r="W218" s="55" t="n">
        <f aca="false">W216*W217</f>
        <v>2.86892653415552</v>
      </c>
      <c r="X218" s="55" t="n">
        <f aca="false">X216*X217</f>
        <v>4.56159318930727</v>
      </c>
      <c r="Y218" s="55" t="n">
        <f aca="false">Y216*Y217</f>
        <v>10.4764590247757</v>
      </c>
      <c r="Z218" s="55" t="n">
        <f aca="false">Z216*Z217</f>
        <v>11.9592809175132</v>
      </c>
      <c r="AA218" s="55" t="n">
        <f aca="false">AA216*AA217</f>
        <v>10.5583365814616</v>
      </c>
      <c r="AB218" s="55" t="n">
        <f aca="false">AB216*AB217</f>
        <v>9.06257223242124</v>
      </c>
      <c r="AC218" s="55" t="n">
        <f aca="false">AC216*AC217</f>
        <v>6.53411457957571</v>
      </c>
      <c r="AD218" s="55" t="n">
        <f aca="false">AD216*AD217</f>
        <v>10.5759311695133</v>
      </c>
      <c r="AE218" s="55" t="n">
        <f aca="false">AE216*AE217</f>
        <v>9.90291736781697</v>
      </c>
      <c r="AF218" s="55" t="n">
        <f aca="false">AF216*AF217</f>
        <v>10.2000048888515</v>
      </c>
      <c r="AG218" s="55" t="n">
        <f aca="false">AG216*AG217</f>
        <v>9.45540453196532</v>
      </c>
      <c r="AH218" s="55" t="n">
        <f aca="false">AH216*AH217</f>
        <v>7.57482963060777</v>
      </c>
      <c r="AI218" s="55" t="n">
        <f aca="false">AI216*AI217</f>
        <v>4.458328296872</v>
      </c>
      <c r="AJ218" s="55" t="n">
        <f aca="false">AJ216*AJ217</f>
        <v>6.88811721866725</v>
      </c>
      <c r="AK218" s="55" t="n">
        <f aca="false">AK216*AK217</f>
        <v>15.3719815929924</v>
      </c>
      <c r="AL218" s="55" t="n">
        <f aca="false">AL216*AL217</f>
        <v>17.0510749669962</v>
      </c>
      <c r="AM218" s="53" t="n">
        <f aca="false">SUMIF($C$6:$AL$6,1,C218:AL218)</f>
        <v>0</v>
      </c>
      <c r="AN218" s="53" t="n">
        <f aca="false">SUMIF($C$6:$AL$6,2,C218:AL218)</f>
        <v>59.2940238854113</v>
      </c>
      <c r="AO218" s="53" t="n">
        <f aca="false">SUMIF($C$6:$AL$6,3,C218:AL218)</f>
        <v>117.633613057741</v>
      </c>
      <c r="AP218" s="53" t="n">
        <f aca="false">SUM(C218:AL218)</f>
        <v>176.927636943153</v>
      </c>
    </row>
    <row r="219" customFormat="false" ht="15" hidden="false" customHeight="false" outlineLevel="0" collapsed="false">
      <c r="A219" s="7" t="s">
        <v>761</v>
      </c>
      <c r="B219" s="9" t="s">
        <v>342</v>
      </c>
      <c r="C219" s="56" t="n">
        <f aca="false">C218*Assumptions!$D$162</f>
        <v>-0</v>
      </c>
      <c r="D219" s="56" t="n">
        <f aca="false">D218*Assumptions!$D$162</f>
        <v>-0</v>
      </c>
      <c r="E219" s="56" t="n">
        <f aca="false">E218*Assumptions!$D$162</f>
        <v>-0</v>
      </c>
      <c r="F219" s="56" t="n">
        <f aca="false">F218*Assumptions!$D$162</f>
        <v>-0</v>
      </c>
      <c r="G219" s="56" t="n">
        <f aca="false">G218*Assumptions!$D$162</f>
        <v>-0</v>
      </c>
      <c r="H219" s="56" t="n">
        <f aca="false">H218*Assumptions!$D$162</f>
        <v>-0</v>
      </c>
      <c r="I219" s="56" t="n">
        <f aca="false">I218*Assumptions!$D$162</f>
        <v>-0</v>
      </c>
      <c r="J219" s="56" t="n">
        <f aca="false">J218*Assumptions!$D$162</f>
        <v>-0</v>
      </c>
      <c r="K219" s="56" t="n">
        <f aca="false">K218*Assumptions!$D$162</f>
        <v>-0</v>
      </c>
      <c r="L219" s="56" t="n">
        <f aca="false">L218*Assumptions!$D$162</f>
        <v>-0</v>
      </c>
      <c r="M219" s="56" t="n">
        <f aca="false">M218*Assumptions!$D$162</f>
        <v>-0</v>
      </c>
      <c r="N219" s="56" t="n">
        <f aca="false">N218*Assumptions!$D$162</f>
        <v>0</v>
      </c>
      <c r="O219" s="56" t="n">
        <f aca="false">O218*Assumptions!$D$162</f>
        <v>0.99</v>
      </c>
      <c r="P219" s="56" t="n">
        <f aca="false">P218*Assumptions!$D$162</f>
        <v>1.749</v>
      </c>
      <c r="Q219" s="56" t="n">
        <f aca="false">Q218*Assumptions!$D$162</f>
        <v>1.946637</v>
      </c>
      <c r="R219" s="56" t="n">
        <f aca="false">R218*Assumptions!$D$162</f>
        <v>4.32338808</v>
      </c>
      <c r="S219" s="56" t="n">
        <f aca="false">S218*Assumptions!$D$162</f>
        <v>5.20771746</v>
      </c>
      <c r="T219" s="56" t="n">
        <f aca="false">T218*Assumptions!$D$162</f>
        <v>6.62421660912</v>
      </c>
      <c r="U219" s="56" t="n">
        <f aca="false">U218*Assumptions!$D$162</f>
        <v>6.31950264510048</v>
      </c>
      <c r="V219" s="56" t="n">
        <f aca="false">V218*Assumptions!$D$162</f>
        <v>5.21007884740506</v>
      </c>
      <c r="W219" s="56" t="n">
        <f aca="false">W218*Assumptions!$D$162</f>
        <v>3.15581918757107</v>
      </c>
      <c r="X219" s="56" t="n">
        <f aca="false">X218*Assumptions!$D$162</f>
        <v>5.017752508238</v>
      </c>
      <c r="Y219" s="56" t="n">
        <f aca="false">Y218*Assumptions!$D$162</f>
        <v>11.5241049272533</v>
      </c>
      <c r="Z219" s="56" t="n">
        <f aca="false">Z218*Assumptions!$D$162</f>
        <v>13.1552090092645</v>
      </c>
      <c r="AA219" s="56" t="n">
        <f aca="false">AA218*Assumptions!$D$162</f>
        <v>11.6141702396078</v>
      </c>
      <c r="AB219" s="56" t="n">
        <f aca="false">AB218*Assumptions!$D$162</f>
        <v>9.96882945566337</v>
      </c>
      <c r="AC219" s="56" t="n">
        <f aca="false">AC218*Assumptions!$D$162</f>
        <v>7.18752603753329</v>
      </c>
      <c r="AD219" s="56" t="n">
        <f aca="false">AD218*Assumptions!$D$162</f>
        <v>11.6335242864646</v>
      </c>
      <c r="AE219" s="56" t="n">
        <f aca="false">AE218*Assumptions!$D$162</f>
        <v>10.8932091045987</v>
      </c>
      <c r="AF219" s="56" t="n">
        <f aca="false">AF218*Assumptions!$D$162</f>
        <v>11.2200053777366</v>
      </c>
      <c r="AG219" s="56" t="n">
        <f aca="false">AG218*Assumptions!$D$162</f>
        <v>10.4009449851619</v>
      </c>
      <c r="AH219" s="56" t="n">
        <f aca="false">AH218*Assumptions!$D$162</f>
        <v>8.33231259366855</v>
      </c>
      <c r="AI219" s="56" t="n">
        <f aca="false">AI218*Assumptions!$D$162</f>
        <v>4.9041611265592</v>
      </c>
      <c r="AJ219" s="56" t="n">
        <f aca="false">AJ218*Assumptions!$D$162</f>
        <v>7.57692894053397</v>
      </c>
      <c r="AK219" s="56" t="n">
        <f aca="false">AK218*Assumptions!$D$162</f>
        <v>16.9091797522916</v>
      </c>
      <c r="AL219" s="56" t="n">
        <f aca="false">AL218*Assumptions!$D$162</f>
        <v>18.7561824636958</v>
      </c>
      <c r="AM219" s="53" t="n">
        <f aca="false">SUMIF($C$6:$AL$6,1,C219:AL219)</f>
        <v>0</v>
      </c>
      <c r="AN219" s="53" t="n">
        <f aca="false">SUMIF($C$6:$AL$6,2,C219:AL219)</f>
        <v>65.2234262739524</v>
      </c>
      <c r="AO219" s="53" t="n">
        <f aca="false">SUMIF($C$6:$AL$6,3,C219:AL219)</f>
        <v>129.396974363515</v>
      </c>
      <c r="AP219" s="53" t="n">
        <f aca="false">SUM(C219:AL219)</f>
        <v>194.620400637468</v>
      </c>
    </row>
    <row r="220" customFormat="false" ht="15" hidden="false" customHeight="false" outlineLevel="0" collapsed="false">
      <c r="A220" s="7" t="s">
        <v>762</v>
      </c>
      <c r="B220" s="9" t="s">
        <v>101</v>
      </c>
      <c r="C220" s="15" t="n">
        <f aca="false">'Unit Economics'!$E$57*Assumptions!$D$162*C214</f>
        <v>0</v>
      </c>
      <c r="D220" s="15" t="n">
        <f aca="false">'Unit Economics'!$E$57*Assumptions!$D$162*D214</f>
        <v>0</v>
      </c>
      <c r="E220" s="15" t="n">
        <f aca="false">'Unit Economics'!$E$57*Assumptions!$D$162*E214</f>
        <v>0</v>
      </c>
      <c r="F220" s="15" t="n">
        <f aca="false">'Unit Economics'!$E$57*Assumptions!$D$162*F214</f>
        <v>0</v>
      </c>
      <c r="G220" s="15" t="n">
        <f aca="false">'Unit Economics'!$E$57*Assumptions!$D$162*G214</f>
        <v>0</v>
      </c>
      <c r="H220" s="15" t="n">
        <f aca="false">'Unit Economics'!$E$57*Assumptions!$D$162*H214</f>
        <v>0</v>
      </c>
      <c r="I220" s="15" t="n">
        <f aca="false">'Unit Economics'!$E$57*Assumptions!$D$162*I214</f>
        <v>0</v>
      </c>
      <c r="J220" s="15" t="n">
        <f aca="false">'Unit Economics'!$E$57*Assumptions!$D$162*J214</f>
        <v>0</v>
      </c>
      <c r="K220" s="15" t="n">
        <f aca="false">'Unit Economics'!$E$57*Assumptions!$D$162*K214</f>
        <v>0</v>
      </c>
      <c r="L220" s="15" t="n">
        <f aca="false">'Unit Economics'!$E$57*Assumptions!$D$162*L214</f>
        <v>0</v>
      </c>
      <c r="M220" s="15" t="n">
        <f aca="false">'Unit Economics'!$E$57*Assumptions!$D$162*M214</f>
        <v>0</v>
      </c>
      <c r="N220" s="15" t="n">
        <f aca="false">'Unit Economics'!$E$57*Assumptions!$D$162*N214</f>
        <v>0</v>
      </c>
      <c r="O220" s="15" t="n">
        <f aca="false">'Unit Economics'!$E$57*Assumptions!$D$162*O214</f>
        <v>48.4</v>
      </c>
      <c r="P220" s="15" t="n">
        <f aca="false">'Unit Economics'!$E$57*Assumptions!$D$162*P214</f>
        <v>48.4</v>
      </c>
      <c r="Q220" s="15" t="n">
        <f aca="false">'Unit Economics'!$E$57*Assumptions!$D$162*Q214</f>
        <v>48.4</v>
      </c>
      <c r="R220" s="15" t="n">
        <f aca="false">'Unit Economics'!$E$57*Assumptions!$D$162*R214</f>
        <v>48.4</v>
      </c>
      <c r="S220" s="15" t="n">
        <f aca="false">'Unit Economics'!$E$57*Assumptions!$D$162*S214</f>
        <v>48.4</v>
      </c>
      <c r="T220" s="15" t="n">
        <f aca="false">'Unit Economics'!$E$57*Assumptions!$D$162*T214</f>
        <v>48.4</v>
      </c>
      <c r="U220" s="15" t="n">
        <f aca="false">'Unit Economics'!$E$57*Assumptions!$D$162*U214</f>
        <v>48.4</v>
      </c>
      <c r="V220" s="15" t="n">
        <f aca="false">'Unit Economics'!$E$57*Assumptions!$D$162*V214</f>
        <v>48.4</v>
      </c>
      <c r="W220" s="15" t="n">
        <f aca="false">'Unit Economics'!$E$57*Assumptions!$D$162*W214</f>
        <v>48.4</v>
      </c>
      <c r="X220" s="15" t="n">
        <f aca="false">'Unit Economics'!$E$57*Assumptions!$D$162*X214</f>
        <v>48.4</v>
      </c>
      <c r="Y220" s="15" t="n">
        <f aca="false">'Unit Economics'!$E$57*Assumptions!$D$162*Y214</f>
        <v>48.4</v>
      </c>
      <c r="Z220" s="15" t="n">
        <f aca="false">'Unit Economics'!$E$57*Assumptions!$D$162*Z214</f>
        <v>48.4</v>
      </c>
      <c r="AA220" s="15" t="n">
        <f aca="false">'Unit Economics'!$E$57*Assumptions!$D$162*AA214</f>
        <v>48.4</v>
      </c>
      <c r="AB220" s="15" t="n">
        <f aca="false">'Unit Economics'!$E$57*Assumptions!$D$162*AB214</f>
        <v>48.4</v>
      </c>
      <c r="AC220" s="15" t="n">
        <f aca="false">'Unit Economics'!$E$57*Assumptions!$D$162*AC214</f>
        <v>48.4</v>
      </c>
      <c r="AD220" s="15" t="n">
        <f aca="false">'Unit Economics'!$E$57*Assumptions!$D$162*AD214</f>
        <v>48.4</v>
      </c>
      <c r="AE220" s="15" t="n">
        <f aca="false">'Unit Economics'!$E$57*Assumptions!$D$162*AE214</f>
        <v>48.4</v>
      </c>
      <c r="AF220" s="15" t="n">
        <f aca="false">'Unit Economics'!$E$57*Assumptions!$D$162*AF214</f>
        <v>48.4</v>
      </c>
      <c r="AG220" s="15" t="n">
        <f aca="false">'Unit Economics'!$E$57*Assumptions!$D$162*AG214</f>
        <v>48.4</v>
      </c>
      <c r="AH220" s="15" t="n">
        <f aca="false">'Unit Economics'!$E$57*Assumptions!$D$162*AH214</f>
        <v>48.4</v>
      </c>
      <c r="AI220" s="15" t="n">
        <f aca="false">'Unit Economics'!$E$57*Assumptions!$D$162*AI214</f>
        <v>48.4</v>
      </c>
      <c r="AJ220" s="15" t="n">
        <f aca="false">'Unit Economics'!$E$57*Assumptions!$D$162*AJ214</f>
        <v>48.4</v>
      </c>
      <c r="AK220" s="15" t="n">
        <f aca="false">'Unit Economics'!$E$57*Assumptions!$D$162*AK214</f>
        <v>48.4</v>
      </c>
      <c r="AL220" s="15" t="n">
        <f aca="false">'Unit Economics'!$E$57*Assumptions!$D$162*AL214</f>
        <v>48.4</v>
      </c>
    </row>
    <row r="221" customFormat="false" ht="15" hidden="false" customHeight="false" outlineLevel="0" collapsed="false">
      <c r="A221" s="7" t="s">
        <v>763</v>
      </c>
      <c r="B221" s="9" t="s">
        <v>101</v>
      </c>
      <c r="C221" s="8" t="n">
        <f aca="false">C219*'Unit Economics'!$E$57</f>
        <v>-0</v>
      </c>
      <c r="D221" s="8" t="n">
        <f aca="false">D219*'Unit Economics'!$E$57</f>
        <v>-0</v>
      </c>
      <c r="E221" s="8" t="n">
        <f aca="false">E219*'Unit Economics'!$E$57</f>
        <v>-0</v>
      </c>
      <c r="F221" s="8" t="n">
        <f aca="false">F219*'Unit Economics'!$E$57</f>
        <v>-0</v>
      </c>
      <c r="G221" s="8" t="n">
        <f aca="false">G219*'Unit Economics'!$E$57</f>
        <v>-0</v>
      </c>
      <c r="H221" s="8" t="n">
        <f aca="false">H219*'Unit Economics'!$E$57</f>
        <v>-0</v>
      </c>
      <c r="I221" s="8" t="n">
        <f aca="false">I219*'Unit Economics'!$E$57</f>
        <v>-0</v>
      </c>
      <c r="J221" s="8" t="n">
        <f aca="false">J219*'Unit Economics'!$E$57</f>
        <v>-0</v>
      </c>
      <c r="K221" s="8" t="n">
        <f aca="false">K219*'Unit Economics'!$E$57</f>
        <v>-0</v>
      </c>
      <c r="L221" s="8" t="n">
        <f aca="false">L219*'Unit Economics'!$E$57</f>
        <v>-0</v>
      </c>
      <c r="M221" s="8" t="n">
        <f aca="false">M219*'Unit Economics'!$E$57</f>
        <v>-0</v>
      </c>
      <c r="N221" s="8" t="n">
        <f aca="false">N219*'Unit Economics'!$E$57</f>
        <v>0</v>
      </c>
      <c r="O221" s="8" t="n">
        <f aca="false">O219*'Unit Economics'!$E$57</f>
        <v>43.56</v>
      </c>
      <c r="P221" s="8" t="n">
        <f aca="false">P219*'Unit Economics'!$E$57</f>
        <v>76.956</v>
      </c>
      <c r="Q221" s="8" t="n">
        <f aca="false">Q219*'Unit Economics'!$E$57</f>
        <v>85.652028</v>
      </c>
      <c r="R221" s="8" t="n">
        <f aca="false">R219*'Unit Economics'!$E$57</f>
        <v>190.22907552</v>
      </c>
      <c r="S221" s="8" t="n">
        <f aca="false">S219*'Unit Economics'!$E$57</f>
        <v>229.13956824</v>
      </c>
      <c r="T221" s="8" t="n">
        <f aca="false">T219*'Unit Economics'!$E$57</f>
        <v>291.46553080128</v>
      </c>
      <c r="U221" s="8" t="n">
        <f aca="false">U219*'Unit Economics'!$E$57</f>
        <v>278.058116384421</v>
      </c>
      <c r="V221" s="8" t="n">
        <f aca="false">V219*'Unit Economics'!$E$57</f>
        <v>229.243469285823</v>
      </c>
      <c r="W221" s="8" t="n">
        <f aca="false">W219*'Unit Economics'!$E$57</f>
        <v>138.856044253127</v>
      </c>
      <c r="X221" s="8" t="n">
        <f aca="false">X219*'Unit Economics'!$E$57</f>
        <v>220.781110362472</v>
      </c>
      <c r="Y221" s="8" t="n">
        <f aca="false">Y219*'Unit Economics'!$E$57</f>
        <v>507.060616799144</v>
      </c>
      <c r="Z221" s="8" t="n">
        <f aca="false">Z219*'Unit Economics'!$E$57</f>
        <v>578.829196407638</v>
      </c>
      <c r="AA221" s="8" t="n">
        <f aca="false">AA219*'Unit Economics'!$E$57</f>
        <v>511.023490542743</v>
      </c>
      <c r="AB221" s="8" t="n">
        <f aca="false">AB219*'Unit Economics'!$E$57</f>
        <v>438.628496049188</v>
      </c>
      <c r="AC221" s="8" t="n">
        <f aca="false">AC219*'Unit Economics'!$E$57</f>
        <v>316.251145651465</v>
      </c>
      <c r="AD221" s="8" t="n">
        <f aca="false">AD219*'Unit Economics'!$E$57</f>
        <v>511.875068604442</v>
      </c>
      <c r="AE221" s="8" t="n">
        <f aca="false">AE219*'Unit Economics'!$E$57</f>
        <v>479.301200602341</v>
      </c>
      <c r="AF221" s="8" t="n">
        <f aca="false">AF219*'Unit Economics'!$E$57</f>
        <v>493.680236620411</v>
      </c>
      <c r="AG221" s="8" t="n">
        <f aca="false">AG219*'Unit Economics'!$E$57</f>
        <v>457.641579347121</v>
      </c>
      <c r="AH221" s="8" t="n">
        <f aca="false">AH219*'Unit Economics'!$E$57</f>
        <v>366.621754121416</v>
      </c>
      <c r="AI221" s="8" t="n">
        <f aca="false">AI219*'Unit Economics'!$E$57</f>
        <v>215.783089568605</v>
      </c>
      <c r="AJ221" s="8" t="n">
        <f aca="false">AJ219*'Unit Economics'!$E$57</f>
        <v>333.384873383495</v>
      </c>
      <c r="AK221" s="8" t="n">
        <f aca="false">AK219*'Unit Economics'!$E$57</f>
        <v>744.003909100832</v>
      </c>
      <c r="AL221" s="8" t="n">
        <f aca="false">AL219*'Unit Economics'!$E$57</f>
        <v>825.272028402616</v>
      </c>
      <c r="AM221" s="45" t="n">
        <f aca="false">SUMIF($C$6:$AL$6,1,C221:AL221)</f>
        <v>0</v>
      </c>
      <c r="AN221" s="45" t="n">
        <f aca="false">SUMIF($C$6:$AL$6,2,C221:AL221)</f>
        <v>2869.83075605391</v>
      </c>
      <c r="AO221" s="45" t="n">
        <f aca="false">SUMIF($C$6:$AL$6,3,C221:AL221)</f>
        <v>5693.46687199468</v>
      </c>
      <c r="AP221" s="45" t="n">
        <f aca="false">SUM(C221:AL221)</f>
        <v>8563.29762804858</v>
      </c>
    </row>
    <row r="222" customFormat="false" ht="15" hidden="false" customHeight="false" outlineLevel="0" collapsed="false">
      <c r="A222" s="7" t="s">
        <v>764</v>
      </c>
      <c r="B222" s="9" t="s">
        <v>101</v>
      </c>
      <c r="C222" s="8" t="n">
        <f aca="false">C219*'Unit Economics'!$F$57</f>
        <v>-0</v>
      </c>
      <c r="D222" s="8" t="n">
        <f aca="false">D219*'Unit Economics'!$F$57</f>
        <v>-0</v>
      </c>
      <c r="E222" s="8" t="n">
        <f aca="false">E219*'Unit Economics'!$F$57</f>
        <v>-0</v>
      </c>
      <c r="F222" s="8" t="n">
        <f aca="false">F219*'Unit Economics'!$F$57</f>
        <v>-0</v>
      </c>
      <c r="G222" s="8" t="n">
        <f aca="false">G219*'Unit Economics'!$F$57</f>
        <v>-0</v>
      </c>
      <c r="H222" s="8" t="n">
        <f aca="false">H219*'Unit Economics'!$F$57</f>
        <v>-0</v>
      </c>
      <c r="I222" s="8" t="n">
        <f aca="false">I219*'Unit Economics'!$F$57</f>
        <v>-0</v>
      </c>
      <c r="J222" s="8" t="n">
        <f aca="false">J219*'Unit Economics'!$F$57</f>
        <v>-0</v>
      </c>
      <c r="K222" s="8" t="n">
        <f aca="false">K219*'Unit Economics'!$F$57</f>
        <v>-0</v>
      </c>
      <c r="L222" s="8" t="n">
        <f aca="false">L219*'Unit Economics'!$F$57</f>
        <v>-0</v>
      </c>
      <c r="M222" s="8" t="n">
        <f aca="false">M219*'Unit Economics'!$F$57</f>
        <v>-0</v>
      </c>
      <c r="N222" s="8" t="n">
        <f aca="false">N219*'Unit Economics'!$F$57</f>
        <v>0</v>
      </c>
      <c r="O222" s="8" t="n">
        <f aca="false">O219*'Unit Economics'!$F$57</f>
        <v>39.332304</v>
      </c>
      <c r="P222" s="8" t="n">
        <f aca="false">P219*'Unit Economics'!$F$57</f>
        <v>69.4870704</v>
      </c>
      <c r="Q222" s="8" t="n">
        <f aca="false">Q219*'Unit Economics'!$F$57</f>
        <v>77.3391093552</v>
      </c>
      <c r="R222" s="8" t="n">
        <f aca="false">R219*'Unit Economics'!$F$57</f>
        <v>171.766479063168</v>
      </c>
      <c r="S222" s="8" t="n">
        <f aca="false">S219*'Unit Economics'!$F$57</f>
        <v>206.900531598816</v>
      </c>
      <c r="T222" s="8" t="n">
        <f aca="false">T219*'Unit Economics'!$F$57</f>
        <v>263.177476193694</v>
      </c>
      <c r="U222" s="8" t="n">
        <f aca="false">U219*'Unit Economics'!$F$57</f>
        <v>251.071312288784</v>
      </c>
      <c r="V222" s="8" t="n">
        <f aca="false">V219*'Unit Economics'!$F$57</f>
        <v>206.994348575864</v>
      </c>
      <c r="W222" s="8" t="n">
        <f aca="false">W219*'Unit Economics'!$F$57</f>
        <v>125.379433994523</v>
      </c>
      <c r="X222" s="8" t="n">
        <f aca="false">X219*'Unit Economics'!$F$57</f>
        <v>199.353300051292</v>
      </c>
      <c r="Y222" s="8" t="n">
        <f aca="false">Y219*'Unit Economics'!$F$57</f>
        <v>457.848079117802</v>
      </c>
      <c r="Z222" s="8" t="n">
        <f aca="false">Z219*'Unit Economics'!$F$57</f>
        <v>522.651191854475</v>
      </c>
      <c r="AA222" s="8" t="n">
        <f aca="false">AA219*'Unit Economics'!$F$57</f>
        <v>461.426337951522</v>
      </c>
      <c r="AB222" s="8" t="n">
        <f aca="false">AB219*'Unit Economics'!$F$57</f>
        <v>396.057606741723</v>
      </c>
      <c r="AC222" s="8" t="n">
        <f aca="false">AC219*'Unit Economics'!$F$57</f>
        <v>285.557534460782</v>
      </c>
      <c r="AD222" s="8" t="n">
        <f aca="false">AD219*'Unit Economics'!$F$57</f>
        <v>462.195266491524</v>
      </c>
      <c r="AE222" s="8" t="n">
        <f aca="false">AE219*'Unit Economics'!$F$57</f>
        <v>432.782840442063</v>
      </c>
      <c r="AF222" s="8" t="n">
        <f aca="false">AF219*'Unit Economics'!$F$57</f>
        <v>445.766325655325</v>
      </c>
      <c r="AG222" s="8" t="n">
        <f aca="false">AG219*'Unit Economics'!$F$57</f>
        <v>413.225383882486</v>
      </c>
      <c r="AH222" s="8" t="n">
        <f aca="false">AH219*'Unit Economics'!$F$57</f>
        <v>331.039446421414</v>
      </c>
      <c r="AI222" s="8" t="n">
        <f aca="false">AI219*'Unit Economics'!$F$57</f>
        <v>194.840359893747</v>
      </c>
      <c r="AJ222" s="8" t="n">
        <f aca="false">AJ219*'Unit Economics'!$F$57</f>
        <v>301.028356035838</v>
      </c>
      <c r="AK222" s="8" t="n">
        <f aca="false">AK219*'Unit Economics'!$F$57</f>
        <v>671.794947886646</v>
      </c>
      <c r="AL222" s="8" t="n">
        <f aca="false">AL219*'Unit Economics'!$F$57</f>
        <v>745.175626809649</v>
      </c>
      <c r="AM222" s="45" t="n">
        <f aca="false">SUMIF($C$6:$AL$6,1,C222:AL222)</f>
        <v>0</v>
      </c>
      <c r="AN222" s="45" t="n">
        <f aca="false">SUMIF($C$6:$AL$6,2,C222:AL222)</f>
        <v>2591.30063649362</v>
      </c>
      <c r="AO222" s="45" t="n">
        <f aca="false">SUMIF($C$6:$AL$6,3,C222:AL222)</f>
        <v>5140.89003267272</v>
      </c>
      <c r="AP222" s="45" t="n">
        <f aca="false">SUM(C222:AL222)</f>
        <v>7732.19066916634</v>
      </c>
    </row>
    <row r="223" customFormat="false" ht="15" hidden="false" customHeight="false" outlineLevel="0" collapsed="false">
      <c r="A223" s="5" t="s">
        <v>579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</row>
    <row r="224" customFormat="false" ht="15" hidden="false" customHeight="false" outlineLevel="0" collapsed="false">
      <c r="A224" s="7" t="s">
        <v>755</v>
      </c>
      <c r="B224" s="9" t="s">
        <v>319</v>
      </c>
      <c r="C224" s="38" t="n">
        <f aca="false">IF(AND(Assumptions!$D$164=1,C$4&gt;=Assumptions!$D$165),1,0)</f>
        <v>0</v>
      </c>
      <c r="D224" s="38" t="n">
        <f aca="false">IF(AND(Assumptions!$D$164=1,D$4&gt;=Assumptions!$D$165),1,0)</f>
        <v>0</v>
      </c>
      <c r="E224" s="38" t="n">
        <f aca="false">IF(AND(Assumptions!$D$164=1,E$4&gt;=Assumptions!$D$165),1,0)</f>
        <v>0</v>
      </c>
      <c r="F224" s="38" t="n">
        <f aca="false">IF(AND(Assumptions!$D$164=1,F$4&gt;=Assumptions!$D$165),1,0)</f>
        <v>0</v>
      </c>
      <c r="G224" s="38" t="n">
        <f aca="false">IF(AND(Assumptions!$D$164=1,G$4&gt;=Assumptions!$D$165),1,0)</f>
        <v>0</v>
      </c>
      <c r="H224" s="38" t="n">
        <f aca="false">IF(AND(Assumptions!$D$164=1,H$4&gt;=Assumptions!$D$165),1,0)</f>
        <v>0</v>
      </c>
      <c r="I224" s="38" t="n">
        <f aca="false">IF(AND(Assumptions!$D$164=1,I$4&gt;=Assumptions!$D$165),1,0)</f>
        <v>0</v>
      </c>
      <c r="J224" s="38" t="n">
        <f aca="false">IF(AND(Assumptions!$D$164=1,J$4&gt;=Assumptions!$D$165),1,0)</f>
        <v>0</v>
      </c>
      <c r="K224" s="38" t="n">
        <f aca="false">IF(AND(Assumptions!$D$164=1,K$4&gt;=Assumptions!$D$165),1,0)</f>
        <v>0</v>
      </c>
      <c r="L224" s="38" t="n">
        <f aca="false">IF(AND(Assumptions!$D$164=1,L$4&gt;=Assumptions!$D$165),1,0)</f>
        <v>0</v>
      </c>
      <c r="M224" s="38" t="n">
        <f aca="false">IF(AND(Assumptions!$D$164=1,M$4&gt;=Assumptions!$D$165),1,0)</f>
        <v>0</v>
      </c>
      <c r="N224" s="38" t="n">
        <f aca="false">IF(AND(Assumptions!$D$164=1,N$4&gt;=Assumptions!$D$165),1,0)</f>
        <v>0</v>
      </c>
      <c r="O224" s="38" t="n">
        <f aca="false">IF(AND(Assumptions!$D$164=1,O$4&gt;=Assumptions!$D$165),1,0)</f>
        <v>0</v>
      </c>
      <c r="P224" s="38" t="n">
        <f aca="false">IF(AND(Assumptions!$D$164=1,P$4&gt;=Assumptions!$D$165),1,0)</f>
        <v>0</v>
      </c>
      <c r="Q224" s="38" t="n">
        <f aca="false">IF(AND(Assumptions!$D$164=1,Q$4&gt;=Assumptions!$D$165),1,0)</f>
        <v>0</v>
      </c>
      <c r="R224" s="38" t="n">
        <f aca="false">IF(AND(Assumptions!$D$164=1,R$4&gt;=Assumptions!$D$165),1,0)</f>
        <v>0</v>
      </c>
      <c r="S224" s="38" t="n">
        <f aca="false">IF(AND(Assumptions!$D$164=1,S$4&gt;=Assumptions!$D$165),1,0)</f>
        <v>0</v>
      </c>
      <c r="T224" s="38" t="n">
        <f aca="false">IF(AND(Assumptions!$D$164=1,T$4&gt;=Assumptions!$D$165),1,0)</f>
        <v>0</v>
      </c>
      <c r="U224" s="38" t="n">
        <f aca="false">IF(AND(Assumptions!$D$164=1,U$4&gt;=Assumptions!$D$165),1,0)</f>
        <v>0</v>
      </c>
      <c r="V224" s="38" t="n">
        <f aca="false">IF(AND(Assumptions!$D$164=1,V$4&gt;=Assumptions!$D$165),1,0)</f>
        <v>0</v>
      </c>
      <c r="W224" s="38" t="n">
        <f aca="false">IF(AND(Assumptions!$D$164=1,W$4&gt;=Assumptions!$D$165),1,0)</f>
        <v>0</v>
      </c>
      <c r="X224" s="38" t="n">
        <f aca="false">IF(AND(Assumptions!$D$164=1,X$4&gt;=Assumptions!$D$165),1,0)</f>
        <v>0</v>
      </c>
      <c r="Y224" s="38" t="n">
        <f aca="false">IF(AND(Assumptions!$D$164=1,Y$4&gt;=Assumptions!$D$165),1,0)</f>
        <v>0</v>
      </c>
      <c r="Z224" s="38" t="n">
        <f aca="false">IF(AND(Assumptions!$D$164=1,Z$4&gt;=Assumptions!$D$165),1,0)</f>
        <v>0</v>
      </c>
      <c r="AA224" s="38" t="n">
        <f aca="false">IF(AND(Assumptions!$D$164=1,AA$4&gt;=Assumptions!$D$165),1,0)</f>
        <v>1</v>
      </c>
      <c r="AB224" s="38" t="n">
        <f aca="false">IF(AND(Assumptions!$D$164=1,AB$4&gt;=Assumptions!$D$165),1,0)</f>
        <v>1</v>
      </c>
      <c r="AC224" s="38" t="n">
        <f aca="false">IF(AND(Assumptions!$D$164=1,AC$4&gt;=Assumptions!$D$165),1,0)</f>
        <v>1</v>
      </c>
      <c r="AD224" s="38" t="n">
        <f aca="false">IF(AND(Assumptions!$D$164=1,AD$4&gt;=Assumptions!$D$165),1,0)</f>
        <v>1</v>
      </c>
      <c r="AE224" s="38" t="n">
        <f aca="false">IF(AND(Assumptions!$D$164=1,AE$4&gt;=Assumptions!$D$165),1,0)</f>
        <v>1</v>
      </c>
      <c r="AF224" s="38" t="n">
        <f aca="false">IF(AND(Assumptions!$D$164=1,AF$4&gt;=Assumptions!$D$165),1,0)</f>
        <v>1</v>
      </c>
      <c r="AG224" s="38" t="n">
        <f aca="false">IF(AND(Assumptions!$D$164=1,AG$4&gt;=Assumptions!$D$165),1,0)</f>
        <v>1</v>
      </c>
      <c r="AH224" s="38" t="n">
        <f aca="false">IF(AND(Assumptions!$D$164=1,AH$4&gt;=Assumptions!$D$165),1,0)</f>
        <v>1</v>
      </c>
      <c r="AI224" s="38" t="n">
        <f aca="false">IF(AND(Assumptions!$D$164=1,AI$4&gt;=Assumptions!$D$165),1,0)</f>
        <v>1</v>
      </c>
      <c r="AJ224" s="38" t="n">
        <f aca="false">IF(AND(Assumptions!$D$164=1,AJ$4&gt;=Assumptions!$D$165),1,0)</f>
        <v>1</v>
      </c>
      <c r="AK224" s="38" t="n">
        <f aca="false">IF(AND(Assumptions!$D$164=1,AK$4&gt;=Assumptions!$D$165),1,0)</f>
        <v>1</v>
      </c>
      <c r="AL224" s="38" t="n">
        <f aca="false">IF(AND(Assumptions!$D$164=1,AL$4&gt;=Assumptions!$D$165),1,0)</f>
        <v>1</v>
      </c>
    </row>
    <row r="225" customFormat="false" ht="15" hidden="false" customHeight="false" outlineLevel="0" collapsed="false">
      <c r="A225" s="7" t="s">
        <v>756</v>
      </c>
      <c r="B225" s="9" t="s">
        <v>327</v>
      </c>
      <c r="C225" s="14" t="n">
        <f aca="false">IF(C224=0,0,Assumptions!$D$166)</f>
        <v>0</v>
      </c>
      <c r="D225" s="14" t="n">
        <f aca="false">IF(D224=0,0,IF(D$4=Assumptions!$D$165,Assumptions!$D$166,C225*(1+CHOOSE(D$6,Assumptions!$D$167,Assumptions!$D$168,Assumptions!$D$169))))</f>
        <v>0</v>
      </c>
      <c r="E225" s="14" t="n">
        <f aca="false">IF(E224=0,0,IF(E$4=Assumptions!$D$165,Assumptions!$D$166,D225*(1+CHOOSE(E$6,Assumptions!$D$167,Assumptions!$D$168,Assumptions!$D$169))))</f>
        <v>0</v>
      </c>
      <c r="F225" s="14" t="n">
        <f aca="false">IF(F224=0,0,IF(F$4=Assumptions!$D$165,Assumptions!$D$166,E225*(1+CHOOSE(F$6,Assumptions!$D$167,Assumptions!$D$168,Assumptions!$D$169))))</f>
        <v>0</v>
      </c>
      <c r="G225" s="14" t="n">
        <f aca="false">IF(G224=0,0,IF(G$4=Assumptions!$D$165,Assumptions!$D$166,F225*(1+CHOOSE(G$6,Assumptions!$D$167,Assumptions!$D$168,Assumptions!$D$169))))</f>
        <v>0</v>
      </c>
      <c r="H225" s="14" t="n">
        <f aca="false">IF(H224=0,0,IF(H$4=Assumptions!$D$165,Assumptions!$D$166,G225*(1+CHOOSE(H$6,Assumptions!$D$167,Assumptions!$D$168,Assumptions!$D$169))))</f>
        <v>0</v>
      </c>
      <c r="I225" s="14" t="n">
        <f aca="false">IF(I224=0,0,IF(I$4=Assumptions!$D$165,Assumptions!$D$166,H225*(1+CHOOSE(I$6,Assumptions!$D$167,Assumptions!$D$168,Assumptions!$D$169))))</f>
        <v>0</v>
      </c>
      <c r="J225" s="14" t="n">
        <f aca="false">IF(J224=0,0,IF(J$4=Assumptions!$D$165,Assumptions!$D$166,I225*(1+CHOOSE(J$6,Assumptions!$D$167,Assumptions!$D$168,Assumptions!$D$169))))</f>
        <v>0</v>
      </c>
      <c r="K225" s="14" t="n">
        <f aca="false">IF(K224=0,0,IF(K$4=Assumptions!$D$165,Assumptions!$D$166,J225*(1+CHOOSE(K$6,Assumptions!$D$167,Assumptions!$D$168,Assumptions!$D$169))))</f>
        <v>0</v>
      </c>
      <c r="L225" s="14" t="n">
        <f aca="false">IF(L224=0,0,IF(L$4=Assumptions!$D$165,Assumptions!$D$166,K225*(1+CHOOSE(L$6,Assumptions!$D$167,Assumptions!$D$168,Assumptions!$D$169))))</f>
        <v>0</v>
      </c>
      <c r="M225" s="14" t="n">
        <f aca="false">IF(M224=0,0,IF(M$4=Assumptions!$D$165,Assumptions!$D$166,L225*(1+CHOOSE(M$6,Assumptions!$D$167,Assumptions!$D$168,Assumptions!$D$169))))</f>
        <v>0</v>
      </c>
      <c r="N225" s="14" t="n">
        <f aca="false">IF(N224=0,0,IF(N$4=Assumptions!$D$165,Assumptions!$D$166,M225*(1+CHOOSE(N$6,Assumptions!$D$167,Assumptions!$D$168,Assumptions!$D$169))))</f>
        <v>0</v>
      </c>
      <c r="O225" s="14" t="n">
        <f aca="false">IF(O224=0,0,IF(O$4=Assumptions!$D$165,Assumptions!$D$166,N225*(1+CHOOSE(O$6,Assumptions!$D$167,Assumptions!$D$168,Assumptions!$D$169))))</f>
        <v>0</v>
      </c>
      <c r="P225" s="14" t="n">
        <f aca="false">IF(P224=0,0,IF(P$4=Assumptions!$D$165,Assumptions!$D$166,O225*(1+CHOOSE(P$6,Assumptions!$D$167,Assumptions!$D$168,Assumptions!$D$169))))</f>
        <v>0</v>
      </c>
      <c r="Q225" s="14" t="n">
        <f aca="false">IF(Q224=0,0,IF(Q$4=Assumptions!$D$165,Assumptions!$D$166,P225*(1+CHOOSE(Q$6,Assumptions!$D$167,Assumptions!$D$168,Assumptions!$D$169))))</f>
        <v>0</v>
      </c>
      <c r="R225" s="14" t="n">
        <f aca="false">IF(R224=0,0,IF(R$4=Assumptions!$D$165,Assumptions!$D$166,Q225*(1+CHOOSE(R$6,Assumptions!$D$167,Assumptions!$D$168,Assumptions!$D$169))))</f>
        <v>0</v>
      </c>
      <c r="S225" s="14" t="n">
        <f aca="false">IF(S224=0,0,IF(S$4=Assumptions!$D$165,Assumptions!$D$166,R225*(1+CHOOSE(S$6,Assumptions!$D$167,Assumptions!$D$168,Assumptions!$D$169))))</f>
        <v>0</v>
      </c>
      <c r="T225" s="14" t="n">
        <f aca="false">IF(T224=0,0,IF(T$4=Assumptions!$D$165,Assumptions!$D$166,S225*(1+CHOOSE(T$6,Assumptions!$D$167,Assumptions!$D$168,Assumptions!$D$169))))</f>
        <v>0</v>
      </c>
      <c r="U225" s="14" t="n">
        <f aca="false">IF(U224=0,0,IF(U$4=Assumptions!$D$165,Assumptions!$D$166,T225*(1+CHOOSE(U$6,Assumptions!$D$167,Assumptions!$D$168,Assumptions!$D$169))))</f>
        <v>0</v>
      </c>
      <c r="V225" s="14" t="n">
        <f aca="false">IF(V224=0,0,IF(V$4=Assumptions!$D$165,Assumptions!$D$166,U225*(1+CHOOSE(V$6,Assumptions!$D$167,Assumptions!$D$168,Assumptions!$D$169))))</f>
        <v>0</v>
      </c>
      <c r="W225" s="14" t="n">
        <f aca="false">IF(W224=0,0,IF(W$4=Assumptions!$D$165,Assumptions!$D$166,V225*(1+CHOOSE(W$6,Assumptions!$D$167,Assumptions!$D$168,Assumptions!$D$169))))</f>
        <v>0</v>
      </c>
      <c r="X225" s="14" t="n">
        <f aca="false">IF(X224=0,0,IF(X$4=Assumptions!$D$165,Assumptions!$D$166,W225*(1+CHOOSE(X$6,Assumptions!$D$167,Assumptions!$D$168,Assumptions!$D$169))))</f>
        <v>0</v>
      </c>
      <c r="Y225" s="14" t="n">
        <f aca="false">IF(Y224=0,0,IF(Y$4=Assumptions!$D$165,Assumptions!$D$166,X225*(1+CHOOSE(Y$6,Assumptions!$D$167,Assumptions!$D$168,Assumptions!$D$169))))</f>
        <v>0</v>
      </c>
      <c r="Z225" s="14" t="n">
        <f aca="false">IF(Z224=0,0,IF(Z$4=Assumptions!$D$165,Assumptions!$D$166,Y225*(1+CHOOSE(Z$6,Assumptions!$D$167,Assumptions!$D$168,Assumptions!$D$169))))</f>
        <v>0</v>
      </c>
      <c r="AA225" s="14" t="n">
        <f aca="false">IF(AA224=0,0,IF(AA$4=Assumptions!$D$165,Assumptions!$D$166,Z225*(1+CHOOSE(AA$6,Assumptions!$D$167,Assumptions!$D$168,Assumptions!$D$169))))</f>
        <v>600</v>
      </c>
      <c r="AB225" s="14" t="n">
        <f aca="false">IF(AB224=0,0,IF(AB$4=Assumptions!$D$165,Assumptions!$D$166,AA225*(1+CHOOSE(AB$6,Assumptions!$D$167,Assumptions!$D$168,Assumptions!$D$169))))</f>
        <v>630</v>
      </c>
      <c r="AC225" s="14" t="n">
        <f aca="false">IF(AC224=0,0,IF(AC$4=Assumptions!$D$165,Assumptions!$D$166,AB225*(1+CHOOSE(AC$6,Assumptions!$D$167,Assumptions!$D$168,Assumptions!$D$169))))</f>
        <v>661.5</v>
      </c>
      <c r="AD225" s="14" t="n">
        <f aca="false">IF(AD224=0,0,IF(AD$4=Assumptions!$D$165,Assumptions!$D$166,AC225*(1+CHOOSE(AD$6,Assumptions!$D$167,Assumptions!$D$168,Assumptions!$D$169))))</f>
        <v>694.575</v>
      </c>
      <c r="AE225" s="14" t="n">
        <f aca="false">IF(AE224=0,0,IF(AE$4=Assumptions!$D$165,Assumptions!$D$166,AD225*(1+CHOOSE(AE$6,Assumptions!$D$167,Assumptions!$D$168,Assumptions!$D$169))))</f>
        <v>729.30375</v>
      </c>
      <c r="AF225" s="14" t="n">
        <f aca="false">IF(AF224=0,0,IF(AF$4=Assumptions!$D$165,Assumptions!$D$166,AE225*(1+CHOOSE(AF$6,Assumptions!$D$167,Assumptions!$D$168,Assumptions!$D$169))))</f>
        <v>765.7689375</v>
      </c>
      <c r="AG225" s="14" t="n">
        <f aca="false">IF(AG224=0,0,IF(AG$4=Assumptions!$D$165,Assumptions!$D$166,AF225*(1+CHOOSE(AG$6,Assumptions!$D$167,Assumptions!$D$168,Assumptions!$D$169))))</f>
        <v>804.057384375</v>
      </c>
      <c r="AH225" s="14" t="n">
        <f aca="false">IF(AH224=0,0,IF(AH$4=Assumptions!$D$165,Assumptions!$D$166,AG225*(1+CHOOSE(AH$6,Assumptions!$D$167,Assumptions!$D$168,Assumptions!$D$169))))</f>
        <v>844.26025359375</v>
      </c>
      <c r="AI225" s="14" t="n">
        <f aca="false">IF(AI224=0,0,IF(AI$4=Assumptions!$D$165,Assumptions!$D$166,AH225*(1+CHOOSE(AI$6,Assumptions!$D$167,Assumptions!$D$168,Assumptions!$D$169))))</f>
        <v>886.473266273438</v>
      </c>
      <c r="AJ225" s="14" t="n">
        <f aca="false">IF(AJ224=0,0,IF(AJ$4=Assumptions!$D$165,Assumptions!$D$166,AI225*(1+CHOOSE(AJ$6,Assumptions!$D$167,Assumptions!$D$168,Assumptions!$D$169))))</f>
        <v>930.79692958711</v>
      </c>
      <c r="AK225" s="14" t="n">
        <f aca="false">IF(AK224=0,0,IF(AK$4=Assumptions!$D$165,Assumptions!$D$166,AJ225*(1+CHOOSE(AK$6,Assumptions!$D$167,Assumptions!$D$168,Assumptions!$D$169))))</f>
        <v>977.336776066465</v>
      </c>
      <c r="AL225" s="14" t="n">
        <f aca="false">IF(AL224=0,0,IF(AL$4=Assumptions!$D$165,Assumptions!$D$166,AK225*(1+CHOOSE(AL$6,Assumptions!$D$167,Assumptions!$D$168,Assumptions!$D$169))))</f>
        <v>1026.20361486979</v>
      </c>
    </row>
    <row r="226" customFormat="false" ht="15" hidden="false" customHeight="false" outlineLevel="0" collapsed="false">
      <c r="A226" s="7" t="s">
        <v>775</v>
      </c>
      <c r="B226" s="9" t="s">
        <v>327</v>
      </c>
      <c r="C226" s="52" t="n">
        <f aca="false">C225*C$7</f>
        <v>0</v>
      </c>
      <c r="D226" s="52" t="n">
        <f aca="false">D225*D$7</f>
        <v>0</v>
      </c>
      <c r="E226" s="52" t="n">
        <f aca="false">E225*E$7</f>
        <v>0</v>
      </c>
      <c r="F226" s="52" t="n">
        <f aca="false">F225*F$7</f>
        <v>0</v>
      </c>
      <c r="G226" s="52" t="n">
        <f aca="false">G225*G$7</f>
        <v>0</v>
      </c>
      <c r="H226" s="52" t="n">
        <f aca="false">H225*H$7</f>
        <v>0</v>
      </c>
      <c r="I226" s="52" t="n">
        <f aca="false">I225*I$7</f>
        <v>0</v>
      </c>
      <c r="J226" s="52" t="n">
        <f aca="false">J225*J$7</f>
        <v>0</v>
      </c>
      <c r="K226" s="52" t="n">
        <f aca="false">K225*K$7</f>
        <v>0</v>
      </c>
      <c r="L226" s="52" t="n">
        <f aca="false">L225*L$7</f>
        <v>0</v>
      </c>
      <c r="M226" s="52" t="n">
        <f aca="false">M225*M$7</f>
        <v>0</v>
      </c>
      <c r="N226" s="52" t="n">
        <f aca="false">N225*N$7</f>
        <v>0</v>
      </c>
      <c r="O226" s="52" t="n">
        <f aca="false">O225*O$7</f>
        <v>0</v>
      </c>
      <c r="P226" s="52" t="n">
        <f aca="false">P225*P$7</f>
        <v>0</v>
      </c>
      <c r="Q226" s="52" t="n">
        <f aca="false">Q225*Q$7</f>
        <v>0</v>
      </c>
      <c r="R226" s="52" t="n">
        <f aca="false">R225*R$7</f>
        <v>0</v>
      </c>
      <c r="S226" s="52" t="n">
        <f aca="false">S225*S$7</f>
        <v>0</v>
      </c>
      <c r="T226" s="52" t="n">
        <f aca="false">T225*T$7</f>
        <v>0</v>
      </c>
      <c r="U226" s="52" t="n">
        <f aca="false">U225*U$7</f>
        <v>0</v>
      </c>
      <c r="V226" s="52" t="n">
        <f aca="false">V225*V$7</f>
        <v>0</v>
      </c>
      <c r="W226" s="52" t="n">
        <f aca="false">W225*W$7</f>
        <v>0</v>
      </c>
      <c r="X226" s="52" t="n">
        <f aca="false">X225*X$7</f>
        <v>0</v>
      </c>
      <c r="Y226" s="52" t="n">
        <f aca="false">Y225*Y$7</f>
        <v>0</v>
      </c>
      <c r="Z226" s="52" t="n">
        <f aca="false">Z225*Z$7</f>
        <v>0</v>
      </c>
      <c r="AA226" s="52" t="n">
        <f aca="false">AA225*AA$7</f>
        <v>570</v>
      </c>
      <c r="AB226" s="52" t="n">
        <f aca="false">AB225*AB$7</f>
        <v>819</v>
      </c>
      <c r="AC226" s="52" t="n">
        <f aca="false">AC225*AC$7</f>
        <v>893.025</v>
      </c>
      <c r="AD226" s="52" t="n">
        <f aca="false">AD225*AD$7</f>
        <v>868.21875</v>
      </c>
      <c r="AE226" s="52" t="n">
        <f aca="false">AE225*AE$7</f>
        <v>656.373375</v>
      </c>
      <c r="AF226" s="52" t="n">
        <f aca="false">AF225*AF$7</f>
        <v>765.7689375</v>
      </c>
      <c r="AG226" s="52" t="n">
        <f aca="false">AG225*AG$7</f>
        <v>844.26025359375</v>
      </c>
      <c r="AH226" s="52" t="n">
        <f aca="false">AH225*AH$7</f>
        <v>802.047240914063</v>
      </c>
      <c r="AI226" s="52" t="n">
        <f aca="false">AI225*AI$7</f>
        <v>886.473266273438</v>
      </c>
      <c r="AJ226" s="52" t="n">
        <f aca="false">AJ225*AJ$7</f>
        <v>884.257083107754</v>
      </c>
      <c r="AK226" s="52" t="n">
        <f aca="false">AK225*AK$7</f>
        <v>830.736259656495</v>
      </c>
      <c r="AL226" s="52" t="n">
        <f aca="false">AL225*AL$7</f>
        <v>872.27307263932</v>
      </c>
      <c r="AM226" s="53" t="n">
        <f aca="false">SUMIF($C$6:$AL$6,1,C226:AL226)</f>
        <v>0</v>
      </c>
      <c r="AN226" s="53" t="n">
        <f aca="false">SUMIF($C$6:$AL$6,2,C226:AL226)</f>
        <v>0</v>
      </c>
      <c r="AO226" s="53" t="n">
        <f aca="false">SUMIF($C$6:$AL$6,3,C226:AL226)</f>
        <v>9692.43323868482</v>
      </c>
      <c r="AP226" s="53" t="n">
        <f aca="false">SUM(C226:AL226)</f>
        <v>9692.43323868482</v>
      </c>
    </row>
    <row r="227" customFormat="false" ht="15" hidden="false" customHeight="false" outlineLevel="0" collapsed="false">
      <c r="A227" s="7" t="s">
        <v>758</v>
      </c>
      <c r="B227" s="9" t="s">
        <v>96</v>
      </c>
      <c r="C227" s="54" t="n">
        <f aca="false">Assumptions!$D$170*MIN(1,(C$4-Assumptions!$D$165+1)/Assumptions!$C$10)*C224</f>
        <v>-0</v>
      </c>
      <c r="D227" s="54" t="n">
        <f aca="false">Assumptions!$D$170*MIN(1,(D$4-Assumptions!$D$165+1)/Assumptions!$C$10)*D224</f>
        <v>-0</v>
      </c>
      <c r="E227" s="54" t="n">
        <f aca="false">Assumptions!$D$170*MIN(1,(E$4-Assumptions!$D$165+1)/Assumptions!$C$10)*E224</f>
        <v>-0</v>
      </c>
      <c r="F227" s="54" t="n">
        <f aca="false">Assumptions!$D$170*MIN(1,(F$4-Assumptions!$D$165+1)/Assumptions!$C$10)*F224</f>
        <v>-0</v>
      </c>
      <c r="G227" s="54" t="n">
        <f aca="false">Assumptions!$D$170*MIN(1,(G$4-Assumptions!$D$165+1)/Assumptions!$C$10)*G224</f>
        <v>-0</v>
      </c>
      <c r="H227" s="54" t="n">
        <f aca="false">Assumptions!$D$170*MIN(1,(H$4-Assumptions!$D$165+1)/Assumptions!$C$10)*H224</f>
        <v>-0</v>
      </c>
      <c r="I227" s="54" t="n">
        <f aca="false">Assumptions!$D$170*MIN(1,(I$4-Assumptions!$D$165+1)/Assumptions!$C$10)*I224</f>
        <v>-0</v>
      </c>
      <c r="J227" s="54" t="n">
        <f aca="false">Assumptions!$D$170*MIN(1,(J$4-Assumptions!$D$165+1)/Assumptions!$C$10)*J224</f>
        <v>-0</v>
      </c>
      <c r="K227" s="54" t="n">
        <f aca="false">Assumptions!$D$170*MIN(1,(K$4-Assumptions!$D$165+1)/Assumptions!$C$10)*K224</f>
        <v>-0</v>
      </c>
      <c r="L227" s="54" t="n">
        <f aca="false">Assumptions!$D$170*MIN(1,(L$4-Assumptions!$D$165+1)/Assumptions!$C$10)*L224</f>
        <v>-0</v>
      </c>
      <c r="M227" s="54" t="n">
        <f aca="false">Assumptions!$D$170*MIN(1,(M$4-Assumptions!$D$165+1)/Assumptions!$C$10)*M224</f>
        <v>-0</v>
      </c>
      <c r="N227" s="54" t="n">
        <f aca="false">Assumptions!$D$170*MIN(1,(N$4-Assumptions!$D$165+1)/Assumptions!$C$10)*N224</f>
        <v>-0</v>
      </c>
      <c r="O227" s="54" t="n">
        <f aca="false">Assumptions!$D$170*MIN(1,(O$4-Assumptions!$D$165+1)/Assumptions!$C$10)*O224</f>
        <v>-0</v>
      </c>
      <c r="P227" s="54" t="n">
        <f aca="false">Assumptions!$D$170*MIN(1,(P$4-Assumptions!$D$165+1)/Assumptions!$C$10)*P224</f>
        <v>-0</v>
      </c>
      <c r="Q227" s="54" t="n">
        <f aca="false">Assumptions!$D$170*MIN(1,(Q$4-Assumptions!$D$165+1)/Assumptions!$C$10)*Q224</f>
        <v>-0</v>
      </c>
      <c r="R227" s="54" t="n">
        <f aca="false">Assumptions!$D$170*MIN(1,(R$4-Assumptions!$D$165+1)/Assumptions!$C$10)*R224</f>
        <v>-0</v>
      </c>
      <c r="S227" s="54" t="n">
        <f aca="false">Assumptions!$D$170*MIN(1,(S$4-Assumptions!$D$165+1)/Assumptions!$C$10)*S224</f>
        <v>-0</v>
      </c>
      <c r="T227" s="54" t="n">
        <f aca="false">Assumptions!$D$170*MIN(1,(T$4-Assumptions!$D$165+1)/Assumptions!$C$10)*T224</f>
        <v>-0</v>
      </c>
      <c r="U227" s="54" t="n">
        <f aca="false">Assumptions!$D$170*MIN(1,(U$4-Assumptions!$D$165+1)/Assumptions!$C$10)*U224</f>
        <v>-0</v>
      </c>
      <c r="V227" s="54" t="n">
        <f aca="false">Assumptions!$D$170*MIN(1,(V$4-Assumptions!$D$165+1)/Assumptions!$C$10)*V224</f>
        <v>-0</v>
      </c>
      <c r="W227" s="54" t="n">
        <f aca="false">Assumptions!$D$170*MIN(1,(W$4-Assumptions!$D$165+1)/Assumptions!$C$10)*W224</f>
        <v>-0</v>
      </c>
      <c r="X227" s="54" t="n">
        <f aca="false">Assumptions!$D$170*MIN(1,(X$4-Assumptions!$D$165+1)/Assumptions!$C$10)*X224</f>
        <v>-0</v>
      </c>
      <c r="Y227" s="54" t="n">
        <f aca="false">Assumptions!$D$170*MIN(1,(Y$4-Assumptions!$D$165+1)/Assumptions!$C$10)*Y224</f>
        <v>-0</v>
      </c>
      <c r="Z227" s="54" t="n">
        <f aca="false">Assumptions!$D$170*MIN(1,(Z$4-Assumptions!$D$165+1)/Assumptions!$C$10)*Z224</f>
        <v>0</v>
      </c>
      <c r="AA227" s="54" t="n">
        <f aca="false">Assumptions!$D$170*MIN(1,(AA$4-Assumptions!$D$165+1)/Assumptions!$C$10)*AA224</f>
        <v>0.00166666666666667</v>
      </c>
      <c r="AB227" s="54" t="n">
        <f aca="false">Assumptions!$D$170*MIN(1,(AB$4-Assumptions!$D$165+1)/Assumptions!$C$10)*AB224</f>
        <v>0.00333333333333333</v>
      </c>
      <c r="AC227" s="54" t="n">
        <f aca="false">Assumptions!$D$170*MIN(1,(AC$4-Assumptions!$D$165+1)/Assumptions!$C$10)*AC224</f>
        <v>0.005</v>
      </c>
      <c r="AD227" s="54" t="n">
        <f aca="false">Assumptions!$D$170*MIN(1,(AD$4-Assumptions!$D$165+1)/Assumptions!$C$10)*AD224</f>
        <v>0.00666666666666667</v>
      </c>
      <c r="AE227" s="54" t="n">
        <f aca="false">Assumptions!$D$170*MIN(1,(AE$4-Assumptions!$D$165+1)/Assumptions!$C$10)*AE224</f>
        <v>0.00833333333333333</v>
      </c>
      <c r="AF227" s="54" t="n">
        <f aca="false">Assumptions!$D$170*MIN(1,(AF$4-Assumptions!$D$165+1)/Assumptions!$C$10)*AF224</f>
        <v>0.01</v>
      </c>
      <c r="AG227" s="54" t="n">
        <f aca="false">Assumptions!$D$170*MIN(1,(AG$4-Assumptions!$D$165+1)/Assumptions!$C$10)*AG224</f>
        <v>0.01</v>
      </c>
      <c r="AH227" s="54" t="n">
        <f aca="false">Assumptions!$D$170*MIN(1,(AH$4-Assumptions!$D$165+1)/Assumptions!$C$10)*AH224</f>
        <v>0.01</v>
      </c>
      <c r="AI227" s="54" t="n">
        <f aca="false">Assumptions!$D$170*MIN(1,(AI$4-Assumptions!$D$165+1)/Assumptions!$C$10)*AI224</f>
        <v>0.01</v>
      </c>
      <c r="AJ227" s="54" t="n">
        <f aca="false">Assumptions!$D$170*MIN(1,(AJ$4-Assumptions!$D$165+1)/Assumptions!$C$10)*AJ224</f>
        <v>0.01</v>
      </c>
      <c r="AK227" s="54" t="n">
        <f aca="false">Assumptions!$D$170*MIN(1,(AK$4-Assumptions!$D$165+1)/Assumptions!$C$10)*AK224</f>
        <v>0.01</v>
      </c>
      <c r="AL227" s="54" t="n">
        <f aca="false">Assumptions!$D$170*MIN(1,(AL$4-Assumptions!$D$165+1)/Assumptions!$C$10)*AL224</f>
        <v>0.01</v>
      </c>
    </row>
    <row r="228" customFormat="false" ht="15" hidden="false" customHeight="false" outlineLevel="0" collapsed="false">
      <c r="A228" s="7" t="s">
        <v>766</v>
      </c>
      <c r="B228" s="9" t="s">
        <v>760</v>
      </c>
      <c r="C228" s="55" t="n">
        <f aca="false">C226*C227</f>
        <v>-0</v>
      </c>
      <c r="D228" s="55" t="n">
        <f aca="false">D226*D227</f>
        <v>-0</v>
      </c>
      <c r="E228" s="55" t="n">
        <f aca="false">E226*E227</f>
        <v>-0</v>
      </c>
      <c r="F228" s="55" t="n">
        <f aca="false">F226*F227</f>
        <v>-0</v>
      </c>
      <c r="G228" s="55" t="n">
        <f aca="false">G226*G227</f>
        <v>-0</v>
      </c>
      <c r="H228" s="55" t="n">
        <f aca="false">H226*H227</f>
        <v>-0</v>
      </c>
      <c r="I228" s="55" t="n">
        <f aca="false">I226*I227</f>
        <v>-0</v>
      </c>
      <c r="J228" s="55" t="n">
        <f aca="false">J226*J227</f>
        <v>-0</v>
      </c>
      <c r="K228" s="55" t="n">
        <f aca="false">K226*K227</f>
        <v>-0</v>
      </c>
      <c r="L228" s="55" t="n">
        <f aca="false">L226*L227</f>
        <v>-0</v>
      </c>
      <c r="M228" s="55" t="n">
        <f aca="false">M226*M227</f>
        <v>-0</v>
      </c>
      <c r="N228" s="55" t="n">
        <f aca="false">N226*N227</f>
        <v>-0</v>
      </c>
      <c r="O228" s="55" t="n">
        <f aca="false">O226*O227</f>
        <v>-0</v>
      </c>
      <c r="P228" s="55" t="n">
        <f aca="false">P226*P227</f>
        <v>-0</v>
      </c>
      <c r="Q228" s="55" t="n">
        <f aca="false">Q226*Q227</f>
        <v>-0</v>
      </c>
      <c r="R228" s="55" t="n">
        <f aca="false">R226*R227</f>
        <v>-0</v>
      </c>
      <c r="S228" s="55" t="n">
        <f aca="false">S226*S227</f>
        <v>-0</v>
      </c>
      <c r="T228" s="55" t="n">
        <f aca="false">T226*T227</f>
        <v>-0</v>
      </c>
      <c r="U228" s="55" t="n">
        <f aca="false">U226*U227</f>
        <v>-0</v>
      </c>
      <c r="V228" s="55" t="n">
        <f aca="false">V226*V227</f>
        <v>-0</v>
      </c>
      <c r="W228" s="55" t="n">
        <f aca="false">W226*W227</f>
        <v>-0</v>
      </c>
      <c r="X228" s="55" t="n">
        <f aca="false">X226*X227</f>
        <v>-0</v>
      </c>
      <c r="Y228" s="55" t="n">
        <f aca="false">Y226*Y227</f>
        <v>-0</v>
      </c>
      <c r="Z228" s="55" t="n">
        <f aca="false">Z226*Z227</f>
        <v>0</v>
      </c>
      <c r="AA228" s="55" t="n">
        <f aca="false">AA226*AA227</f>
        <v>0.95</v>
      </c>
      <c r="AB228" s="55" t="n">
        <f aca="false">AB226*AB227</f>
        <v>2.73</v>
      </c>
      <c r="AC228" s="55" t="n">
        <f aca="false">AC226*AC227</f>
        <v>4.465125</v>
      </c>
      <c r="AD228" s="55" t="n">
        <f aca="false">AD226*AD227</f>
        <v>5.788125</v>
      </c>
      <c r="AE228" s="55" t="n">
        <f aca="false">AE226*AE227</f>
        <v>5.469778125</v>
      </c>
      <c r="AF228" s="55" t="n">
        <f aca="false">AF226*AF227</f>
        <v>7.657689375</v>
      </c>
      <c r="AG228" s="55" t="n">
        <f aca="false">AG226*AG227</f>
        <v>8.4426025359375</v>
      </c>
      <c r="AH228" s="55" t="n">
        <f aca="false">AH226*AH227</f>
        <v>8.02047240914063</v>
      </c>
      <c r="AI228" s="55" t="n">
        <f aca="false">AI226*AI227</f>
        <v>8.86473266273438</v>
      </c>
      <c r="AJ228" s="55" t="n">
        <f aca="false">AJ226*AJ227</f>
        <v>8.84257083107754</v>
      </c>
      <c r="AK228" s="55" t="n">
        <f aca="false">AK226*AK227</f>
        <v>8.30736259656495</v>
      </c>
      <c r="AL228" s="55" t="n">
        <f aca="false">AL226*AL227</f>
        <v>8.7227307263932</v>
      </c>
      <c r="AM228" s="53" t="n">
        <f aca="false">SUMIF($C$6:$AL$6,1,C228:AL228)</f>
        <v>0</v>
      </c>
      <c r="AN228" s="53" t="n">
        <f aca="false">SUMIF($C$6:$AL$6,2,C228:AL228)</f>
        <v>0</v>
      </c>
      <c r="AO228" s="53" t="n">
        <f aca="false">SUMIF($C$6:$AL$6,3,C228:AL228)</f>
        <v>78.2611892618482</v>
      </c>
      <c r="AP228" s="53" t="n">
        <f aca="false">SUM(C228:AL228)</f>
        <v>78.2611892618482</v>
      </c>
    </row>
    <row r="229" customFormat="false" ht="15" hidden="false" customHeight="false" outlineLevel="0" collapsed="false">
      <c r="A229" s="7" t="s">
        <v>761</v>
      </c>
      <c r="B229" s="9" t="s">
        <v>342</v>
      </c>
      <c r="C229" s="56" t="n">
        <f aca="false">C228*Assumptions!$D$171</f>
        <v>-0</v>
      </c>
      <c r="D229" s="56" t="n">
        <f aca="false">D228*Assumptions!$D$171</f>
        <v>-0</v>
      </c>
      <c r="E229" s="56" t="n">
        <f aca="false">E228*Assumptions!$D$171</f>
        <v>-0</v>
      </c>
      <c r="F229" s="56" t="n">
        <f aca="false">F228*Assumptions!$D$171</f>
        <v>-0</v>
      </c>
      <c r="G229" s="56" t="n">
        <f aca="false">G228*Assumptions!$D$171</f>
        <v>-0</v>
      </c>
      <c r="H229" s="56" t="n">
        <f aca="false">H228*Assumptions!$D$171</f>
        <v>-0</v>
      </c>
      <c r="I229" s="56" t="n">
        <f aca="false">I228*Assumptions!$D$171</f>
        <v>-0</v>
      </c>
      <c r="J229" s="56" t="n">
        <f aca="false">J228*Assumptions!$D$171</f>
        <v>-0</v>
      </c>
      <c r="K229" s="56" t="n">
        <f aca="false">K228*Assumptions!$D$171</f>
        <v>-0</v>
      </c>
      <c r="L229" s="56" t="n">
        <f aca="false">L228*Assumptions!$D$171</f>
        <v>-0</v>
      </c>
      <c r="M229" s="56" t="n">
        <f aca="false">M228*Assumptions!$D$171</f>
        <v>-0</v>
      </c>
      <c r="N229" s="56" t="n">
        <f aca="false">N228*Assumptions!$D$171</f>
        <v>-0</v>
      </c>
      <c r="O229" s="56" t="n">
        <f aca="false">O228*Assumptions!$D$171</f>
        <v>-0</v>
      </c>
      <c r="P229" s="56" t="n">
        <f aca="false">P228*Assumptions!$D$171</f>
        <v>-0</v>
      </c>
      <c r="Q229" s="56" t="n">
        <f aca="false">Q228*Assumptions!$D$171</f>
        <v>-0</v>
      </c>
      <c r="R229" s="56" t="n">
        <f aca="false">R228*Assumptions!$D$171</f>
        <v>-0</v>
      </c>
      <c r="S229" s="56" t="n">
        <f aca="false">S228*Assumptions!$D$171</f>
        <v>-0</v>
      </c>
      <c r="T229" s="56" t="n">
        <f aca="false">T228*Assumptions!$D$171</f>
        <v>-0</v>
      </c>
      <c r="U229" s="56" t="n">
        <f aca="false">U228*Assumptions!$D$171</f>
        <v>-0</v>
      </c>
      <c r="V229" s="56" t="n">
        <f aca="false">V228*Assumptions!$D$171</f>
        <v>-0</v>
      </c>
      <c r="W229" s="56" t="n">
        <f aca="false">W228*Assumptions!$D$171</f>
        <v>-0</v>
      </c>
      <c r="X229" s="56" t="n">
        <f aca="false">X228*Assumptions!$D$171</f>
        <v>-0</v>
      </c>
      <c r="Y229" s="56" t="n">
        <f aca="false">Y228*Assumptions!$D$171</f>
        <v>-0</v>
      </c>
      <c r="Z229" s="56" t="n">
        <f aca="false">Z228*Assumptions!$D$171</f>
        <v>0</v>
      </c>
      <c r="AA229" s="56" t="n">
        <f aca="false">AA228*Assumptions!$D$171</f>
        <v>3.8</v>
      </c>
      <c r="AB229" s="56" t="n">
        <f aca="false">AB228*Assumptions!$D$171</f>
        <v>10.92</v>
      </c>
      <c r="AC229" s="56" t="n">
        <f aca="false">AC228*Assumptions!$D$171</f>
        <v>17.8605</v>
      </c>
      <c r="AD229" s="56" t="n">
        <f aca="false">AD228*Assumptions!$D$171</f>
        <v>23.1525</v>
      </c>
      <c r="AE229" s="56" t="n">
        <f aca="false">AE228*Assumptions!$D$171</f>
        <v>21.8791125</v>
      </c>
      <c r="AF229" s="56" t="n">
        <f aca="false">AF228*Assumptions!$D$171</f>
        <v>30.6307575</v>
      </c>
      <c r="AG229" s="56" t="n">
        <f aca="false">AG228*Assumptions!$D$171</f>
        <v>33.77041014375</v>
      </c>
      <c r="AH229" s="56" t="n">
        <f aca="false">AH228*Assumptions!$D$171</f>
        <v>32.0818896365625</v>
      </c>
      <c r="AI229" s="56" t="n">
        <f aca="false">AI228*Assumptions!$D$171</f>
        <v>35.4589306509375</v>
      </c>
      <c r="AJ229" s="56" t="n">
        <f aca="false">AJ228*Assumptions!$D$171</f>
        <v>35.3702833243102</v>
      </c>
      <c r="AK229" s="56" t="n">
        <f aca="false">AK228*Assumptions!$D$171</f>
        <v>33.2294503862598</v>
      </c>
      <c r="AL229" s="56" t="n">
        <f aca="false">AL228*Assumptions!$D$171</f>
        <v>34.8909229055728</v>
      </c>
      <c r="AM229" s="53" t="n">
        <f aca="false">SUMIF($C$6:$AL$6,1,C229:AL229)</f>
        <v>0</v>
      </c>
      <c r="AN229" s="53" t="n">
        <f aca="false">SUMIF($C$6:$AL$6,2,C229:AL229)</f>
        <v>0</v>
      </c>
      <c r="AO229" s="53" t="n">
        <f aca="false">SUMIF($C$6:$AL$6,3,C229:AL229)</f>
        <v>313.044757047393</v>
      </c>
      <c r="AP229" s="53" t="n">
        <f aca="false">SUM(C229:AL229)</f>
        <v>313.044757047393</v>
      </c>
    </row>
    <row r="230" customFormat="false" ht="15" hidden="false" customHeight="false" outlineLevel="0" collapsed="false">
      <c r="A230" s="7" t="s">
        <v>762</v>
      </c>
      <c r="B230" s="9" t="s">
        <v>101</v>
      </c>
      <c r="C230" s="15" t="n">
        <f aca="false">'Unit Economics'!$E$58*Assumptions!$D$171*C224</f>
        <v>0</v>
      </c>
      <c r="D230" s="15" t="n">
        <f aca="false">'Unit Economics'!$E$58*Assumptions!$D$171*D224</f>
        <v>0</v>
      </c>
      <c r="E230" s="15" t="n">
        <f aca="false">'Unit Economics'!$E$58*Assumptions!$D$171*E224</f>
        <v>0</v>
      </c>
      <c r="F230" s="15" t="n">
        <f aca="false">'Unit Economics'!$E$58*Assumptions!$D$171*F224</f>
        <v>0</v>
      </c>
      <c r="G230" s="15" t="n">
        <f aca="false">'Unit Economics'!$E$58*Assumptions!$D$171*G224</f>
        <v>0</v>
      </c>
      <c r="H230" s="15" t="n">
        <f aca="false">'Unit Economics'!$E$58*Assumptions!$D$171*H224</f>
        <v>0</v>
      </c>
      <c r="I230" s="15" t="n">
        <f aca="false">'Unit Economics'!$E$58*Assumptions!$D$171*I224</f>
        <v>0</v>
      </c>
      <c r="J230" s="15" t="n">
        <f aca="false">'Unit Economics'!$E$58*Assumptions!$D$171*J224</f>
        <v>0</v>
      </c>
      <c r="K230" s="15" t="n">
        <f aca="false">'Unit Economics'!$E$58*Assumptions!$D$171*K224</f>
        <v>0</v>
      </c>
      <c r="L230" s="15" t="n">
        <f aca="false">'Unit Economics'!$E$58*Assumptions!$D$171*L224</f>
        <v>0</v>
      </c>
      <c r="M230" s="15" t="n">
        <f aca="false">'Unit Economics'!$E$58*Assumptions!$D$171*M224</f>
        <v>0</v>
      </c>
      <c r="N230" s="15" t="n">
        <f aca="false">'Unit Economics'!$E$58*Assumptions!$D$171*N224</f>
        <v>0</v>
      </c>
      <c r="O230" s="15" t="n">
        <f aca="false">'Unit Economics'!$E$58*Assumptions!$D$171*O224</f>
        <v>0</v>
      </c>
      <c r="P230" s="15" t="n">
        <f aca="false">'Unit Economics'!$E$58*Assumptions!$D$171*P224</f>
        <v>0</v>
      </c>
      <c r="Q230" s="15" t="n">
        <f aca="false">'Unit Economics'!$E$58*Assumptions!$D$171*Q224</f>
        <v>0</v>
      </c>
      <c r="R230" s="15" t="n">
        <f aca="false">'Unit Economics'!$E$58*Assumptions!$D$171*R224</f>
        <v>0</v>
      </c>
      <c r="S230" s="15" t="n">
        <f aca="false">'Unit Economics'!$E$58*Assumptions!$D$171*S224</f>
        <v>0</v>
      </c>
      <c r="T230" s="15" t="n">
        <f aca="false">'Unit Economics'!$E$58*Assumptions!$D$171*T224</f>
        <v>0</v>
      </c>
      <c r="U230" s="15" t="n">
        <f aca="false">'Unit Economics'!$E$58*Assumptions!$D$171*U224</f>
        <v>0</v>
      </c>
      <c r="V230" s="15" t="n">
        <f aca="false">'Unit Economics'!$E$58*Assumptions!$D$171*V224</f>
        <v>0</v>
      </c>
      <c r="W230" s="15" t="n">
        <f aca="false">'Unit Economics'!$E$58*Assumptions!$D$171*W224</f>
        <v>0</v>
      </c>
      <c r="X230" s="15" t="n">
        <f aca="false">'Unit Economics'!$E$58*Assumptions!$D$171*X224</f>
        <v>0</v>
      </c>
      <c r="Y230" s="15" t="n">
        <f aca="false">'Unit Economics'!$E$58*Assumptions!$D$171*Y224</f>
        <v>0</v>
      </c>
      <c r="Z230" s="15" t="n">
        <f aca="false">'Unit Economics'!$E$58*Assumptions!$D$171*Z224</f>
        <v>0</v>
      </c>
      <c r="AA230" s="15" t="n">
        <f aca="false">'Unit Economics'!$E$58*Assumptions!$D$171*AA224</f>
        <v>38.97</v>
      </c>
      <c r="AB230" s="15" t="n">
        <f aca="false">'Unit Economics'!$E$58*Assumptions!$D$171*AB224</f>
        <v>38.97</v>
      </c>
      <c r="AC230" s="15" t="n">
        <f aca="false">'Unit Economics'!$E$58*Assumptions!$D$171*AC224</f>
        <v>38.97</v>
      </c>
      <c r="AD230" s="15" t="n">
        <f aca="false">'Unit Economics'!$E$58*Assumptions!$D$171*AD224</f>
        <v>38.97</v>
      </c>
      <c r="AE230" s="15" t="n">
        <f aca="false">'Unit Economics'!$E$58*Assumptions!$D$171*AE224</f>
        <v>38.97</v>
      </c>
      <c r="AF230" s="15" t="n">
        <f aca="false">'Unit Economics'!$E$58*Assumptions!$D$171*AF224</f>
        <v>38.97</v>
      </c>
      <c r="AG230" s="15" t="n">
        <f aca="false">'Unit Economics'!$E$58*Assumptions!$D$171*AG224</f>
        <v>38.97</v>
      </c>
      <c r="AH230" s="15" t="n">
        <f aca="false">'Unit Economics'!$E$58*Assumptions!$D$171*AH224</f>
        <v>38.97</v>
      </c>
      <c r="AI230" s="15" t="n">
        <f aca="false">'Unit Economics'!$E$58*Assumptions!$D$171*AI224</f>
        <v>38.97</v>
      </c>
      <c r="AJ230" s="15" t="n">
        <f aca="false">'Unit Economics'!$E$58*Assumptions!$D$171*AJ224</f>
        <v>38.97</v>
      </c>
      <c r="AK230" s="15" t="n">
        <f aca="false">'Unit Economics'!$E$58*Assumptions!$D$171*AK224</f>
        <v>38.97</v>
      </c>
      <c r="AL230" s="15" t="n">
        <f aca="false">'Unit Economics'!$E$58*Assumptions!$D$171*AL224</f>
        <v>38.97</v>
      </c>
    </row>
    <row r="231" customFormat="false" ht="15" hidden="false" customHeight="false" outlineLevel="0" collapsed="false">
      <c r="A231" s="7" t="s">
        <v>763</v>
      </c>
      <c r="B231" s="9" t="s">
        <v>101</v>
      </c>
      <c r="C231" s="8" t="n">
        <f aca="false">C229*'Unit Economics'!$E$58</f>
        <v>-0</v>
      </c>
      <c r="D231" s="8" t="n">
        <f aca="false">D229*'Unit Economics'!$E$58</f>
        <v>-0</v>
      </c>
      <c r="E231" s="8" t="n">
        <f aca="false">E229*'Unit Economics'!$E$58</f>
        <v>-0</v>
      </c>
      <c r="F231" s="8" t="n">
        <f aca="false">F229*'Unit Economics'!$E$58</f>
        <v>-0</v>
      </c>
      <c r="G231" s="8" t="n">
        <f aca="false">G229*'Unit Economics'!$E$58</f>
        <v>-0</v>
      </c>
      <c r="H231" s="8" t="n">
        <f aca="false">H229*'Unit Economics'!$E$58</f>
        <v>-0</v>
      </c>
      <c r="I231" s="8" t="n">
        <f aca="false">I229*'Unit Economics'!$E$58</f>
        <v>-0</v>
      </c>
      <c r="J231" s="8" t="n">
        <f aca="false">J229*'Unit Economics'!$E$58</f>
        <v>-0</v>
      </c>
      <c r="K231" s="8" t="n">
        <f aca="false">K229*'Unit Economics'!$E$58</f>
        <v>-0</v>
      </c>
      <c r="L231" s="8" t="n">
        <f aca="false">L229*'Unit Economics'!$E$58</f>
        <v>-0</v>
      </c>
      <c r="M231" s="8" t="n">
        <f aca="false">M229*'Unit Economics'!$E$58</f>
        <v>-0</v>
      </c>
      <c r="N231" s="8" t="n">
        <f aca="false">N229*'Unit Economics'!$E$58</f>
        <v>-0</v>
      </c>
      <c r="O231" s="8" t="n">
        <f aca="false">O229*'Unit Economics'!$E$58</f>
        <v>-0</v>
      </c>
      <c r="P231" s="8" t="n">
        <f aca="false">P229*'Unit Economics'!$E$58</f>
        <v>-0</v>
      </c>
      <c r="Q231" s="8" t="n">
        <f aca="false">Q229*'Unit Economics'!$E$58</f>
        <v>-0</v>
      </c>
      <c r="R231" s="8" t="n">
        <f aca="false">R229*'Unit Economics'!$E$58</f>
        <v>-0</v>
      </c>
      <c r="S231" s="8" t="n">
        <f aca="false">S229*'Unit Economics'!$E$58</f>
        <v>-0</v>
      </c>
      <c r="T231" s="8" t="n">
        <f aca="false">T229*'Unit Economics'!$E$58</f>
        <v>-0</v>
      </c>
      <c r="U231" s="8" t="n">
        <f aca="false">U229*'Unit Economics'!$E$58</f>
        <v>-0</v>
      </c>
      <c r="V231" s="8" t="n">
        <f aca="false">V229*'Unit Economics'!$E$58</f>
        <v>-0</v>
      </c>
      <c r="W231" s="8" t="n">
        <f aca="false">W229*'Unit Economics'!$E$58</f>
        <v>-0</v>
      </c>
      <c r="X231" s="8" t="n">
        <f aca="false">X229*'Unit Economics'!$E$58</f>
        <v>-0</v>
      </c>
      <c r="Y231" s="8" t="n">
        <f aca="false">Y229*'Unit Economics'!$E$58</f>
        <v>-0</v>
      </c>
      <c r="Z231" s="8" t="n">
        <f aca="false">Z229*'Unit Economics'!$E$58</f>
        <v>0</v>
      </c>
      <c r="AA231" s="8" t="n">
        <f aca="false">AA229*'Unit Economics'!$E$58</f>
        <v>37.0215</v>
      </c>
      <c r="AB231" s="8" t="n">
        <f aca="false">AB229*'Unit Economics'!$E$58</f>
        <v>106.3881</v>
      </c>
      <c r="AC231" s="8" t="n">
        <f aca="false">AC229*'Unit Economics'!$E$58</f>
        <v>174.00592125</v>
      </c>
      <c r="AD231" s="8" t="n">
        <f aca="false">AD229*'Unit Economics'!$E$58</f>
        <v>225.56323125</v>
      </c>
      <c r="AE231" s="8" t="n">
        <f aca="false">AE229*'Unit Economics'!$E$58</f>
        <v>213.15725353125</v>
      </c>
      <c r="AF231" s="8" t="n">
        <f aca="false">AF229*'Unit Economics'!$E$58</f>
        <v>298.42015494375</v>
      </c>
      <c r="AG231" s="8" t="n">
        <f aca="false">AG229*'Unit Economics'!$E$58</f>
        <v>329.008220825485</v>
      </c>
      <c r="AH231" s="8" t="n">
        <f aca="false">AH229*'Unit Economics'!$E$58</f>
        <v>312.55780978421</v>
      </c>
      <c r="AI231" s="8" t="n">
        <f aca="false">AI229*'Unit Economics'!$E$58</f>
        <v>345.458631866759</v>
      </c>
      <c r="AJ231" s="8" t="n">
        <f aca="false">AJ229*'Unit Economics'!$E$58</f>
        <v>344.594985287092</v>
      </c>
      <c r="AK231" s="8" t="n">
        <f aca="false">AK229*'Unit Economics'!$E$58</f>
        <v>323.737920388136</v>
      </c>
      <c r="AL231" s="8" t="n">
        <f aca="false">AL229*'Unit Economics'!$E$58</f>
        <v>339.924816407543</v>
      </c>
      <c r="AM231" s="45" t="n">
        <f aca="false">SUMIF($C$6:$AL$6,1,C231:AL231)</f>
        <v>0</v>
      </c>
      <c r="AN231" s="45" t="n">
        <f aca="false">SUMIF($C$6:$AL$6,2,C231:AL231)</f>
        <v>0</v>
      </c>
      <c r="AO231" s="45" t="n">
        <f aca="false">SUMIF($C$6:$AL$6,3,C231:AL231)</f>
        <v>3049.83854553422</v>
      </c>
      <c r="AP231" s="45" t="n">
        <f aca="false">SUM(C231:AL231)</f>
        <v>3049.83854553422</v>
      </c>
    </row>
    <row r="232" customFormat="false" ht="15" hidden="false" customHeight="false" outlineLevel="0" collapsed="false">
      <c r="A232" s="7" t="s">
        <v>764</v>
      </c>
      <c r="B232" s="9" t="s">
        <v>101</v>
      </c>
      <c r="C232" s="8" t="n">
        <f aca="false">C229*'Unit Economics'!$F$58</f>
        <v>-0</v>
      </c>
      <c r="D232" s="8" t="n">
        <f aca="false">D229*'Unit Economics'!$F$58</f>
        <v>-0</v>
      </c>
      <c r="E232" s="8" t="n">
        <f aca="false">E229*'Unit Economics'!$F$58</f>
        <v>-0</v>
      </c>
      <c r="F232" s="8" t="n">
        <f aca="false">F229*'Unit Economics'!$F$58</f>
        <v>-0</v>
      </c>
      <c r="G232" s="8" t="n">
        <f aca="false">G229*'Unit Economics'!$F$58</f>
        <v>-0</v>
      </c>
      <c r="H232" s="8" t="n">
        <f aca="false">H229*'Unit Economics'!$F$58</f>
        <v>-0</v>
      </c>
      <c r="I232" s="8" t="n">
        <f aca="false">I229*'Unit Economics'!$F$58</f>
        <v>-0</v>
      </c>
      <c r="J232" s="8" t="n">
        <f aca="false">J229*'Unit Economics'!$F$58</f>
        <v>-0</v>
      </c>
      <c r="K232" s="8" t="n">
        <f aca="false">K229*'Unit Economics'!$F$58</f>
        <v>-0</v>
      </c>
      <c r="L232" s="8" t="n">
        <f aca="false">L229*'Unit Economics'!$F$58</f>
        <v>-0</v>
      </c>
      <c r="M232" s="8" t="n">
        <f aca="false">M229*'Unit Economics'!$F$58</f>
        <v>-0</v>
      </c>
      <c r="N232" s="8" t="n">
        <f aca="false">N229*'Unit Economics'!$F$58</f>
        <v>-0</v>
      </c>
      <c r="O232" s="8" t="n">
        <f aca="false">O229*'Unit Economics'!$F$58</f>
        <v>-0</v>
      </c>
      <c r="P232" s="8" t="n">
        <f aca="false">P229*'Unit Economics'!$F$58</f>
        <v>-0</v>
      </c>
      <c r="Q232" s="8" t="n">
        <f aca="false">Q229*'Unit Economics'!$F$58</f>
        <v>-0</v>
      </c>
      <c r="R232" s="8" t="n">
        <f aca="false">R229*'Unit Economics'!$F$58</f>
        <v>-0</v>
      </c>
      <c r="S232" s="8" t="n">
        <f aca="false">S229*'Unit Economics'!$F$58</f>
        <v>-0</v>
      </c>
      <c r="T232" s="8" t="n">
        <f aca="false">T229*'Unit Economics'!$F$58</f>
        <v>-0</v>
      </c>
      <c r="U232" s="8" t="n">
        <f aca="false">U229*'Unit Economics'!$F$58</f>
        <v>-0</v>
      </c>
      <c r="V232" s="8" t="n">
        <f aca="false">V229*'Unit Economics'!$F$58</f>
        <v>-0</v>
      </c>
      <c r="W232" s="8" t="n">
        <f aca="false">W229*'Unit Economics'!$F$58</f>
        <v>-0</v>
      </c>
      <c r="X232" s="8" t="n">
        <f aca="false">X229*'Unit Economics'!$F$58</f>
        <v>-0</v>
      </c>
      <c r="Y232" s="8" t="n">
        <f aca="false">Y229*'Unit Economics'!$F$58</f>
        <v>-0</v>
      </c>
      <c r="Z232" s="8" t="n">
        <f aca="false">Z229*'Unit Economics'!$F$58</f>
        <v>0</v>
      </c>
      <c r="AA232" s="8" t="n">
        <f aca="false">AA229*'Unit Economics'!$F$58</f>
        <v>6.921985</v>
      </c>
      <c r="AB232" s="8" t="n">
        <f aca="false">AB229*'Unit Economics'!$F$58</f>
        <v>19.891599</v>
      </c>
      <c r="AC232" s="8" t="n">
        <f aca="false">AC229*'Unit Economics'!$F$58</f>
        <v>32.5342402875</v>
      </c>
      <c r="AD232" s="8" t="n">
        <f aca="false">AD229*'Unit Economics'!$F$58</f>
        <v>42.1740151875</v>
      </c>
      <c r="AE232" s="8" t="n">
        <f aca="false">AE229*'Unit Economics'!$F$58</f>
        <v>39.8544443521875</v>
      </c>
      <c r="AF232" s="8" t="n">
        <f aca="false">AF229*'Unit Economics'!$F$58</f>
        <v>55.7962220930625</v>
      </c>
      <c r="AG232" s="8" t="n">
        <f aca="false">AG229*'Unit Economics'!$F$58</f>
        <v>61.5153348576014</v>
      </c>
      <c r="AH232" s="8" t="n">
        <f aca="false">AH229*'Unit Economics'!$F$58</f>
        <v>58.4395681147213</v>
      </c>
      <c r="AI232" s="8" t="n">
        <f aca="false">AI229*'Unit Economics'!$F$58</f>
        <v>64.5911016004815</v>
      </c>
      <c r="AJ232" s="8" t="n">
        <f aca="false">AJ229*'Unit Economics'!$F$58</f>
        <v>64.4296238464803</v>
      </c>
      <c r="AK232" s="8" t="n">
        <f aca="false">AK229*'Unit Economics'!$F$58</f>
        <v>60.5299360873512</v>
      </c>
      <c r="AL232" s="8" t="n">
        <f aca="false">AL229*'Unit Economics'!$F$58</f>
        <v>63.5564328917188</v>
      </c>
      <c r="AM232" s="45" t="n">
        <f aca="false">SUMIF($C$6:$AL$6,1,C232:AL232)</f>
        <v>0</v>
      </c>
      <c r="AN232" s="45" t="n">
        <f aca="false">SUMIF($C$6:$AL$6,2,C232:AL232)</f>
        <v>0</v>
      </c>
      <c r="AO232" s="45" t="n">
        <f aca="false">SUMIF($C$6:$AL$6,3,C232:AL232)</f>
        <v>570.234503318604</v>
      </c>
      <c r="AP232" s="45" t="n">
        <f aca="false">SUM(C232:AL232)</f>
        <v>570.234503318604</v>
      </c>
    </row>
    <row r="233" customFormat="false" ht="15" hidden="false" customHeight="false" outlineLevel="0" collapsed="false">
      <c r="A233" s="5" t="s">
        <v>776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</row>
    <row r="234" customFormat="false" ht="15" hidden="false" customHeight="false" outlineLevel="0" collapsed="false">
      <c r="A234" s="7" t="s">
        <v>777</v>
      </c>
      <c r="B234" s="9" t="s">
        <v>771</v>
      </c>
      <c r="C234" s="14" t="n">
        <f aca="false">C146*Assumptions!$D$174+(C148+C158+C168+C178+C188+C208)*Assumptions!$D$175</f>
        <v>17.69375</v>
      </c>
      <c r="D234" s="14" t="n">
        <f aca="false">D146*Assumptions!$D$174+(D148+D158+D168+D178+D188+D208)*Assumptions!$D$175</f>
        <v>29.003</v>
      </c>
      <c r="E234" s="14" t="n">
        <f aca="false">E146*Assumptions!$D$174+(E148+E158+E168+E178+E188+E208)*Assumptions!$D$175</f>
        <v>36.08712</v>
      </c>
      <c r="F234" s="14" t="n">
        <f aca="false">F146*Assumptions!$D$174+(F148+F158+F168+F178+F188+F208)*Assumptions!$D$175</f>
        <v>39.54901796</v>
      </c>
      <c r="G234" s="14" t="n">
        <f aca="false">G146*Assumptions!$D$174+(G148+G158+G168+G178+G188+G208)*Assumptions!$D$175</f>
        <v>33.917371216128</v>
      </c>
      <c r="H234" s="14" t="n">
        <f aca="false">H146*Assumptions!$D$174+(H148+H158+H168+H178+H188+H208)*Assumptions!$D$175</f>
        <v>44.6479168569216</v>
      </c>
      <c r="I234" s="14" t="n">
        <f aca="false">I146*Assumptions!$D$174+(I148+I158+I168+I178+I188+I208)*Assumptions!$D$175</f>
        <v>54.0835254376398</v>
      </c>
      <c r="J234" s="14" t="n">
        <f aca="false">J146*Assumptions!$D$174+(J148+J158+J168+J178+J188+J208)*Assumptions!$D$175</f>
        <v>55.0553963640429</v>
      </c>
      <c r="K234" s="14" t="n">
        <f aca="false">K146*Assumptions!$D$174+(K148+K158+K168+K178+K188+K208)*Assumptions!$D$175</f>
        <v>64.9479633739226</v>
      </c>
      <c r="L234" s="14" t="n">
        <f aca="false">L146*Assumptions!$D$174+(L148+L158+L168+L178+L188+L208)*Assumptions!$D$175</f>
        <v>69.0361555058049</v>
      </c>
      <c r="M234" s="14" t="n">
        <f aca="false">M146*Assumptions!$D$174+(M148+M158+M168+M178+M188+M208)*Assumptions!$D$175</f>
        <v>68.8717129151865</v>
      </c>
      <c r="N234" s="14" t="n">
        <f aca="false">N146*Assumptions!$D$174+(N148+N158+N168+N178+N188+N208)*Assumptions!$D$175</f>
        <v>76.8013903059608</v>
      </c>
      <c r="O234" s="14" t="n">
        <f aca="false">O146*Assumptions!$D$174+(O148+O158+O168+O178+O188+O208)*Assumptions!$D$175</f>
        <v>90.6105077160847</v>
      </c>
      <c r="P234" s="14" t="n">
        <f aca="false">P146*Assumptions!$D$174+(P148+P158+P168+P178+P188+P208)*Assumptions!$D$175</f>
        <v>130.896541883616</v>
      </c>
      <c r="Q234" s="14" t="n">
        <f aca="false">Q146*Assumptions!$D$174+(Q148+Q158+Q168+Q178+Q188+Q208)*Assumptions!$D$175</f>
        <v>143.507041837146</v>
      </c>
      <c r="R234" s="14" t="n">
        <f aca="false">R146*Assumptions!$D$174+(R148+R158+R168+R178+R188+R208)*Assumptions!$D$175</f>
        <v>140.290590236129</v>
      </c>
      <c r="S234" s="14" t="n">
        <f aca="false">S146*Assumptions!$D$174+(S148+S158+S168+S178+S188+S208)*Assumptions!$D$175</f>
        <v>106.650842633701</v>
      </c>
      <c r="T234" s="14" t="n">
        <f aca="false">T146*Assumptions!$D$174+(T148+T158+T168+T178+T188+T208)*Assumptions!$D$175</f>
        <v>125.126387447765</v>
      </c>
      <c r="U234" s="14" t="n">
        <f aca="false">U146*Assumptions!$D$174+(U148+U158+U168+U178+U188+U208)*Assumptions!$D$175</f>
        <v>138.735917055864</v>
      </c>
      <c r="V234" s="14" t="n">
        <f aca="false">V146*Assumptions!$D$174+(V148+V158+V168+V178+V188+V208)*Assumptions!$D$175</f>
        <v>132.555333961577</v>
      </c>
      <c r="W234" s="14" t="n">
        <f aca="false">W146*Assumptions!$D$174+(W148+W158+W168+W178+W188+W208)*Assumptions!$D$175</f>
        <v>147.356940353978</v>
      </c>
      <c r="X234" s="14" t="n">
        <f aca="false">X146*Assumptions!$D$174+(X148+X158+X168+X178+X188+X208)*Assumptions!$D$175</f>
        <v>147.847473019673</v>
      </c>
      <c r="Y234" s="14" t="n">
        <f aca="false">Y146*Assumptions!$D$174+(Y148+Y158+Y168+Y178+Y188+Y208)*Assumptions!$D$175</f>
        <v>139.717678015464</v>
      </c>
      <c r="Z234" s="14" t="n">
        <f aca="false">Z146*Assumptions!$D$174+(Z148+Z158+Z168+Z178+Z188+Z208)*Assumptions!$D$175</f>
        <v>147.575966783566</v>
      </c>
      <c r="AA234" s="14" t="n">
        <f aca="false">AA146*Assumptions!$D$174+(AA148+AA158+AA168+AA178+AA188+AA208)*Assumptions!$D$175</f>
        <v>169.519699247724</v>
      </c>
      <c r="AB234" s="14" t="n">
        <f aca="false">AB146*Assumptions!$D$174+(AB148+AB158+AB168+AB178+AB188+AB208)*Assumptions!$D$175</f>
        <v>238.422303409203</v>
      </c>
      <c r="AC234" s="14" t="n">
        <f aca="false">AC146*Assumptions!$D$174+(AC148+AC158+AC168+AC178+AC188+AC208)*Assumptions!$D$175</f>
        <v>254.478630298518</v>
      </c>
      <c r="AD234" s="14" t="n">
        <f aca="false">AD146*Assumptions!$D$174+(AD148+AD158+AD168+AD178+AD188+AD208)*Assumptions!$D$175</f>
        <v>242.18576395815</v>
      </c>
      <c r="AE234" s="14" t="n">
        <f aca="false">AE146*Assumptions!$D$174+(AE148+AE158+AE168+AE178+AE188+AE208)*Assumptions!$D$175</f>
        <v>179.229354941148</v>
      </c>
      <c r="AF234" s="14" t="n">
        <f aca="false">AF146*Assumptions!$D$174+(AF148+AF158+AF168+AF178+AF188+AF208)*Assumptions!$D$175</f>
        <v>204.692350918846</v>
      </c>
      <c r="AG234" s="14" t="n">
        <f aca="false">AG146*Assumptions!$D$174+(AG148+AG158+AG168+AG178+AG188+AG208)*Assumptions!$D$175</f>
        <v>220.918865001452</v>
      </c>
      <c r="AH234" s="14" t="n">
        <f aca="false">AH146*Assumptions!$D$174+(AH148+AH158+AH168+AH178+AH188+AH208)*Assumptions!$D$175</f>
        <v>205.454600166358</v>
      </c>
      <c r="AI234" s="14" t="n">
        <f aca="false">AI146*Assumptions!$D$174+(AI148+AI158+AI168+AI178+AI188+AI208)*Assumptions!$D$175</f>
        <v>222.304296006101</v>
      </c>
      <c r="AJ234" s="14" t="n">
        <f aca="false">AJ146*Assumptions!$D$174+(AJ148+AJ158+AJ168+AJ178+AJ188+AJ208)*Assumptions!$D$175</f>
        <v>217.087013537107</v>
      </c>
      <c r="AK234" s="14" t="n">
        <f aca="false">AK146*Assumptions!$D$174+(AK148+AK158+AK168+AK178+AK188+AK208)*Assumptions!$D$175</f>
        <v>199.663325979811</v>
      </c>
      <c r="AL234" s="14" t="n">
        <f aca="false">AL146*Assumptions!$D$174+(AL148+AL158+AL168+AL178+AL188+AL208)*Assumptions!$D$175</f>
        <v>205.245740407274</v>
      </c>
      <c r="AM234" s="53" t="n">
        <f aca="false">SUMIF($C$6:$AL$6,1,C234:AL234)</f>
        <v>589.694319935607</v>
      </c>
      <c r="AN234" s="53" t="n">
        <f aca="false">SUMIF($C$6:$AL$6,2,C234:AL234)</f>
        <v>1590.87122094456</v>
      </c>
      <c r="AO234" s="53" t="n">
        <f aca="false">SUMIF($C$6:$AL$6,3,C234:AL234)</f>
        <v>2559.20194387169</v>
      </c>
      <c r="AP234" s="53" t="n">
        <f aca="false">SUM(C234:AL234)</f>
        <v>4739.76748475186</v>
      </c>
    </row>
    <row r="235" customFormat="false" ht="15" hidden="false" customHeight="false" outlineLevel="0" collapsed="false">
      <c r="A235" s="7" t="s">
        <v>778</v>
      </c>
      <c r="B235" s="9" t="s">
        <v>771</v>
      </c>
      <c r="C235" s="52" t="n">
        <f aca="false">0</f>
        <v>0</v>
      </c>
      <c r="D235" s="14" t="n">
        <f aca="false">C236*Assumptions!$D$176</f>
        <v>0.26540625</v>
      </c>
      <c r="E235" s="14" t="n">
        <f aca="false">D236*Assumptions!$D$176</f>
        <v>0.69647015625</v>
      </c>
      <c r="F235" s="14" t="n">
        <f aca="false">E236*Assumptions!$D$176</f>
        <v>1.22732990390625</v>
      </c>
      <c r="G235" s="14" t="n">
        <f aca="false">F236*Assumptions!$D$176</f>
        <v>1.80215522474766</v>
      </c>
      <c r="H235" s="14" t="n">
        <f aca="false">G236*Assumptions!$D$176</f>
        <v>2.28388346461836</v>
      </c>
      <c r="I235" s="14" t="n">
        <f aca="false">H236*Assumptions!$D$176</f>
        <v>2.91934396550291</v>
      </c>
      <c r="J235" s="14" t="n">
        <f aca="false">I236*Assumptions!$D$176</f>
        <v>3.68680668758496</v>
      </c>
      <c r="K235" s="14" t="n">
        <f aca="false">J236*Assumptions!$D$176</f>
        <v>4.45733553273183</v>
      </c>
      <c r="L235" s="14" t="n">
        <f aca="false">K236*Assumptions!$D$176</f>
        <v>5.3646949503497</v>
      </c>
      <c r="M235" s="14" t="n">
        <f aca="false">L236*Assumptions!$D$176</f>
        <v>6.31976685868152</v>
      </c>
      <c r="N235" s="14" t="n">
        <f aca="false">M236*Assumptions!$D$176</f>
        <v>7.2580460495291</v>
      </c>
      <c r="O235" s="14" t="n">
        <f aca="false">N236*Assumptions!$D$176</f>
        <v>8.30119621337558</v>
      </c>
      <c r="P235" s="14" t="n">
        <f aca="false">O236*Assumptions!$D$176</f>
        <v>9.53583588591621</v>
      </c>
      <c r="Q235" s="14" t="n">
        <f aca="false">P236*Assumptions!$D$176</f>
        <v>11.3562464758817</v>
      </c>
      <c r="R235" s="14" t="n">
        <f aca="false">Q236*Assumptions!$D$176</f>
        <v>13.3385084063007</v>
      </c>
      <c r="S235" s="14" t="n">
        <f aca="false">R236*Assumptions!$D$176</f>
        <v>15.2427896337481</v>
      </c>
      <c r="T235" s="14" t="n">
        <f aca="false">S236*Assumptions!$D$176</f>
        <v>16.6139104287474</v>
      </c>
      <c r="U235" s="14" t="n">
        <f aca="false">T236*Assumptions!$D$176</f>
        <v>18.2415975840327</v>
      </c>
      <c r="V235" s="14" t="n">
        <f aca="false">U236*Assumptions!$D$176</f>
        <v>20.0490123761101</v>
      </c>
      <c r="W235" s="14" t="n">
        <f aca="false">V236*Assumptions!$D$176</f>
        <v>21.7366071998921</v>
      </c>
      <c r="X235" s="14" t="n">
        <f aca="false">W236*Assumptions!$D$176</f>
        <v>23.6209121972034</v>
      </c>
      <c r="Y235" s="14" t="n">
        <f aca="false">X236*Assumptions!$D$176</f>
        <v>25.4843106095405</v>
      </c>
      <c r="Z235" s="14" t="n">
        <f aca="false">Y236*Assumptions!$D$176</f>
        <v>27.1978111206293</v>
      </c>
      <c r="AA235" s="14" t="n">
        <f aca="false">Z236*Assumptions!$D$176</f>
        <v>29.0034834555734</v>
      </c>
      <c r="AB235" s="14" t="n">
        <f aca="false">AA236*Assumptions!$D$176</f>
        <v>31.1112266924556</v>
      </c>
      <c r="AC235" s="14" t="n">
        <f aca="false">AB236*Assumptions!$D$176</f>
        <v>34.2208928432068</v>
      </c>
      <c r="AD235" s="14" t="n">
        <f aca="false">AC236*Assumptions!$D$176</f>
        <v>37.5247589050365</v>
      </c>
      <c r="AE235" s="14" t="n">
        <f aca="false">AD236*Assumptions!$D$176</f>
        <v>40.5946739808332</v>
      </c>
      <c r="AF235" s="14" t="n">
        <f aca="false">AE236*Assumptions!$D$176</f>
        <v>42.6741941952379</v>
      </c>
      <c r="AG235" s="14" t="n">
        <f aca="false">AF236*Assumptions!$D$176</f>
        <v>45.104466546092</v>
      </c>
      <c r="AH235" s="14" t="n">
        <f aca="false">AG236*Assumptions!$D$176</f>
        <v>47.7416825229224</v>
      </c>
      <c r="AI235" s="14" t="n">
        <f aca="false">AH236*Assumptions!$D$176</f>
        <v>50.107376287574</v>
      </c>
      <c r="AJ235" s="14" t="n">
        <f aca="false">AI236*Assumptions!$D$176</f>
        <v>52.6903300833519</v>
      </c>
      <c r="AK235" s="14" t="n">
        <f aca="false">AJ236*Assumptions!$D$176</f>
        <v>55.1562803351582</v>
      </c>
      <c r="AL235" s="14" t="n">
        <f aca="false">AK236*Assumptions!$D$176</f>
        <v>57.323886019828</v>
      </c>
      <c r="AM235" s="53" t="n">
        <f aca="false">SUMIF($C$6:$AL$6,1,C235:AL235)</f>
        <v>36.2812390439023</v>
      </c>
      <c r="AN235" s="53" t="n">
        <f aca="false">SUMIF($C$6:$AL$6,2,C235:AL235)</f>
        <v>210.718738131378</v>
      </c>
      <c r="AO235" s="53" t="n">
        <f aca="false">SUMIF($C$6:$AL$6,3,C235:AL235)</f>
        <v>523.25325186727</v>
      </c>
      <c r="AP235" s="53" t="n">
        <f aca="false">SUM(C235:AL235)</f>
        <v>770.25322904255</v>
      </c>
    </row>
    <row r="236" customFormat="false" ht="15" hidden="false" customHeight="false" outlineLevel="0" collapsed="false">
      <c r="A236" s="7" t="s">
        <v>779</v>
      </c>
      <c r="B236" s="9" t="s">
        <v>771</v>
      </c>
      <c r="C236" s="52" t="n">
        <f aca="false">C234-C235</f>
        <v>17.69375</v>
      </c>
      <c r="D236" s="52" t="n">
        <f aca="false">D234-D235+C236</f>
        <v>46.43134375</v>
      </c>
      <c r="E236" s="52" t="n">
        <f aca="false">E234-E235+D236</f>
        <v>81.82199359375</v>
      </c>
      <c r="F236" s="52" t="n">
        <f aca="false">F234-F235+E236</f>
        <v>120.143681649844</v>
      </c>
      <c r="G236" s="52" t="n">
        <f aca="false">G234-G235+F236</f>
        <v>152.258897641224</v>
      </c>
      <c r="H236" s="52" t="n">
        <f aca="false">H234-H235+G236</f>
        <v>194.622931033527</v>
      </c>
      <c r="I236" s="52" t="n">
        <f aca="false">I234-I235+H236</f>
        <v>245.787112505664</v>
      </c>
      <c r="J236" s="52" t="n">
        <f aca="false">J234-J235+I236</f>
        <v>297.155702182122</v>
      </c>
      <c r="K236" s="52" t="n">
        <f aca="false">K234-K235+J236</f>
        <v>357.646330023313</v>
      </c>
      <c r="L236" s="52" t="n">
        <f aca="false">L234-L235+K236</f>
        <v>421.317790578768</v>
      </c>
      <c r="M236" s="52" t="n">
        <f aca="false">M234-M235+L236</f>
        <v>483.869736635273</v>
      </c>
      <c r="N236" s="52" t="n">
        <f aca="false">N234-N235+M236</f>
        <v>553.413080891705</v>
      </c>
      <c r="O236" s="52" t="n">
        <f aca="false">O234-O235+N236</f>
        <v>635.722392394414</v>
      </c>
      <c r="P236" s="52" t="n">
        <f aca="false">P234-P235+O236</f>
        <v>757.083098392114</v>
      </c>
      <c r="Q236" s="52" t="n">
        <f aca="false">Q234-Q235+P236</f>
        <v>889.233893753378</v>
      </c>
      <c r="R236" s="52" t="n">
        <f aca="false">R234-R235+Q236</f>
        <v>1016.18597558321</v>
      </c>
      <c r="S236" s="52" t="n">
        <f aca="false">S234-S235+R236</f>
        <v>1107.59402858316</v>
      </c>
      <c r="T236" s="52" t="n">
        <f aca="false">T234-T235+S236</f>
        <v>1216.10650560218</v>
      </c>
      <c r="U236" s="52" t="n">
        <f aca="false">U234-U235+T236</f>
        <v>1336.60082507401</v>
      </c>
      <c r="V236" s="52" t="n">
        <f aca="false">V234-V235+U236</f>
        <v>1449.10714665948</v>
      </c>
      <c r="W236" s="52" t="n">
        <f aca="false">W234-W235+V236</f>
        <v>1574.72747981356</v>
      </c>
      <c r="X236" s="52" t="n">
        <f aca="false">X234-X235+W236</f>
        <v>1698.95404063603</v>
      </c>
      <c r="Y236" s="52" t="n">
        <f aca="false">Y234-Y235+X236</f>
        <v>1813.18740804195</v>
      </c>
      <c r="Z236" s="52" t="n">
        <f aca="false">Z234-Z235+Y236</f>
        <v>1933.56556370489</v>
      </c>
      <c r="AA236" s="52" t="n">
        <f aca="false">AA234-AA235+Z236</f>
        <v>2074.08177949704</v>
      </c>
      <c r="AB236" s="52" t="n">
        <f aca="false">AB234-AB235+AA236</f>
        <v>2281.39285621379</v>
      </c>
      <c r="AC236" s="52" t="n">
        <f aca="false">AC234-AC235+AB236</f>
        <v>2501.6505936691</v>
      </c>
      <c r="AD236" s="52" t="n">
        <f aca="false">AD234-AD235+AC236</f>
        <v>2706.31159872221</v>
      </c>
      <c r="AE236" s="52" t="n">
        <f aca="false">AE234-AE235+AD236</f>
        <v>2844.94627968253</v>
      </c>
      <c r="AF236" s="52" t="n">
        <f aca="false">AF234-AF235+AE236</f>
        <v>3006.96443640614</v>
      </c>
      <c r="AG236" s="52" t="n">
        <f aca="false">AG234-AG235+AF236</f>
        <v>3182.7788348615</v>
      </c>
      <c r="AH236" s="52" t="n">
        <f aca="false">AH234-AH235+AG236</f>
        <v>3340.49175250493</v>
      </c>
      <c r="AI236" s="52" t="n">
        <f aca="false">AI234-AI235+AH236</f>
        <v>3512.68867222346</v>
      </c>
      <c r="AJ236" s="52" t="n">
        <f aca="false">AJ234-AJ235+AI236</f>
        <v>3677.08535567721</v>
      </c>
      <c r="AK236" s="52" t="n">
        <f aca="false">AK234-AK235+AJ236</f>
        <v>3821.59240132187</v>
      </c>
      <c r="AL236" s="52" t="n">
        <f aca="false">AL234-AL235+AK236</f>
        <v>3969.51425570931</v>
      </c>
      <c r="AM236" s="53" t="n">
        <f aca="false">N236</f>
        <v>553.413080891705</v>
      </c>
      <c r="AN236" s="53" t="n">
        <f aca="false">Z236</f>
        <v>1933.56556370489</v>
      </c>
      <c r="AO236" s="53" t="n">
        <f aca="false">AL236</f>
        <v>3969.51425570931</v>
      </c>
      <c r="AP236" s="53" t="n">
        <f aca="false">AL236</f>
        <v>3969.51425570931</v>
      </c>
    </row>
    <row r="237" customFormat="false" ht="15" hidden="false" customHeight="false" outlineLevel="0" collapsed="false">
      <c r="A237" s="5" t="s">
        <v>780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</row>
    <row r="238" customFormat="false" ht="15" hidden="false" customHeight="false" outlineLevel="0" collapsed="false">
      <c r="A238" s="7" t="s">
        <v>781</v>
      </c>
      <c r="B238" s="9" t="s">
        <v>760</v>
      </c>
      <c r="C238" s="52" t="n">
        <f aca="false">C148+C158+C168+C178+C188+C198+C208+C218+C228</f>
        <v>3.95833333333333</v>
      </c>
      <c r="D238" s="52" t="n">
        <f aca="false">D148+D158+D168+D178+D188+D198+D208+D218+D228</f>
        <v>18.6333333333333</v>
      </c>
      <c r="E238" s="52" t="n">
        <f aca="false">E148+E158+E168+E178+E188+E198+E208+E218+E228</f>
        <v>37.368</v>
      </c>
      <c r="F238" s="52" t="n">
        <f aca="false">F148+F158+F168+F178+F188+F198+F208+F218+F228</f>
        <v>52.9592737928304</v>
      </c>
      <c r="G238" s="52" t="n">
        <f aca="false">G148+G158+G168+G178+G188+G198+G208+G218+G228</f>
        <v>56.2568142126337</v>
      </c>
      <c r="H238" s="52" t="n">
        <f aca="false">H148+H158+H168+H178+H188+H198+H208+H218+H228</f>
        <v>86.3430683219904</v>
      </c>
      <c r="I238" s="52" t="n">
        <f aca="false">I148+I158+I168+I178+I188+I198+I208+I218+I228</f>
        <v>112.161709034126</v>
      </c>
      <c r="J238" s="52" t="n">
        <f aca="false">J148+J158+J168+J178+J188+J198+J208+J218+J228</f>
        <v>115.456103610144</v>
      </c>
      <c r="K238" s="52" t="n">
        <f aca="false">K148+K158+K168+K178+K188+K198+K208+K218+K228</f>
        <v>136.53944166735</v>
      </c>
      <c r="L238" s="52" t="n">
        <f aca="false">L148+L158+L168+L178+L188+L198+L208+L218+L228</f>
        <v>144.87452738647</v>
      </c>
      <c r="M238" s="52" t="n">
        <f aca="false">M148+M158+M168+M178+M188+M198+M208+M218+M228</f>
        <v>143.154005791282</v>
      </c>
      <c r="N238" s="52" t="n">
        <f aca="false">N148+N158+N168+N178+N188+N198+N208+N218+N228</f>
        <v>158.122570256477</v>
      </c>
      <c r="O238" s="52" t="n">
        <f aca="false">O148+O158+O168+O178+O188+O198+O208+O218+O228</f>
        <v>185.804990705098</v>
      </c>
      <c r="P238" s="52" t="n">
        <f aca="false">P148+P158+P168+P178+P188+P198+P208+P218+P228</f>
        <v>266.3672920416</v>
      </c>
      <c r="Q238" s="52" t="n">
        <f aca="false">Q148+Q158+Q168+Q178+Q188+Q198+Q208+Q218+Q228</f>
        <v>289.615512941353</v>
      </c>
      <c r="R238" s="52" t="n">
        <f aca="false">R148+R158+R168+R178+R188+R198+R208+R218+R228</f>
        <v>282.963541579345</v>
      </c>
      <c r="S238" s="52" t="n">
        <f aca="false">S148+S158+S168+S178+S188+S198+S208+S218+S228</f>
        <v>215.048548760591</v>
      </c>
      <c r="T238" s="52" t="n">
        <f aca="false">T148+T158+T168+T178+T188+T198+T208+T218+T228</f>
        <v>250.563260162116</v>
      </c>
      <c r="U238" s="52" t="n">
        <f aca="false">U148+U158+U168+U178+U188+U198+U208+U218+U228</f>
        <v>274.487086276411</v>
      </c>
      <c r="V238" s="52" t="n">
        <f aca="false">V148+V158+V168+V178+V188+V198+V208+V218+V228</f>
        <v>259.247702157888</v>
      </c>
      <c r="W238" s="52" t="n">
        <f aca="false">W148+W158+W168+W178+W188+W198+W208+W218+W228</f>
        <v>283.276577382445</v>
      </c>
      <c r="X238" s="52" t="n">
        <f aca="false">X148+X158+X168+X178+X188+X198+X208+X218+X228</f>
        <v>283.408323618876</v>
      </c>
      <c r="Y238" s="52" t="n">
        <f aca="false">Y148+Y158+Y168+Y178+Y188+Y198+Y208+Y218+Y228</f>
        <v>271.637598775769</v>
      </c>
      <c r="Z238" s="52" t="n">
        <f aca="false">Z148+Z158+Z168+Z178+Z188+Z198+Z208+Z218+Z228</f>
        <v>285.315125973731</v>
      </c>
      <c r="AA238" s="52" t="n">
        <f aca="false">AA148+AA158+AA168+AA178+AA188+AA198+AA208+AA218+AA228</f>
        <v>323.888315587612</v>
      </c>
      <c r="AB238" s="52" t="n">
        <f aca="false">AB148+AB158+AB168+AB178+AB188+AB198+AB208+AB218+AB228</f>
        <v>448.916927430489</v>
      </c>
      <c r="AC238" s="52" t="n">
        <f aca="false">AC148+AC158+AC168+AC178+AC188+AC198+AC208+AC218+AC228</f>
        <v>475.384658493525</v>
      </c>
      <c r="AD238" s="52" t="n">
        <f aca="false">AD148+AD158+AD168+AD178+AD188+AD198+AD208+AD218+AD228</f>
        <v>456.267477358148</v>
      </c>
      <c r="AE238" s="52" t="n">
        <f aca="false">AE148+AE158+AE168+AE178+AE188+AE198+AE208+AE218+AE228</f>
        <v>339.3634851732</v>
      </c>
      <c r="AF238" s="52" t="n">
        <f aca="false">AF148+AF158+AF168+AF178+AF188+AF198+AF208+AF218+AF228</f>
        <v>385.938481397902</v>
      </c>
      <c r="AG238" s="52" t="n">
        <f aca="false">AG148+AG158+AG168+AG178+AG188+AG198+AG208+AG218+AG228</f>
        <v>413.119093899195</v>
      </c>
      <c r="AH238" s="52" t="n">
        <f aca="false">AH148+AH158+AH168+AH178+AH188+AH198+AH208+AH218+AH228</f>
        <v>381.28174905795</v>
      </c>
      <c r="AI238" s="52" t="n">
        <f aca="false">AI148+AI158+AI168+AI178+AI188+AI198+AI208+AI218+AI228</f>
        <v>406.93254481267</v>
      </c>
      <c r="AJ238" s="52" t="n">
        <f aca="false">AJ148+AJ158+AJ168+AJ178+AJ188+AJ198+AJ208+AJ218+AJ228</f>
        <v>398.113162516481</v>
      </c>
      <c r="AK238" s="52" t="n">
        <f aca="false">AK148+AK158+AK168+AK178+AK188+AK198+AK208+AK218+AK228</f>
        <v>373.524547691482</v>
      </c>
      <c r="AL238" s="52" t="n">
        <f aca="false">AL148+AL158+AL168+AL178+AL188+AL198+AL208+AL218+AL228</f>
        <v>383.463193240009</v>
      </c>
      <c r="AM238" s="53" t="n">
        <f aca="false">SUMIF($C$6:$AL$6,1,C238:AL238)</f>
        <v>1065.82718073997</v>
      </c>
      <c r="AN238" s="53" t="n">
        <f aca="false">SUMIF($C$6:$AL$6,2,C238:AL238)</f>
        <v>3147.73556037522</v>
      </c>
      <c r="AO238" s="53" t="n">
        <f aca="false">SUMIF($C$6:$AL$6,3,C238:AL238)</f>
        <v>4786.19363665866</v>
      </c>
      <c r="AP238" s="53" t="n">
        <f aca="false">SUM(C238:AL238)</f>
        <v>8999.75637777385</v>
      </c>
    </row>
    <row r="239" customFormat="false" ht="15" hidden="false" customHeight="false" outlineLevel="0" collapsed="false">
      <c r="A239" s="7" t="s">
        <v>782</v>
      </c>
      <c r="B239" s="9" t="s">
        <v>342</v>
      </c>
      <c r="C239" s="52" t="n">
        <f aca="false">C149+C159+C169+C179+C189+C199+C209+C219+C229</f>
        <v>4.82125</v>
      </c>
      <c r="D239" s="52" t="n">
        <f aca="false">D149+D159+D169+D179+D189+D199+D209+D219+D229</f>
        <v>21.6034</v>
      </c>
      <c r="E239" s="52" t="n">
        <f aca="false">E149+E159+E169+E179+E189+E199+E209+E219+E229</f>
        <v>42.725124</v>
      </c>
      <c r="F239" s="52" t="n">
        <f aca="false">F149+F159+F169+F179+F189+F199+F209+F219+F229</f>
        <v>60.0318111394971</v>
      </c>
      <c r="G239" s="52" t="n">
        <f aca="false">G149+G159+G169+G179+G189+G199+G209+G219+G229</f>
        <v>63.7163638853377</v>
      </c>
      <c r="H239" s="52" t="n">
        <f aca="false">H149+H159+H169+H179+H189+H199+H209+H219+H229</f>
        <v>97.7686789403712</v>
      </c>
      <c r="I239" s="52" t="n">
        <f aca="false">I149+I159+I169+I179+I189+I199+I209+I219+I229</f>
        <v>126.343589034675</v>
      </c>
      <c r="J239" s="52" t="n">
        <f aca="false">J149+J159+J169+J179+J189+J199+J209+J219+J229</f>
        <v>130.116815281211</v>
      </c>
      <c r="K239" s="52" t="n">
        <f aca="false">K149+K159+K169+K179+K189+K199+K209+K219+K229</f>
        <v>154.133506793597</v>
      </c>
      <c r="L239" s="52" t="n">
        <f aca="false">L149+L159+L169+L179+L189+L199+L209+L219+L229</f>
        <v>163.766951334726</v>
      </c>
      <c r="M239" s="52" t="n">
        <f aca="false">M149+M159+M169+M179+M189+M199+M209+M219+M229</f>
        <v>161.929167492299</v>
      </c>
      <c r="N239" s="52" t="n">
        <f aca="false">N149+N159+N169+N179+N189+N199+N209+N219+N229</f>
        <v>178.982106983408</v>
      </c>
      <c r="O239" s="52" t="n">
        <f aca="false">O149+O159+O169+O179+O189+O199+O209+O219+O229</f>
        <v>210.384883526359</v>
      </c>
      <c r="P239" s="52" t="n">
        <f aca="false">P149+P159+P169+P179+P189+P199+P209+P219+P229</f>
        <v>301.731393548506</v>
      </c>
      <c r="Q239" s="52" t="n">
        <f aca="false">Q149+Q159+Q169+Q179+Q189+Q199+Q209+Q219+Q229</f>
        <v>328.200011474695</v>
      </c>
      <c r="R239" s="52" t="n">
        <f aca="false">R149+R159+R169+R179+R189+R199+R209+R219+R229</f>
        <v>320.718946536309</v>
      </c>
      <c r="S239" s="52" t="n">
        <f aca="false">S149+S159+S169+S179+S189+S199+S209+S219+S229</f>
        <v>243.785745662602</v>
      </c>
      <c r="T239" s="52" t="n">
        <f aca="false">T149+T159+T169+T179+T189+T199+T209+T219+T229</f>
        <v>284.162279680791</v>
      </c>
      <c r="U239" s="52" t="n">
        <f aca="false">U149+U159+U169+U179+U189+U199+U209+U219+U229</f>
        <v>311.46710431305</v>
      </c>
      <c r="V239" s="52" t="n">
        <f aca="false">V149+V159+V169+V179+V189+V199+V209+V219+V229</f>
        <v>294.333504814732</v>
      </c>
      <c r="W239" s="52" t="n">
        <f aca="false">W149+W159+W169+W179+W189+W199+W209+W219+W229</f>
        <v>321.850665840597</v>
      </c>
      <c r="X239" s="52" t="n">
        <f aca="false">X149+X159+X169+X179+X189+X199+X209+X219+X229</f>
        <v>322.089431970171</v>
      </c>
      <c r="Y239" s="52" t="n">
        <f aca="false">Y149+Y159+Y169+Y179+Y189+Y199+Y209+Y219+Y229</f>
        <v>308.629810300376</v>
      </c>
      <c r="Z239" s="52" t="n">
        <f aca="false">Z149+Z159+Z169+Z179+Z189+Z199+Z209+Z219+Z229</f>
        <v>324.289620413909</v>
      </c>
      <c r="AA239" s="52" t="n">
        <f aca="false">AA149+AA159+AA169+AA179+AA189+AA199+AA209+AA219+AA229</f>
        <v>371.000557481171</v>
      </c>
      <c r="AB239" s="52" t="n">
        <f aca="false">AB149+AB159+AB169+AB179+AB189+AB199+AB209+AB219+AB229</f>
        <v>518.515929452842</v>
      </c>
      <c r="AC239" s="52" t="n">
        <f aca="false">AC149+AC159+AC169+AC179+AC189+AC199+AC209+AC219+AC229</f>
        <v>553.729132235925</v>
      </c>
      <c r="AD239" s="52" t="n">
        <f aca="false">AD149+AD159+AD169+AD179+AD189+AD199+AD209+AD219+AD229</f>
        <v>535.612777837641</v>
      </c>
      <c r="AE239" s="52" t="n">
        <f aca="false">AE149+AE159+AE169+AE179+AE189+AE199+AE209+AE219+AE229</f>
        <v>401.65325047807</v>
      </c>
      <c r="AF239" s="52" t="n">
        <f aca="false">AF149+AF159+AF169+AF179+AF189+AF199+AF209+AF219+AF229</f>
        <v>460.976469123087</v>
      </c>
      <c r="AG239" s="52" t="n">
        <f aca="false">AG149+AG159+AG169+AG179+AG189+AG199+AG209+AG219+AG229</f>
        <v>494.244786738308</v>
      </c>
      <c r="AH239" s="52" t="n">
        <f aca="false">AH149+AH159+AH169+AH179+AH189+AH199+AH209+AH219+AH229</f>
        <v>456.89228631231</v>
      </c>
      <c r="AI239" s="52" t="n">
        <f aca="false">AI149+AI159+AI169+AI179+AI189+AI199+AI209+AI219+AI229</f>
        <v>488.691892951176</v>
      </c>
      <c r="AJ239" s="52" t="n">
        <f aca="false">AJ149+AJ159+AJ169+AJ179+AJ189+AJ199+AJ209+AJ219+AJ229</f>
        <v>478.53386331417</v>
      </c>
      <c r="AK239" s="52" t="n">
        <f aca="false">AK149+AK159+AK169+AK179+AK189+AK199+AK209+AK219+AK229</f>
        <v>448.706596811742</v>
      </c>
      <c r="AL239" s="52" t="n">
        <f aca="false">AL149+AL159+AL169+AL179+AL189+AL199+AL209+AL219+AL229</f>
        <v>461.205671385387</v>
      </c>
      <c r="AM239" s="53" t="n">
        <f aca="false">SUMIF($C$6:$AL$6,1,C239:AL239)</f>
        <v>1205.93876488512</v>
      </c>
      <c r="AN239" s="53" t="n">
        <f aca="false">SUMIF($C$6:$AL$6,2,C239:AL239)</f>
        <v>3571.6433980821</v>
      </c>
      <c r="AO239" s="53" t="n">
        <f aca="false">SUMIF($C$6:$AL$6,3,C239:AL239)</f>
        <v>5669.76321412183</v>
      </c>
      <c r="AP239" s="53" t="n">
        <f aca="false">SUM(C239:AL239)</f>
        <v>10447.345377089</v>
      </c>
    </row>
    <row r="240" customFormat="false" ht="15" hidden="false" customHeight="false" outlineLevel="0" collapsed="false">
      <c r="A240" s="7" t="s">
        <v>783</v>
      </c>
      <c r="B240" s="9" t="s">
        <v>760</v>
      </c>
      <c r="C240" s="52" t="n">
        <f aca="false">C238</f>
        <v>3.95833333333333</v>
      </c>
      <c r="D240" s="52" t="n">
        <f aca="false">D238+C240</f>
        <v>22.5916666666667</v>
      </c>
      <c r="E240" s="52" t="n">
        <f aca="false">E238+D240</f>
        <v>59.9596666666667</v>
      </c>
      <c r="F240" s="52" t="n">
        <f aca="false">F238+E240</f>
        <v>112.918940459497</v>
      </c>
      <c r="G240" s="52" t="n">
        <f aca="false">G238+F240</f>
        <v>169.175754672131</v>
      </c>
      <c r="H240" s="52" t="n">
        <f aca="false">H238+G240</f>
        <v>255.518822994121</v>
      </c>
      <c r="I240" s="52" t="n">
        <f aca="false">I238+H240</f>
        <v>367.680532028247</v>
      </c>
      <c r="J240" s="52" t="n">
        <f aca="false">J238+I240</f>
        <v>483.13663563839</v>
      </c>
      <c r="K240" s="52" t="n">
        <f aca="false">K238+J240</f>
        <v>619.67607730574</v>
      </c>
      <c r="L240" s="52" t="n">
        <f aca="false">L238+K240</f>
        <v>764.55060469221</v>
      </c>
      <c r="M240" s="52" t="n">
        <f aca="false">M238+L240</f>
        <v>907.704610483492</v>
      </c>
      <c r="N240" s="52" t="n">
        <f aca="false">N238+M240</f>
        <v>1065.82718073997</v>
      </c>
      <c r="O240" s="52" t="n">
        <f aca="false">O238+N240</f>
        <v>1251.63217144507</v>
      </c>
      <c r="P240" s="52" t="n">
        <f aca="false">P238+O240</f>
        <v>1517.99946348667</v>
      </c>
      <c r="Q240" s="52" t="n">
        <f aca="false">Q238+P240</f>
        <v>1807.61497642802</v>
      </c>
      <c r="R240" s="52" t="n">
        <f aca="false">R238+Q240</f>
        <v>2090.57851800737</v>
      </c>
      <c r="S240" s="52" t="n">
        <f aca="false">S238+R240</f>
        <v>2305.62706676796</v>
      </c>
      <c r="T240" s="52" t="n">
        <f aca="false">T238+S240</f>
        <v>2556.19032693007</v>
      </c>
      <c r="U240" s="52" t="n">
        <f aca="false">U238+T240</f>
        <v>2830.67741320648</v>
      </c>
      <c r="V240" s="52" t="n">
        <f aca="false">V238+U240</f>
        <v>3089.92511536437</v>
      </c>
      <c r="W240" s="52" t="n">
        <f aca="false">W238+V240</f>
        <v>3373.20169274682</v>
      </c>
      <c r="X240" s="52" t="n">
        <f aca="false">X238+W240</f>
        <v>3656.61001636569</v>
      </c>
      <c r="Y240" s="52" t="n">
        <f aca="false">Y238+X240</f>
        <v>3928.24761514146</v>
      </c>
      <c r="Z240" s="52" t="n">
        <f aca="false">Z238+Y240</f>
        <v>4213.56274111519</v>
      </c>
      <c r="AA240" s="52" t="n">
        <f aca="false">AA238+Z240</f>
        <v>4537.4510567028</v>
      </c>
      <c r="AB240" s="52" t="n">
        <f aca="false">AB238+AA240</f>
        <v>4986.36798413329</v>
      </c>
      <c r="AC240" s="52" t="n">
        <f aca="false">AC238+AB240</f>
        <v>5461.75264262682</v>
      </c>
      <c r="AD240" s="52" t="n">
        <f aca="false">AD238+AC240</f>
        <v>5918.02011998497</v>
      </c>
      <c r="AE240" s="52" t="n">
        <f aca="false">AE238+AD240</f>
        <v>6257.38360515817</v>
      </c>
      <c r="AF240" s="52" t="n">
        <f aca="false">AF238+AE240</f>
        <v>6643.32208655607</v>
      </c>
      <c r="AG240" s="52" t="n">
        <f aca="false">AG238+AF240</f>
        <v>7056.44118045526</v>
      </c>
      <c r="AH240" s="52" t="n">
        <f aca="false">AH238+AG240</f>
        <v>7437.72292951321</v>
      </c>
      <c r="AI240" s="52" t="n">
        <f aca="false">AI238+AH240</f>
        <v>7844.65547432588</v>
      </c>
      <c r="AJ240" s="52" t="n">
        <f aca="false">AJ238+AI240</f>
        <v>8242.76863684236</v>
      </c>
      <c r="AK240" s="52" t="n">
        <f aca="false">AK238+AJ240</f>
        <v>8616.29318453385</v>
      </c>
      <c r="AL240" s="52" t="n">
        <f aca="false">AL238+AK240</f>
        <v>8999.75637777386</v>
      </c>
      <c r="AM240" s="53" t="n">
        <f aca="false">N240</f>
        <v>1065.82718073997</v>
      </c>
      <c r="AN240" s="53" t="n">
        <f aca="false">Z240</f>
        <v>4213.56274111519</v>
      </c>
      <c r="AO240" s="53" t="n">
        <f aca="false">AL240</f>
        <v>8999.75637777386</v>
      </c>
      <c r="AP240" s="53" t="n">
        <f aca="false">AL240</f>
        <v>8999.75637777386</v>
      </c>
    </row>
    <row r="241" customFormat="false" ht="15" hidden="false" customHeight="false" outlineLevel="0" collapsed="false">
      <c r="A241" s="7" t="s">
        <v>784</v>
      </c>
      <c r="B241" s="9" t="s">
        <v>342</v>
      </c>
      <c r="C241" s="52" t="n">
        <f aca="false">C239</f>
        <v>4.82125</v>
      </c>
      <c r="D241" s="52" t="n">
        <f aca="false">D239+C241</f>
        <v>26.42465</v>
      </c>
      <c r="E241" s="52" t="n">
        <f aca="false">E239+D241</f>
        <v>69.149774</v>
      </c>
      <c r="F241" s="52" t="n">
        <f aca="false">F239+E241</f>
        <v>129.181585139497</v>
      </c>
      <c r="G241" s="52" t="n">
        <f aca="false">G239+F241</f>
        <v>192.897949024835</v>
      </c>
      <c r="H241" s="52" t="n">
        <f aca="false">H239+G241</f>
        <v>290.666627965206</v>
      </c>
      <c r="I241" s="52" t="n">
        <f aca="false">I239+H241</f>
        <v>417.010216999881</v>
      </c>
      <c r="J241" s="52" t="n">
        <f aca="false">J239+I241</f>
        <v>547.127032281092</v>
      </c>
      <c r="K241" s="52" t="n">
        <f aca="false">K239+J241</f>
        <v>701.260539074689</v>
      </c>
      <c r="L241" s="52" t="n">
        <f aca="false">L239+K241</f>
        <v>865.027490409415</v>
      </c>
      <c r="M241" s="52" t="n">
        <f aca="false">M239+L241</f>
        <v>1026.95665790171</v>
      </c>
      <c r="N241" s="52" t="n">
        <f aca="false">N239+M241</f>
        <v>1205.93876488512</v>
      </c>
      <c r="O241" s="52" t="n">
        <f aca="false">O239+N241</f>
        <v>1416.32364841148</v>
      </c>
      <c r="P241" s="52" t="n">
        <f aca="false">P239+O241</f>
        <v>1718.05504195999</v>
      </c>
      <c r="Q241" s="52" t="n">
        <f aca="false">Q239+P241</f>
        <v>2046.25505343468</v>
      </c>
      <c r="R241" s="52" t="n">
        <f aca="false">R239+Q241</f>
        <v>2366.97399997099</v>
      </c>
      <c r="S241" s="52" t="n">
        <f aca="false">S239+R241</f>
        <v>2610.75974563359</v>
      </c>
      <c r="T241" s="52" t="n">
        <f aca="false">T239+S241</f>
        <v>2894.92202531438</v>
      </c>
      <c r="U241" s="52" t="n">
        <f aca="false">U239+T241</f>
        <v>3206.38912962743</v>
      </c>
      <c r="V241" s="52" t="n">
        <f aca="false">V239+U241</f>
        <v>3500.72263444217</v>
      </c>
      <c r="W241" s="52" t="n">
        <f aca="false">W239+V241</f>
        <v>3822.57330028276</v>
      </c>
      <c r="X241" s="52" t="n">
        <f aca="false">X239+W241</f>
        <v>4144.66273225294</v>
      </c>
      <c r="Y241" s="52" t="n">
        <f aca="false">Y239+X241</f>
        <v>4453.29254255331</v>
      </c>
      <c r="Z241" s="52" t="n">
        <f aca="false">Z239+Y241</f>
        <v>4777.58216296722</v>
      </c>
      <c r="AA241" s="52" t="n">
        <f aca="false">AA239+Z241</f>
        <v>5148.58272044839</v>
      </c>
      <c r="AB241" s="52" t="n">
        <f aca="false">AB239+AA241</f>
        <v>5667.09864990123</v>
      </c>
      <c r="AC241" s="52" t="n">
        <f aca="false">AC239+AB241</f>
        <v>6220.82778213716</v>
      </c>
      <c r="AD241" s="52" t="n">
        <f aca="false">AD239+AC241</f>
        <v>6756.4405599748</v>
      </c>
      <c r="AE241" s="52" t="n">
        <f aca="false">AE239+AD241</f>
        <v>7158.09381045287</v>
      </c>
      <c r="AF241" s="52" t="n">
        <f aca="false">AF239+AE241</f>
        <v>7619.07027957596</v>
      </c>
      <c r="AG241" s="52" t="n">
        <f aca="false">AG239+AF241</f>
        <v>8113.31506631426</v>
      </c>
      <c r="AH241" s="52" t="n">
        <f aca="false">AH239+AG241</f>
        <v>8570.20735262657</v>
      </c>
      <c r="AI241" s="52" t="n">
        <f aca="false">AI239+AH241</f>
        <v>9058.89924557775</v>
      </c>
      <c r="AJ241" s="52" t="n">
        <f aca="false">AJ239+AI241</f>
        <v>9537.43310889192</v>
      </c>
      <c r="AK241" s="52" t="n">
        <f aca="false">AK239+AJ241</f>
        <v>9986.13970570366</v>
      </c>
      <c r="AL241" s="52" t="n">
        <f aca="false">AL239+AK241</f>
        <v>10447.345377089</v>
      </c>
      <c r="AM241" s="53" t="n">
        <f aca="false">N241</f>
        <v>1205.93876488512</v>
      </c>
      <c r="AN241" s="53" t="n">
        <f aca="false">Z241</f>
        <v>4777.58216296722</v>
      </c>
      <c r="AO241" s="53" t="n">
        <f aca="false">AL241</f>
        <v>10447.345377089</v>
      </c>
      <c r="AP241" s="53" t="n">
        <f aca="false">AL241</f>
        <v>10447.345377089</v>
      </c>
    </row>
    <row r="242" customFormat="false" ht="15" hidden="false" customHeight="false" outlineLevel="0" collapsed="false">
      <c r="A242" s="57" t="s">
        <v>785</v>
      </c>
      <c r="B242" s="58" t="s">
        <v>101</v>
      </c>
      <c r="C242" s="59" t="n">
        <f aca="false">C151+C161+C171+C181+C191+C201+C211+C221+C231</f>
        <v>42.8942049107143</v>
      </c>
      <c r="D242" s="59" t="n">
        <f aca="false">D151+D161+D171+D181+D191+D201+D211+D221+D231</f>
        <v>230.376276</v>
      </c>
      <c r="E242" s="59" t="n">
        <f aca="false">E151+E161+E171+E181+E191+E201+E211+E221+E231</f>
        <v>479.33739036</v>
      </c>
      <c r="F242" s="59" t="n">
        <f aca="false">F151+F161+F171+F181+F191+F201+F211+F221+F231</f>
        <v>691.317169982847</v>
      </c>
      <c r="G242" s="59" t="n">
        <f aca="false">G151+G161+G171+G181+G191+G201+G211+G221+G231</f>
        <v>741.593841740496</v>
      </c>
      <c r="H242" s="59" t="n">
        <f aca="false">H151+H161+H171+H181+H191+H201+H211+H221+H231</f>
        <v>1143.72008412465</v>
      </c>
      <c r="I242" s="59" t="n">
        <f aca="false">I151+I161+I171+I181+I191+I201+I211+I221+I231</f>
        <v>1509.51836752706</v>
      </c>
      <c r="J242" s="59" t="n">
        <f aca="false">J151+J161+J171+J181+J191+J201+J211+J221+J231</f>
        <v>1559.93981813027</v>
      </c>
      <c r="K242" s="59" t="n">
        <f aca="false">K151+K161+K171+K181+K191+K201+K211+K221+K231</f>
        <v>1844.94413173897</v>
      </c>
      <c r="L242" s="59" t="n">
        <f aca="false">L151+L161+L171+L181+L191+L201+L211+L221+L231</f>
        <v>1957.03441013886</v>
      </c>
      <c r="M242" s="59" t="n">
        <f aca="false">M151+M161+M171+M181+M191+M201+M211+M221+M231</f>
        <v>1929.69075420988</v>
      </c>
      <c r="N242" s="59" t="n">
        <f aca="false">N151+N161+N171+N181+N191+N201+N211+N221+N231</f>
        <v>2126.59383244079</v>
      </c>
      <c r="O242" s="59" t="n">
        <f aca="false">O151+O161+O171+O181+O191+O201+O211+O221+O231</f>
        <v>2529.32509604267</v>
      </c>
      <c r="P242" s="59" t="n">
        <f aca="false">P151+P161+P171+P181+P191+P201+P211+P221+P231</f>
        <v>3635.45222085633</v>
      </c>
      <c r="Q242" s="59" t="n">
        <f aca="false">Q151+Q161+Q171+Q181+Q191+Q201+Q211+Q221+Q231</f>
        <v>3955.06335792937</v>
      </c>
      <c r="R242" s="59" t="n">
        <f aca="false">R151+R161+R171+R181+R191+R201+R211+R221+R231</f>
        <v>3942.0865269003</v>
      </c>
      <c r="S242" s="59" t="n">
        <f aca="false">S151+S161+S171+S181+S191+S201+S211+S221+S231</f>
        <v>3057.05165694598</v>
      </c>
      <c r="T242" s="59" t="n">
        <f aca="false">T151+T161+T171+T181+T191+T201+T211+T221+T231</f>
        <v>3577.59316213244</v>
      </c>
      <c r="U242" s="59" t="n">
        <f aca="false">U151+U161+U171+U181+U191+U201+U211+U221+U231</f>
        <v>3887.7107199034</v>
      </c>
      <c r="V242" s="59" t="n">
        <f aca="false">V151+V161+V171+V181+V191+V201+V211+V221+V231</f>
        <v>3646.34664997457</v>
      </c>
      <c r="W242" s="59" t="n">
        <f aca="false">W151+W161+W171+W181+W191+W201+W211+W221+W231</f>
        <v>3901.35110457347</v>
      </c>
      <c r="X242" s="59" t="n">
        <f aca="false">X151+X161+X171+X181+X191+X201+X211+X221+X231</f>
        <v>3960.29139197852</v>
      </c>
      <c r="Y242" s="59" t="n">
        <f aca="false">Y151+Y161+Y171+Y181+Y191+Y201+Y211+Y221+Y231</f>
        <v>4007.10476873268</v>
      </c>
      <c r="Z242" s="59" t="n">
        <f aca="false">Z151+Z161+Z171+Z181+Z191+Z201+Z211+Z221+Z231</f>
        <v>4239.20962008813</v>
      </c>
      <c r="AA242" s="59" t="n">
        <f aca="false">AA151+AA161+AA171+AA181+AA191+AA201+AA211+AA221+AA231</f>
        <v>4733.4208453555</v>
      </c>
      <c r="AB242" s="59" t="n">
        <f aca="false">AB151+AB161+AB171+AB181+AB191+AB201+AB211+AB221+AB231</f>
        <v>6406.09256905544</v>
      </c>
      <c r="AC242" s="59" t="n">
        <f aca="false">AC151+AC161+AC171+AC181+AC191+AC201+AC211+AC221+AC231</f>
        <v>6725.21461762991</v>
      </c>
      <c r="AD242" s="59" t="n">
        <f aca="false">AD151+AD161+AD171+AD181+AD191+AD201+AD211+AD221+AD231</f>
        <v>6651.85908086003</v>
      </c>
      <c r="AE242" s="59" t="n">
        <f aca="false">AE151+AE161+AE171+AE181+AE191+AE201+AE211+AE221+AE231</f>
        <v>5053.46187545412</v>
      </c>
      <c r="AF242" s="59" t="n">
        <f aca="false">AF151+AF161+AF171+AF181+AF191+AF201+AF211+AF221+AF231</f>
        <v>5748.89296161177</v>
      </c>
      <c r="AG242" s="59" t="n">
        <f aca="false">AG151+AG161+AG171+AG181+AG191+AG201+AG211+AG221+AG231</f>
        <v>6112.29874915369</v>
      </c>
      <c r="AH242" s="59" t="n">
        <f aca="false">AH151+AH161+AH171+AH181+AH191+AH201+AH211+AH221+AH231</f>
        <v>5610.29602552907</v>
      </c>
      <c r="AI242" s="59" t="n">
        <f aca="false">AI151+AI161+AI171+AI181+AI191+AI201+AI211+AI221+AI231</f>
        <v>5871.48314930741</v>
      </c>
      <c r="AJ242" s="59" t="n">
        <f aca="false">AJ151+AJ161+AJ171+AJ181+AJ191+AJ201+AJ211+AJ221+AJ231</f>
        <v>5839.65513111715</v>
      </c>
      <c r="AK242" s="59" t="n">
        <f aca="false">AK151+AK161+AK171+AK181+AK191+AK201+AK211+AK221+AK231</f>
        <v>5792.31653424493</v>
      </c>
      <c r="AL242" s="59" t="n">
        <f aca="false">AL151+AL161+AL171+AL181+AL191+AL201+AL211+AL221+AL231</f>
        <v>5996.87502059108</v>
      </c>
      <c r="AM242" s="60" t="n">
        <f aca="false">SUMIF($C$6:$AL$6,1,C242:AL242)</f>
        <v>14256.9602813045</v>
      </c>
      <c r="AN242" s="60" t="n">
        <f aca="false">SUMIF($C$6:$AL$6,2,C242:AL242)</f>
        <v>44338.5862760579</v>
      </c>
      <c r="AO242" s="60" t="n">
        <f aca="false">SUMIF($C$6:$AL$6,3,C242:AL242)</f>
        <v>70541.8665599101</v>
      </c>
      <c r="AP242" s="60" t="n">
        <f aca="false">SUM(C242:AL242)</f>
        <v>129137.413117272</v>
      </c>
    </row>
    <row r="243" customFormat="false" ht="15" hidden="false" customHeight="false" outlineLevel="0" collapsed="false">
      <c r="A243" s="57" t="s">
        <v>786</v>
      </c>
      <c r="B243" s="58" t="s">
        <v>101</v>
      </c>
      <c r="C243" s="59" t="n">
        <f aca="false">C152+C162+C172+C182+C192+C202+C212+C222+C232</f>
        <v>36.2871113129464</v>
      </c>
      <c r="D243" s="59" t="n">
        <f aca="false">D152+D162+D172+D182+D192+D202+D212+D222+D232</f>
        <v>152.739195414</v>
      </c>
      <c r="E243" s="59" t="n">
        <f aca="false">E152+E162+E172+E182+E192+E202+E212+E222+E232</f>
        <v>291.39830615304</v>
      </c>
      <c r="F243" s="59" t="n">
        <f aca="false">F152+F162+F172+F182+F192+F202+F212+F222+F232</f>
        <v>401.666895150924</v>
      </c>
      <c r="G243" s="59" t="n">
        <f aca="false">G152+G162+G172+G182+G192+G202+G212+G222+G232</f>
        <v>422.197799654359</v>
      </c>
      <c r="H243" s="59" t="n">
        <f aca="false">H152+H162+H172+H182+H192+H202+H212+H222+H232</f>
        <v>645.261380751012</v>
      </c>
      <c r="I243" s="59" t="n">
        <f aca="false">I152+I162+I172+I182+I192+I202+I212+I222+I232</f>
        <v>824.593260918223</v>
      </c>
      <c r="J243" s="59" t="n">
        <f aca="false">J152+J162+J172+J182+J192+J202+J212+J222+J232</f>
        <v>846.203608254107</v>
      </c>
      <c r="K243" s="59" t="n">
        <f aca="false">K152+K162+K172+K182+K192+K202+K212+K222+K232</f>
        <v>1006.56147127151</v>
      </c>
      <c r="L243" s="59" t="n">
        <f aca="false">L152+L162+L172+L182+L192+L202+L212+L222+L232</f>
        <v>1070.79693026907</v>
      </c>
      <c r="M243" s="59" t="n">
        <f aca="false">M152+M162+M172+M182+M192+M202+M212+M222+M232</f>
        <v>1063.65135459722</v>
      </c>
      <c r="N243" s="59" t="n">
        <f aca="false">N152+N162+N172+N182+N192+N202+N212+N222+N232</f>
        <v>1180.45997080354</v>
      </c>
      <c r="O243" s="59" t="n">
        <f aca="false">O152+O162+O172+O182+O192+O202+O212+O222+O232</f>
        <v>1424.79052197149</v>
      </c>
      <c r="P243" s="59" t="n">
        <f aca="false">P152+P162+P172+P182+P192+P202+P212+P222+P232</f>
        <v>2061.14330690093</v>
      </c>
      <c r="Q243" s="59" t="n">
        <f aca="false">Q152+Q162+Q172+Q182+Q192+Q202+Q212+Q222+Q232</f>
        <v>2253.19920438121</v>
      </c>
      <c r="R243" s="59" t="n">
        <f aca="false">R152+R162+R172+R182+R192+R202+R212+R222+R232</f>
        <v>2291.40691629239</v>
      </c>
      <c r="S243" s="59" t="n">
        <f aca="false">S152+S162+S172+S182+S192+S202+S212+S222+S232</f>
        <v>1811.6104590927</v>
      </c>
      <c r="T243" s="59" t="n">
        <f aca="false">T152+T162+T172+T182+T192+T202+T212+T222+T232</f>
        <v>2134.91641784225</v>
      </c>
      <c r="U243" s="59" t="n">
        <f aca="false">U152+U162+U172+U182+U192+U202+U212+U222+U232</f>
        <v>2315.08057841688</v>
      </c>
      <c r="V243" s="59" t="n">
        <f aca="false">V152+V162+V172+V182+V192+V202+V212+V222+V232</f>
        <v>2168.5708100024</v>
      </c>
      <c r="W243" s="59" t="n">
        <f aca="false">W152+W162+W172+W182+W192+W202+W212+W222+W232</f>
        <v>2293.24182977186</v>
      </c>
      <c r="X243" s="59" t="n">
        <f aca="false">X152+X162+X172+X182+X192+X202+X212+X222+X232</f>
        <v>2362.06864613413</v>
      </c>
      <c r="Y243" s="59" t="n">
        <f aca="false">Y152+Y162+Y172+Y182+Y192+Y202+Y212+Y222+Y232</f>
        <v>2489.43160170826</v>
      </c>
      <c r="Z243" s="59" t="n">
        <f aca="false">Z152+Z162+Z172+Z182+Z192+Z202+Z212+Z222+Z232</f>
        <v>2654.61308648714</v>
      </c>
      <c r="AA243" s="59" t="n">
        <f aca="false">AA152+AA162+AA172+AA182+AA192+AA202+AA212+AA222+AA232</f>
        <v>2910.01694347823</v>
      </c>
      <c r="AB243" s="59" t="n">
        <f aca="false">AB152+AB162+AB172+AB182+AB192+AB202+AB212+AB222+AB232</f>
        <v>3841.1989950496</v>
      </c>
      <c r="AC243" s="59" t="n">
        <f aca="false">AC152+AC162+AC172+AC182+AC192+AC202+AC212+AC222+AC232</f>
        <v>3970.28482647273</v>
      </c>
      <c r="AD243" s="59" t="n">
        <f aca="false">AD152+AD162+AD172+AD182+AD192+AD202+AD212+AD222+AD232</f>
        <v>3976.94149794407</v>
      </c>
      <c r="AE243" s="59" t="n">
        <f aca="false">AE152+AE162+AE172+AE182+AE192+AE202+AE212+AE222+AE232</f>
        <v>3038.59148668633</v>
      </c>
      <c r="AF243" s="59" t="n">
        <f aca="false">AF152+AF162+AF172+AF182+AF192+AF202+AF212+AF222+AF232</f>
        <v>3422.45372633937</v>
      </c>
      <c r="AG243" s="59" t="n">
        <f aca="false">AG152+AG162+AG172+AG182+AG192+AG202+AG212+AG222+AG232</f>
        <v>3618.17758783146</v>
      </c>
      <c r="AH243" s="59" t="n">
        <f aca="false">AH152+AH162+AH172+AH182+AH192+AH202+AH212+AH222+AH232</f>
        <v>3305.03699828295</v>
      </c>
      <c r="AI243" s="59" t="n">
        <f aca="false">AI152+AI162+AI172+AI182+AI192+AI202+AI212+AI222+AI232</f>
        <v>3403.93568649781</v>
      </c>
      <c r="AJ243" s="59" t="n">
        <f aca="false">AJ152+AJ162+AJ172+AJ182+AJ192+AJ202+AJ212+AJ222+AJ232</f>
        <v>3426.85205817612</v>
      </c>
      <c r="AK243" s="59" t="n">
        <f aca="false">AK152+AK162+AK172+AK182+AK192+AK202+AK212+AK222+AK232</f>
        <v>3538.6480906008</v>
      </c>
      <c r="AL243" s="59" t="n">
        <f aca="false">AL152+AL162+AL172+AL182+AL192+AL202+AL212+AL222+AL232</f>
        <v>3682.42801308685</v>
      </c>
      <c r="AM243" s="60" t="n">
        <f aca="false">SUMIF($C$6:$AL$6,1,C243:AL243)</f>
        <v>7941.81728454995</v>
      </c>
      <c r="AN243" s="60" t="n">
        <f aca="false">SUMIF($C$6:$AL$6,2,C243:AL243)</f>
        <v>26260.0733790016</v>
      </c>
      <c r="AO243" s="60" t="n">
        <f aca="false">SUMIF($C$6:$AL$6,3,C243:AL243)</f>
        <v>42134.5659104463</v>
      </c>
      <c r="AP243" s="60" t="n">
        <f aca="false">SUM(C243:AL243)</f>
        <v>76336.4565739979</v>
      </c>
    </row>
    <row r="244" customFormat="false" ht="15" hidden="false" customHeight="false" outlineLevel="0" collapsed="false">
      <c r="A244" s="7" t="s">
        <v>787</v>
      </c>
      <c r="B244" s="9" t="s">
        <v>96</v>
      </c>
      <c r="C244" s="37" t="n">
        <f aca="false">IF(C242=0,0,C243/C242)</f>
        <v>0.845967686974948</v>
      </c>
      <c r="D244" s="37" t="n">
        <f aca="false">IF(D242=0,0,D243/D242)</f>
        <v>0.662998803809121</v>
      </c>
      <c r="E244" s="37" t="n">
        <f aca="false">IF(E242=0,0,E243/E242)</f>
        <v>0.607918998211654</v>
      </c>
      <c r="F244" s="37" t="n">
        <f aca="false">IF(F242=0,0,F243/F242)</f>
        <v>0.581016807612184</v>
      </c>
      <c r="G244" s="37" t="n">
        <f aca="false">IF(G242=0,0,G243/G242)</f>
        <v>0.569311361409737</v>
      </c>
      <c r="H244" s="37" t="n">
        <f aca="false">IF(H242=0,0,H243/H242)</f>
        <v>0.564177712455634</v>
      </c>
      <c r="I244" s="37" t="n">
        <f aca="false">IF(I242=0,0,I243/I242)</f>
        <v>0.5462624891866</v>
      </c>
      <c r="J244" s="37" t="n">
        <f aca="false">IF(J242=0,0,J243/J242)</f>
        <v>0.542459137473881</v>
      </c>
      <c r="K244" s="37" t="n">
        <f aca="false">IF(K242=0,0,K243/K242)</f>
        <v>0.545578293648796</v>
      </c>
      <c r="L244" s="37" t="n">
        <f aca="false">IF(L242=0,0,L243/L242)</f>
        <v>0.547152837334678</v>
      </c>
      <c r="M244" s="37" t="n">
        <f aca="false">IF(M242=0,0,M243/M242)</f>
        <v>0.551203011299466</v>
      </c>
      <c r="N244" s="37" t="n">
        <f aca="false">IF(N242=0,0,N243/N242)</f>
        <v>0.555094232286317</v>
      </c>
      <c r="O244" s="37" t="n">
        <f aca="false">IF(O242=0,0,O243/O242)</f>
        <v>0.563308577533466</v>
      </c>
      <c r="P244" s="37" t="n">
        <f aca="false">IF(P242=0,0,P243/P242)</f>
        <v>0.56695651096067</v>
      </c>
      <c r="Q244" s="37" t="n">
        <f aca="false">IF(Q242=0,0,Q243/Q242)</f>
        <v>0.569699901232645</v>
      </c>
      <c r="R244" s="37" t="n">
        <f aca="false">IF(R242=0,0,R243/R242)</f>
        <v>0.581267534503903</v>
      </c>
      <c r="S244" s="37" t="n">
        <f aca="false">IF(S242=0,0,S243/S242)</f>
        <v>0.592600538815399</v>
      </c>
      <c r="T244" s="37" t="n">
        <f aca="false">IF(T242=0,0,T243/T242)</f>
        <v>0.596746561470317</v>
      </c>
      <c r="U244" s="37" t="n">
        <f aca="false">IF(U242=0,0,U243/U242)</f>
        <v>0.595486841797325</v>
      </c>
      <c r="V244" s="37" t="n">
        <f aca="false">IF(V242=0,0,V243/V242)</f>
        <v>0.594724259147857</v>
      </c>
      <c r="W244" s="37" t="n">
        <f aca="false">IF(W242=0,0,W243/W242)</f>
        <v>0.587807087417367</v>
      </c>
      <c r="X244" s="37" t="n">
        <f aca="false">IF(X242=0,0,X243/X242)</f>
        <v>0.596438093145986</v>
      </c>
      <c r="Y244" s="37" t="n">
        <f aca="false">IF(Y242=0,0,Y243/Y242)</f>
        <v>0.621254433159127</v>
      </c>
      <c r="Z244" s="37" t="n">
        <f aca="false">IF(Z242=0,0,Z243/Z242)</f>
        <v>0.626204723141753</v>
      </c>
      <c r="AA244" s="37" t="n">
        <f aca="false">IF(AA242=0,0,AA243/AA242)</f>
        <v>0.614780945652356</v>
      </c>
      <c r="AB244" s="37" t="n">
        <f aca="false">IF(AB242=0,0,AB243/AB242)</f>
        <v>0.599616529677461</v>
      </c>
      <c r="AC244" s="37" t="n">
        <f aca="false">IF(AC242=0,0,AC243/AC242)</f>
        <v>0.590358085534516</v>
      </c>
      <c r="AD244" s="37" t="n">
        <f aca="false">IF(AD242=0,0,AD243/AD242)</f>
        <v>0.59786917455712</v>
      </c>
      <c r="AE244" s="37" t="n">
        <f aca="false">IF(AE242=0,0,AE243/AE242)</f>
        <v>0.601289088861142</v>
      </c>
      <c r="AF244" s="37" t="n">
        <f aca="false">IF(AF242=0,0,AF243/AF242)</f>
        <v>0.595323960489924</v>
      </c>
      <c r="AG244" s="37" t="n">
        <f aca="false">IF(AG242=0,0,AG243/AG242)</f>
        <v>0.591950383369667</v>
      </c>
      <c r="AH244" s="37" t="n">
        <f aca="false">IF(AH242=0,0,AH243/AH242)</f>
        <v>0.589102069346023</v>
      </c>
      <c r="AI244" s="37" t="n">
        <f aca="false">IF(AI242=0,0,AI243/AI242)</f>
        <v>0.579740348381879</v>
      </c>
      <c r="AJ244" s="37" t="n">
        <f aca="false">IF(AJ242=0,0,AJ243/AJ242)</f>
        <v>0.586824389665722</v>
      </c>
      <c r="AK244" s="37" t="n">
        <f aca="false">IF(AK242=0,0,AK243/AK242)</f>
        <v>0.610921048544197</v>
      </c>
      <c r="AL244" s="37" t="n">
        <f aca="false">IF(AL242=0,0,AL243/AL242)</f>
        <v>0.614057821856005</v>
      </c>
    </row>
    <row r="245" customFormat="false" ht="15" hidden="false" customHeight="false" outlineLevel="0" collapsed="false">
      <c r="A245" s="7" t="s">
        <v>788</v>
      </c>
      <c r="B245" s="9" t="s">
        <v>101</v>
      </c>
      <c r="C245" s="8" t="n">
        <f aca="false">IF(C$4&gt;=Assumptions!$D$179,CHOOSE(C$6,Assumptions!$D$180,Assumptions!$D$181,Assumptions!$D$182),0)</f>
        <v>0</v>
      </c>
      <c r="D245" s="8" t="n">
        <f aca="false">IF(D$4&gt;=Assumptions!$D$179,CHOOSE(D$6,Assumptions!$D$180,Assumptions!$D$181,Assumptions!$D$182),0)</f>
        <v>150</v>
      </c>
      <c r="E245" s="8" t="n">
        <f aca="false">IF(E$4&gt;=Assumptions!$D$179,CHOOSE(E$6,Assumptions!$D$180,Assumptions!$D$181,Assumptions!$D$182),0)</f>
        <v>150</v>
      </c>
      <c r="F245" s="8" t="n">
        <f aca="false">IF(F$4&gt;=Assumptions!$D$179,CHOOSE(F$6,Assumptions!$D$180,Assumptions!$D$181,Assumptions!$D$182),0)</f>
        <v>150</v>
      </c>
      <c r="G245" s="8" t="n">
        <f aca="false">IF(G$4&gt;=Assumptions!$D$179,CHOOSE(G$6,Assumptions!$D$180,Assumptions!$D$181,Assumptions!$D$182),0)</f>
        <v>150</v>
      </c>
      <c r="H245" s="8" t="n">
        <f aca="false">IF(H$4&gt;=Assumptions!$D$179,CHOOSE(H$6,Assumptions!$D$180,Assumptions!$D$181,Assumptions!$D$182),0)</f>
        <v>150</v>
      </c>
      <c r="I245" s="8" t="n">
        <f aca="false">IF(I$4&gt;=Assumptions!$D$179,CHOOSE(I$6,Assumptions!$D$180,Assumptions!$D$181,Assumptions!$D$182),0)</f>
        <v>150</v>
      </c>
      <c r="J245" s="8" t="n">
        <f aca="false">IF(J$4&gt;=Assumptions!$D$179,CHOOSE(J$6,Assumptions!$D$180,Assumptions!$D$181,Assumptions!$D$182),0)</f>
        <v>150</v>
      </c>
      <c r="K245" s="8" t="n">
        <f aca="false">IF(K$4&gt;=Assumptions!$D$179,CHOOSE(K$6,Assumptions!$D$180,Assumptions!$D$181,Assumptions!$D$182),0)</f>
        <v>150</v>
      </c>
      <c r="L245" s="8" t="n">
        <f aca="false">IF(L$4&gt;=Assumptions!$D$179,CHOOSE(L$6,Assumptions!$D$180,Assumptions!$D$181,Assumptions!$D$182),0)</f>
        <v>150</v>
      </c>
      <c r="M245" s="8" t="n">
        <f aca="false">IF(M$4&gt;=Assumptions!$D$179,CHOOSE(M$6,Assumptions!$D$180,Assumptions!$D$181,Assumptions!$D$182),0)</f>
        <v>150</v>
      </c>
      <c r="N245" s="8" t="n">
        <f aca="false">IF(N$4&gt;=Assumptions!$D$179,CHOOSE(N$6,Assumptions!$D$180,Assumptions!$D$181,Assumptions!$D$182),0)</f>
        <v>150</v>
      </c>
      <c r="O245" s="8" t="n">
        <f aca="false">IF(O$4&gt;=Assumptions!$D$179,CHOOSE(O$6,Assumptions!$D$180,Assumptions!$D$181,Assumptions!$D$182),0)</f>
        <v>300</v>
      </c>
      <c r="P245" s="8" t="n">
        <f aca="false">IF(P$4&gt;=Assumptions!$D$179,CHOOSE(P$6,Assumptions!$D$180,Assumptions!$D$181,Assumptions!$D$182),0)</f>
        <v>300</v>
      </c>
      <c r="Q245" s="8" t="n">
        <f aca="false">IF(Q$4&gt;=Assumptions!$D$179,CHOOSE(Q$6,Assumptions!$D$180,Assumptions!$D$181,Assumptions!$D$182),0)</f>
        <v>300</v>
      </c>
      <c r="R245" s="8" t="n">
        <f aca="false">IF(R$4&gt;=Assumptions!$D$179,CHOOSE(R$6,Assumptions!$D$180,Assumptions!$D$181,Assumptions!$D$182),0)</f>
        <v>300</v>
      </c>
      <c r="S245" s="8" t="n">
        <f aca="false">IF(S$4&gt;=Assumptions!$D$179,CHOOSE(S$6,Assumptions!$D$180,Assumptions!$D$181,Assumptions!$D$182),0)</f>
        <v>300</v>
      </c>
      <c r="T245" s="8" t="n">
        <f aca="false">IF(T$4&gt;=Assumptions!$D$179,CHOOSE(T$6,Assumptions!$D$180,Assumptions!$D$181,Assumptions!$D$182),0)</f>
        <v>300</v>
      </c>
      <c r="U245" s="8" t="n">
        <f aca="false">IF(U$4&gt;=Assumptions!$D$179,CHOOSE(U$6,Assumptions!$D$180,Assumptions!$D$181,Assumptions!$D$182),0)</f>
        <v>300</v>
      </c>
      <c r="V245" s="8" t="n">
        <f aca="false">IF(V$4&gt;=Assumptions!$D$179,CHOOSE(V$6,Assumptions!$D$180,Assumptions!$D$181,Assumptions!$D$182),0)</f>
        <v>300</v>
      </c>
      <c r="W245" s="8" t="n">
        <f aca="false">IF(W$4&gt;=Assumptions!$D$179,CHOOSE(W$6,Assumptions!$D$180,Assumptions!$D$181,Assumptions!$D$182),0)</f>
        <v>300</v>
      </c>
      <c r="X245" s="8" t="n">
        <f aca="false">IF(X$4&gt;=Assumptions!$D$179,CHOOSE(X$6,Assumptions!$D$180,Assumptions!$D$181,Assumptions!$D$182),0)</f>
        <v>300</v>
      </c>
      <c r="Y245" s="8" t="n">
        <f aca="false">IF(Y$4&gt;=Assumptions!$D$179,CHOOSE(Y$6,Assumptions!$D$180,Assumptions!$D$181,Assumptions!$D$182),0)</f>
        <v>300</v>
      </c>
      <c r="Z245" s="8" t="n">
        <f aca="false">IF(Z$4&gt;=Assumptions!$D$179,CHOOSE(Z$6,Assumptions!$D$180,Assumptions!$D$181,Assumptions!$D$182),0)</f>
        <v>300</v>
      </c>
      <c r="AA245" s="8" t="n">
        <f aca="false">IF(AA$4&gt;=Assumptions!$D$179,CHOOSE(AA$6,Assumptions!$D$180,Assumptions!$D$181,Assumptions!$D$182),0)</f>
        <v>450</v>
      </c>
      <c r="AB245" s="8" t="n">
        <f aca="false">IF(AB$4&gt;=Assumptions!$D$179,CHOOSE(AB$6,Assumptions!$D$180,Assumptions!$D$181,Assumptions!$D$182),0)</f>
        <v>450</v>
      </c>
      <c r="AC245" s="8" t="n">
        <f aca="false">IF(AC$4&gt;=Assumptions!$D$179,CHOOSE(AC$6,Assumptions!$D$180,Assumptions!$D$181,Assumptions!$D$182),0)</f>
        <v>450</v>
      </c>
      <c r="AD245" s="8" t="n">
        <f aca="false">IF(AD$4&gt;=Assumptions!$D$179,CHOOSE(AD$6,Assumptions!$D$180,Assumptions!$D$181,Assumptions!$D$182),0)</f>
        <v>450</v>
      </c>
      <c r="AE245" s="8" t="n">
        <f aca="false">IF(AE$4&gt;=Assumptions!$D$179,CHOOSE(AE$6,Assumptions!$D$180,Assumptions!$D$181,Assumptions!$D$182),0)</f>
        <v>450</v>
      </c>
      <c r="AF245" s="8" t="n">
        <f aca="false">IF(AF$4&gt;=Assumptions!$D$179,CHOOSE(AF$6,Assumptions!$D$180,Assumptions!$D$181,Assumptions!$D$182),0)</f>
        <v>450</v>
      </c>
      <c r="AG245" s="8" t="n">
        <f aca="false">IF(AG$4&gt;=Assumptions!$D$179,CHOOSE(AG$6,Assumptions!$D$180,Assumptions!$D$181,Assumptions!$D$182),0)</f>
        <v>450</v>
      </c>
      <c r="AH245" s="8" t="n">
        <f aca="false">IF(AH$4&gt;=Assumptions!$D$179,CHOOSE(AH$6,Assumptions!$D$180,Assumptions!$D$181,Assumptions!$D$182),0)</f>
        <v>450</v>
      </c>
      <c r="AI245" s="8" t="n">
        <f aca="false">IF(AI$4&gt;=Assumptions!$D$179,CHOOSE(AI$6,Assumptions!$D$180,Assumptions!$D$181,Assumptions!$D$182),0)</f>
        <v>450</v>
      </c>
      <c r="AJ245" s="8" t="n">
        <f aca="false">IF(AJ$4&gt;=Assumptions!$D$179,CHOOSE(AJ$6,Assumptions!$D$180,Assumptions!$D$181,Assumptions!$D$182),0)</f>
        <v>450</v>
      </c>
      <c r="AK245" s="8" t="n">
        <f aca="false">IF(AK$4&gt;=Assumptions!$D$179,CHOOSE(AK$6,Assumptions!$D$180,Assumptions!$D$181,Assumptions!$D$182),0)</f>
        <v>450</v>
      </c>
      <c r="AL245" s="8" t="n">
        <f aca="false">IF(AL$4&gt;=Assumptions!$D$179,CHOOSE(AL$6,Assumptions!$D$180,Assumptions!$D$181,Assumptions!$D$182),0)</f>
        <v>450</v>
      </c>
      <c r="AM245" s="45" t="n">
        <f aca="false">SUMIF($C$6:$AL$6,1,C245:AL245)</f>
        <v>1650</v>
      </c>
      <c r="AN245" s="45" t="n">
        <f aca="false">SUMIF($C$6:$AL$6,2,C245:AL245)</f>
        <v>3600</v>
      </c>
      <c r="AO245" s="45" t="n">
        <f aca="false">SUMIF($C$6:$AL$6,3,C245:AL245)</f>
        <v>5400</v>
      </c>
      <c r="AP245" s="45" t="n">
        <f aca="false">SUM(C245:AL245)</f>
        <v>10650</v>
      </c>
    </row>
    <row r="246" customFormat="false" ht="15" hidden="false" customHeight="false" outlineLevel="0" collapsed="false">
      <c r="A246" s="7" t="s">
        <v>789</v>
      </c>
      <c r="B246" s="9" t="s">
        <v>101</v>
      </c>
      <c r="C246" s="8" t="n">
        <f aca="false">'Monthly Operating Costs'!O$33</f>
        <v>1237.3185</v>
      </c>
      <c r="D246" s="8" t="n">
        <f aca="false">'Monthly Operating Costs'!P$33</f>
        <v>735.7185</v>
      </c>
      <c r="E246" s="8" t="n">
        <f aca="false">'Monthly Operating Costs'!Q$33</f>
        <v>814.3685</v>
      </c>
      <c r="F246" s="8" t="n">
        <f aca="false">'Monthly Operating Costs'!R$33</f>
        <v>1226.8685</v>
      </c>
      <c r="G246" s="8" t="n">
        <f aca="false">'Monthly Operating Costs'!S$33</f>
        <v>944.1685</v>
      </c>
      <c r="H246" s="8" t="n">
        <f aca="false">'Monthly Operating Costs'!T$33</f>
        <v>814.3685</v>
      </c>
      <c r="I246" s="8" t="n">
        <f aca="false">'Monthly Operating Costs'!U$33</f>
        <v>2244.3685</v>
      </c>
      <c r="J246" s="8" t="n">
        <f aca="false">'Monthly Operating Costs'!V$33</f>
        <v>814.3685</v>
      </c>
      <c r="K246" s="8" t="n">
        <f aca="false">'Monthly Operating Costs'!W$33</f>
        <v>814.3685</v>
      </c>
      <c r="L246" s="8" t="n">
        <f aca="false">'Monthly Operating Costs'!X$33</f>
        <v>814.3685</v>
      </c>
      <c r="M246" s="8" t="n">
        <f aca="false">'Monthly Operating Costs'!Y$33</f>
        <v>814.3685</v>
      </c>
      <c r="N246" s="8" t="n">
        <f aca="false">'Monthly Operating Costs'!Z$33</f>
        <v>814.3685</v>
      </c>
      <c r="O246" s="8" t="n">
        <f aca="false">'Monthly Operating Costs'!AA$33</f>
        <v>1667.4185</v>
      </c>
      <c r="P246" s="8" t="n">
        <f aca="false">'Monthly Operating Costs'!AB$33</f>
        <v>835.8185</v>
      </c>
      <c r="Q246" s="8" t="n">
        <f aca="false">'Monthly Operating Costs'!AC$33</f>
        <v>835.8185</v>
      </c>
      <c r="R246" s="8" t="n">
        <f aca="false">'Monthly Operating Costs'!AD$33</f>
        <v>1248.3185</v>
      </c>
      <c r="S246" s="8" t="n">
        <f aca="false">'Monthly Operating Costs'!AE$33</f>
        <v>965.6185</v>
      </c>
      <c r="T246" s="8" t="n">
        <f aca="false">'Monthly Operating Costs'!AF$33</f>
        <v>835.8185</v>
      </c>
      <c r="U246" s="8" t="n">
        <f aca="false">'Monthly Operating Costs'!AG$33</f>
        <v>2265.8185</v>
      </c>
      <c r="V246" s="8" t="n">
        <f aca="false">'Monthly Operating Costs'!AH$33</f>
        <v>835.8185</v>
      </c>
      <c r="W246" s="8" t="n">
        <f aca="false">'Monthly Operating Costs'!AI$33</f>
        <v>835.8185</v>
      </c>
      <c r="X246" s="8" t="n">
        <f aca="false">'Monthly Operating Costs'!AJ$33</f>
        <v>835.8185</v>
      </c>
      <c r="Y246" s="8" t="n">
        <f aca="false">'Monthly Operating Costs'!AK$33</f>
        <v>835.8185</v>
      </c>
      <c r="Z246" s="8" t="n">
        <f aca="false">'Monthly Operating Costs'!AL$33</f>
        <v>835.8185</v>
      </c>
      <c r="AA246" s="8" t="n">
        <f aca="false">'Monthly Operating Costs'!AM$33</f>
        <v>1667.4185</v>
      </c>
      <c r="AB246" s="8" t="n">
        <f aca="false">'Monthly Operating Costs'!AN$33</f>
        <v>835.8185</v>
      </c>
      <c r="AC246" s="8" t="n">
        <f aca="false">'Monthly Operating Costs'!AO$33</f>
        <v>835.8185</v>
      </c>
      <c r="AD246" s="8" t="n">
        <f aca="false">'Monthly Operating Costs'!AP$33</f>
        <v>1248.3185</v>
      </c>
      <c r="AE246" s="8" t="n">
        <f aca="false">'Monthly Operating Costs'!AQ$33</f>
        <v>965.6185</v>
      </c>
      <c r="AF246" s="8" t="n">
        <f aca="false">'Monthly Operating Costs'!AR$33</f>
        <v>835.8185</v>
      </c>
      <c r="AG246" s="8" t="n">
        <f aca="false">'Monthly Operating Costs'!AS$33</f>
        <v>2265.8185</v>
      </c>
      <c r="AH246" s="8" t="n">
        <f aca="false">'Monthly Operating Costs'!AT$33</f>
        <v>835.8185</v>
      </c>
      <c r="AI246" s="8" t="n">
        <f aca="false">'Monthly Operating Costs'!AU$33</f>
        <v>835.8185</v>
      </c>
      <c r="AJ246" s="8" t="n">
        <f aca="false">'Monthly Operating Costs'!AV$33</f>
        <v>835.8185</v>
      </c>
      <c r="AK246" s="8" t="n">
        <f aca="false">'Monthly Operating Costs'!AW$33</f>
        <v>835.8185</v>
      </c>
      <c r="AL246" s="8" t="n">
        <f aca="false">'Monthly Operating Costs'!AX$33</f>
        <v>835.8185</v>
      </c>
      <c r="AM246" s="45" t="n">
        <f aca="false">SUMIF($C$6:$AL$6,1,C246:AL246)</f>
        <v>12089.022</v>
      </c>
      <c r="AN246" s="45" t="n">
        <f aca="false">SUMIF($C$6:$AL$6,2,C246:AL246)</f>
        <v>12833.722</v>
      </c>
      <c r="AO246" s="45" t="n">
        <f aca="false">SUMIF($C$6:$AL$6,3,C246:AL246)</f>
        <v>12833.722</v>
      </c>
      <c r="AP246" s="45" t="n">
        <f aca="false">SUM(C246:AL246)</f>
        <v>37756.466</v>
      </c>
    </row>
    <row r="247" customFormat="false" ht="15" hidden="false" customHeight="false" outlineLevel="0" collapsed="false">
      <c r="A247" s="7" t="s">
        <v>790</v>
      </c>
      <c r="B247" s="9" t="s">
        <v>101</v>
      </c>
      <c r="C247" s="8" t="n">
        <f aca="false">IF(AND(Assumptions!$D$146=1,$B$138&gt;0,C$4&gt;=$B$138),Assumptions!$C$60+Assumptions!$C$61,0)+IF(C224=1,'Retail Readiness Costs'!$H$29,0)</f>
        <v>0</v>
      </c>
      <c r="D247" s="8" t="n">
        <f aca="false">IF(AND(Assumptions!$D$146=1,$B$138&gt;0,D$4&gt;=$B$138),Assumptions!$C$60+Assumptions!$C$61,0)+IF(D224=1,'Retail Readiness Costs'!$H$29,0)</f>
        <v>0</v>
      </c>
      <c r="E247" s="8" t="n">
        <f aca="false">IF(AND(Assumptions!$D$146=1,$B$138&gt;0,E$4&gt;=$B$138),Assumptions!$C$60+Assumptions!$C$61,0)+IF(E224=1,'Retail Readiness Costs'!$H$29,0)</f>
        <v>0</v>
      </c>
      <c r="F247" s="8" t="n">
        <f aca="false">IF(AND(Assumptions!$D$146=1,$B$138&gt;0,F$4&gt;=$B$138),Assumptions!$C$60+Assumptions!$C$61,0)+IF(F224=1,'Retail Readiness Costs'!$H$29,0)</f>
        <v>0</v>
      </c>
      <c r="G247" s="8" t="n">
        <f aca="false">IF(AND(Assumptions!$D$146=1,$B$138&gt;0,G$4&gt;=$B$138),Assumptions!$C$60+Assumptions!$C$61,0)+IF(G224=1,'Retail Readiness Costs'!$H$29,0)</f>
        <v>0</v>
      </c>
      <c r="H247" s="8" t="n">
        <f aca="false">IF(AND(Assumptions!$D$146=1,$B$138&gt;0,H$4&gt;=$B$138),Assumptions!$C$60+Assumptions!$C$61,0)+IF(H224=1,'Retail Readiness Costs'!$H$29,0)</f>
        <v>0</v>
      </c>
      <c r="I247" s="8" t="n">
        <f aca="false">IF(AND(Assumptions!$D$146=1,$B$138&gt;0,I$4&gt;=$B$138),Assumptions!$C$60+Assumptions!$C$61,0)+IF(I224=1,'Retail Readiness Costs'!$H$29,0)</f>
        <v>0</v>
      </c>
      <c r="J247" s="8" t="n">
        <f aca="false">IF(AND(Assumptions!$D$146=1,$B$138&gt;0,J$4&gt;=$B$138),Assumptions!$C$60+Assumptions!$C$61,0)+IF(J224=1,'Retail Readiness Costs'!$H$29,0)</f>
        <v>139.99</v>
      </c>
      <c r="K247" s="8" t="n">
        <f aca="false">IF(AND(Assumptions!$D$146=1,$B$138&gt;0,K$4&gt;=$B$138),Assumptions!$C$60+Assumptions!$C$61,0)+IF(K224=1,'Retail Readiness Costs'!$H$29,0)</f>
        <v>139.99</v>
      </c>
      <c r="L247" s="8" t="n">
        <f aca="false">IF(AND(Assumptions!$D$146=1,$B$138&gt;0,L$4&gt;=$B$138),Assumptions!$C$60+Assumptions!$C$61,0)+IF(L224=1,'Retail Readiness Costs'!$H$29,0)</f>
        <v>139.99</v>
      </c>
      <c r="M247" s="8" t="n">
        <f aca="false">IF(AND(Assumptions!$D$146=1,$B$138&gt;0,M$4&gt;=$B$138),Assumptions!$C$60+Assumptions!$C$61,0)+IF(M224=1,'Retail Readiness Costs'!$H$29,0)</f>
        <v>139.99</v>
      </c>
      <c r="N247" s="8" t="n">
        <f aca="false">IF(AND(Assumptions!$D$146=1,$B$138&gt;0,N$4&gt;=$B$138),Assumptions!$C$60+Assumptions!$C$61,0)+IF(N224=1,'Retail Readiness Costs'!$H$29,0)</f>
        <v>139.99</v>
      </c>
      <c r="O247" s="8" t="n">
        <f aca="false">IF(AND(Assumptions!$D$146=1,$B$138&gt;0,O$4&gt;=$B$138),Assumptions!$C$60+Assumptions!$C$61,0)+IF(O224=1,'Retail Readiness Costs'!$H$29,0)</f>
        <v>139.99</v>
      </c>
      <c r="P247" s="8" t="n">
        <f aca="false">IF(AND(Assumptions!$D$146=1,$B$138&gt;0,P$4&gt;=$B$138),Assumptions!$C$60+Assumptions!$C$61,0)+IF(P224=1,'Retail Readiness Costs'!$H$29,0)</f>
        <v>139.99</v>
      </c>
      <c r="Q247" s="8" t="n">
        <f aca="false">IF(AND(Assumptions!$D$146=1,$B$138&gt;0,Q$4&gt;=$B$138),Assumptions!$C$60+Assumptions!$C$61,0)+IF(Q224=1,'Retail Readiness Costs'!$H$29,0)</f>
        <v>139.99</v>
      </c>
      <c r="R247" s="8" t="n">
        <f aca="false">IF(AND(Assumptions!$D$146=1,$B$138&gt;0,R$4&gt;=$B$138),Assumptions!$C$60+Assumptions!$C$61,0)+IF(R224=1,'Retail Readiness Costs'!$H$29,0)</f>
        <v>139.99</v>
      </c>
      <c r="S247" s="8" t="n">
        <f aca="false">IF(AND(Assumptions!$D$146=1,$B$138&gt;0,S$4&gt;=$B$138),Assumptions!$C$60+Assumptions!$C$61,0)+IF(S224=1,'Retail Readiness Costs'!$H$29,0)</f>
        <v>139.99</v>
      </c>
      <c r="T247" s="8" t="n">
        <f aca="false">IF(AND(Assumptions!$D$146=1,$B$138&gt;0,T$4&gt;=$B$138),Assumptions!$C$60+Assumptions!$C$61,0)+IF(T224=1,'Retail Readiness Costs'!$H$29,0)</f>
        <v>139.99</v>
      </c>
      <c r="U247" s="8" t="n">
        <f aca="false">IF(AND(Assumptions!$D$146=1,$B$138&gt;0,U$4&gt;=$B$138),Assumptions!$C$60+Assumptions!$C$61,0)+IF(U224=1,'Retail Readiness Costs'!$H$29,0)</f>
        <v>139.99</v>
      </c>
      <c r="V247" s="8" t="n">
        <f aca="false">IF(AND(Assumptions!$D$146=1,$B$138&gt;0,V$4&gt;=$B$138),Assumptions!$C$60+Assumptions!$C$61,0)+IF(V224=1,'Retail Readiness Costs'!$H$29,0)</f>
        <v>139.99</v>
      </c>
      <c r="W247" s="8" t="n">
        <f aca="false">IF(AND(Assumptions!$D$146=1,$B$138&gt;0,W$4&gt;=$B$138),Assumptions!$C$60+Assumptions!$C$61,0)+IF(W224=1,'Retail Readiness Costs'!$H$29,0)</f>
        <v>139.99</v>
      </c>
      <c r="X247" s="8" t="n">
        <f aca="false">IF(AND(Assumptions!$D$146=1,$B$138&gt;0,X$4&gt;=$B$138),Assumptions!$C$60+Assumptions!$C$61,0)+IF(X224=1,'Retail Readiness Costs'!$H$29,0)</f>
        <v>139.99</v>
      </c>
      <c r="Y247" s="8" t="n">
        <f aca="false">IF(AND(Assumptions!$D$146=1,$B$138&gt;0,Y$4&gt;=$B$138),Assumptions!$C$60+Assumptions!$C$61,0)+IF(Y224=1,'Retail Readiness Costs'!$H$29,0)</f>
        <v>139.99</v>
      </c>
      <c r="Z247" s="8" t="n">
        <f aca="false">IF(AND(Assumptions!$D$146=1,$B$138&gt;0,Z$4&gt;=$B$138),Assumptions!$C$60+Assumptions!$C$61,0)+IF(Z224=1,'Retail Readiness Costs'!$H$29,0)</f>
        <v>139.99</v>
      </c>
      <c r="AA247" s="8" t="n">
        <f aca="false">IF(AND(Assumptions!$D$146=1,$B$138&gt;0,AA$4&gt;=$B$138),Assumptions!$C$60+Assumptions!$C$61,0)+IF(AA224=1,'Retail Readiness Costs'!$H$29,0)</f>
        <v>498.49</v>
      </c>
      <c r="AB247" s="8" t="n">
        <f aca="false">IF(AND(Assumptions!$D$146=1,$B$138&gt;0,AB$4&gt;=$B$138),Assumptions!$C$60+Assumptions!$C$61,0)+IF(AB224=1,'Retail Readiness Costs'!$H$29,0)</f>
        <v>498.49</v>
      </c>
      <c r="AC247" s="8" t="n">
        <f aca="false">IF(AND(Assumptions!$D$146=1,$B$138&gt;0,AC$4&gt;=$B$138),Assumptions!$C$60+Assumptions!$C$61,0)+IF(AC224=1,'Retail Readiness Costs'!$H$29,0)</f>
        <v>498.49</v>
      </c>
      <c r="AD247" s="8" t="n">
        <f aca="false">IF(AND(Assumptions!$D$146=1,$B$138&gt;0,AD$4&gt;=$B$138),Assumptions!$C$60+Assumptions!$C$61,0)+IF(AD224=1,'Retail Readiness Costs'!$H$29,0)</f>
        <v>498.49</v>
      </c>
      <c r="AE247" s="8" t="n">
        <f aca="false">IF(AND(Assumptions!$D$146=1,$B$138&gt;0,AE$4&gt;=$B$138),Assumptions!$C$60+Assumptions!$C$61,0)+IF(AE224=1,'Retail Readiness Costs'!$H$29,0)</f>
        <v>498.49</v>
      </c>
      <c r="AF247" s="8" t="n">
        <f aca="false">IF(AND(Assumptions!$D$146=1,$B$138&gt;0,AF$4&gt;=$B$138),Assumptions!$C$60+Assumptions!$C$61,0)+IF(AF224=1,'Retail Readiness Costs'!$H$29,0)</f>
        <v>498.49</v>
      </c>
      <c r="AG247" s="8" t="n">
        <f aca="false">IF(AND(Assumptions!$D$146=1,$B$138&gt;0,AG$4&gt;=$B$138),Assumptions!$C$60+Assumptions!$C$61,0)+IF(AG224=1,'Retail Readiness Costs'!$H$29,0)</f>
        <v>498.49</v>
      </c>
      <c r="AH247" s="8" t="n">
        <f aca="false">IF(AND(Assumptions!$D$146=1,$B$138&gt;0,AH$4&gt;=$B$138),Assumptions!$C$60+Assumptions!$C$61,0)+IF(AH224=1,'Retail Readiness Costs'!$H$29,0)</f>
        <v>498.49</v>
      </c>
      <c r="AI247" s="8" t="n">
        <f aca="false">IF(AND(Assumptions!$D$146=1,$B$138&gt;0,AI$4&gt;=$B$138),Assumptions!$C$60+Assumptions!$C$61,0)+IF(AI224=1,'Retail Readiness Costs'!$H$29,0)</f>
        <v>498.49</v>
      </c>
      <c r="AJ247" s="8" t="n">
        <f aca="false">IF(AND(Assumptions!$D$146=1,$B$138&gt;0,AJ$4&gt;=$B$138),Assumptions!$C$60+Assumptions!$C$61,0)+IF(AJ224=1,'Retail Readiness Costs'!$H$29,0)</f>
        <v>498.49</v>
      </c>
      <c r="AK247" s="8" t="n">
        <f aca="false">IF(AND(Assumptions!$D$146=1,$B$138&gt;0,AK$4&gt;=$B$138),Assumptions!$C$60+Assumptions!$C$61,0)+IF(AK224=1,'Retail Readiness Costs'!$H$29,0)</f>
        <v>498.49</v>
      </c>
      <c r="AL247" s="8" t="n">
        <f aca="false">IF(AND(Assumptions!$D$146=1,$B$138&gt;0,AL$4&gt;=$B$138),Assumptions!$C$60+Assumptions!$C$61,0)+IF(AL224=1,'Retail Readiness Costs'!$H$29,0)</f>
        <v>498.49</v>
      </c>
      <c r="AM247" s="45" t="n">
        <f aca="false">SUMIF($C$6:$AL$6,1,C247:AL247)</f>
        <v>699.95</v>
      </c>
      <c r="AN247" s="45" t="n">
        <f aca="false">SUMIF($C$6:$AL$6,2,C247:AL247)</f>
        <v>1679.88</v>
      </c>
      <c r="AO247" s="45" t="n">
        <f aca="false">SUMIF($C$6:$AL$6,3,C247:AL247)</f>
        <v>5981.88</v>
      </c>
      <c r="AP247" s="45" t="n">
        <f aca="false">SUM(C247:AL247)</f>
        <v>8361.71</v>
      </c>
    </row>
    <row r="248" customFormat="false" ht="15" hidden="false" customHeight="false" outlineLevel="0" collapsed="false">
      <c r="A248" s="57" t="s">
        <v>791</v>
      </c>
      <c r="B248" s="58" t="s">
        <v>101</v>
      </c>
      <c r="C248" s="59" t="n">
        <f aca="false">C243-C245-C246-C247</f>
        <v>-1201.03138868705</v>
      </c>
      <c r="D248" s="59" t="n">
        <f aca="false">D243-D245-D246-D247</f>
        <v>-732.979304586</v>
      </c>
      <c r="E248" s="59" t="n">
        <f aca="false">E243-E245-E246-E247</f>
        <v>-672.97019384696</v>
      </c>
      <c r="F248" s="59" t="n">
        <f aca="false">F243-F245-F246-F247</f>
        <v>-975.201604849077</v>
      </c>
      <c r="G248" s="59" t="n">
        <f aca="false">G243-G245-G246-G247</f>
        <v>-671.970700345641</v>
      </c>
      <c r="H248" s="59" t="n">
        <f aca="false">H243-H245-H246-H247</f>
        <v>-319.107119248988</v>
      </c>
      <c r="I248" s="59" t="n">
        <f aca="false">I243-I245-I246-I247</f>
        <v>-1569.77523908178</v>
      </c>
      <c r="J248" s="59" t="n">
        <f aca="false">J243-J245-J246-J247</f>
        <v>-258.154891745893</v>
      </c>
      <c r="K248" s="59" t="n">
        <f aca="false">K243-K245-K246-K247</f>
        <v>-97.7970287284936</v>
      </c>
      <c r="L248" s="59" t="n">
        <f aca="false">L243-L245-L246-L247</f>
        <v>-33.561569730927</v>
      </c>
      <c r="M248" s="59" t="n">
        <f aca="false">M243-M245-M246-M247</f>
        <v>-40.7071454027755</v>
      </c>
      <c r="N248" s="59" t="n">
        <f aca="false">N243-N245-N246-N247</f>
        <v>76.1014708035368</v>
      </c>
      <c r="O248" s="59" t="n">
        <f aca="false">O243-O245-O246-O247</f>
        <v>-682.617978028505</v>
      </c>
      <c r="P248" s="59" t="n">
        <f aca="false">P243-P245-P246-P247</f>
        <v>785.334806900925</v>
      </c>
      <c r="Q248" s="59" t="n">
        <f aca="false">Q243-Q245-Q246-Q247</f>
        <v>977.390704381213</v>
      </c>
      <c r="R248" s="59" t="n">
        <f aca="false">R243-R245-R246-R247</f>
        <v>603.098416292393</v>
      </c>
      <c r="S248" s="59" t="n">
        <f aca="false">S243-S245-S246-S247</f>
        <v>406.001959092695</v>
      </c>
      <c r="T248" s="59" t="n">
        <f aca="false">T243-T245-T246-T247</f>
        <v>859.107917842252</v>
      </c>
      <c r="U248" s="59" t="n">
        <f aca="false">U243-U245-U246-U247</f>
        <v>-390.72792158312</v>
      </c>
      <c r="V248" s="59" t="n">
        <f aca="false">V243-V245-V246-V247</f>
        <v>892.7623100024</v>
      </c>
      <c r="W248" s="59" t="n">
        <f aca="false">W243-W245-W246-W247</f>
        <v>1017.43332977186</v>
      </c>
      <c r="X248" s="59" t="n">
        <f aca="false">X243-X245-X246-X247</f>
        <v>1086.26014613413</v>
      </c>
      <c r="Y248" s="59" t="n">
        <f aca="false">Y243-Y245-Y246-Y247</f>
        <v>1213.62310170826</v>
      </c>
      <c r="Z248" s="59" t="n">
        <f aca="false">Z243-Z245-Z246-Z247</f>
        <v>1378.80458648714</v>
      </c>
      <c r="AA248" s="59" t="n">
        <f aca="false">AA243-AA245-AA246-AA247</f>
        <v>294.108443478228</v>
      </c>
      <c r="AB248" s="59" t="n">
        <f aca="false">AB243-AB245-AB246-AB247</f>
        <v>2056.8904950496</v>
      </c>
      <c r="AC248" s="59" t="n">
        <f aca="false">AC243-AC245-AC246-AC247</f>
        <v>2185.97632647273</v>
      </c>
      <c r="AD248" s="59" t="n">
        <f aca="false">AD243-AD245-AD246-AD247</f>
        <v>1780.13299794407</v>
      </c>
      <c r="AE248" s="59" t="n">
        <f aca="false">AE243-AE245-AE246-AE247</f>
        <v>1124.48298668633</v>
      </c>
      <c r="AF248" s="59" t="n">
        <f aca="false">AF243-AF245-AF246-AF247</f>
        <v>1638.14522633937</v>
      </c>
      <c r="AG248" s="59" t="n">
        <f aca="false">AG243-AG245-AG246-AG247</f>
        <v>403.869087831464</v>
      </c>
      <c r="AH248" s="59" t="n">
        <f aca="false">AH243-AH245-AH246-AH247</f>
        <v>1520.72849828295</v>
      </c>
      <c r="AI248" s="59" t="n">
        <f aca="false">AI243-AI245-AI246-AI247</f>
        <v>1619.62718649781</v>
      </c>
      <c r="AJ248" s="59" t="n">
        <f aca="false">AJ243-AJ245-AJ246-AJ247</f>
        <v>1642.54355817612</v>
      </c>
      <c r="AK248" s="59" t="n">
        <f aca="false">AK243-AK245-AK246-AK247</f>
        <v>1754.3395906008</v>
      </c>
      <c r="AL248" s="59" t="n">
        <f aca="false">AL243-AL245-AL246-AL247</f>
        <v>1898.11951308685</v>
      </c>
      <c r="AM248" s="60" t="n">
        <f aca="false">SUMIF($C$6:$AL$6,1,C248:AL248)</f>
        <v>-6497.15471545005</v>
      </c>
      <c r="AN248" s="60" t="n">
        <f aca="false">SUMIF($C$6:$AL$6,2,C248:AL248)</f>
        <v>8146.47137900164</v>
      </c>
      <c r="AO248" s="60" t="n">
        <f aca="false">SUMIF($C$6:$AL$6,3,C248:AL248)</f>
        <v>17918.9639104463</v>
      </c>
      <c r="AP248" s="60" t="n">
        <f aca="false">SUM(C248:AL248)</f>
        <v>19568.2805739979</v>
      </c>
    </row>
    <row r="249" customFormat="false" ht="15" hidden="false" customHeight="false" outlineLevel="0" collapsed="false">
      <c r="A249" s="7" t="s">
        <v>792</v>
      </c>
      <c r="B249" s="9" t="s">
        <v>101</v>
      </c>
      <c r="C249" s="8" t="n">
        <f aca="false">SUMPRODUCT(('Startup Costs'!$F$6:$F$32=C$4)*'Startup Costs'!$G$6:$G$32*'Startup Costs'!$E$6:$E$32)</f>
        <v>4253.5</v>
      </c>
      <c r="D249" s="8" t="n">
        <f aca="false">SUMPRODUCT(('Startup Costs'!$F$6:$F$32=D$4)*'Startup Costs'!$G$6:$G$32*'Startup Costs'!$E$6:$E$32)</f>
        <v>1420</v>
      </c>
      <c r="E249" s="8" t="n">
        <f aca="false">SUMPRODUCT(('Startup Costs'!$F$6:$F$32=E$4)*'Startup Costs'!$G$6:$G$32*'Startup Costs'!$E$6:$E$32)</f>
        <v>1975</v>
      </c>
      <c r="F249" s="8" t="n">
        <f aca="false">SUMPRODUCT(('Startup Costs'!$F$6:$F$32=F$4)*'Startup Costs'!$G$6:$G$32*'Startup Costs'!$E$6:$E$32)</f>
        <v>650</v>
      </c>
      <c r="G249" s="8" t="n">
        <f aca="false">SUMPRODUCT(('Startup Costs'!$F$6:$F$32=G$4)*'Startup Costs'!$G$6:$G$32*'Startup Costs'!$E$6:$E$32)</f>
        <v>1037.5</v>
      </c>
      <c r="H249" s="8" t="n">
        <f aca="false">SUMPRODUCT(('Startup Costs'!$F$6:$F$32=H$4)*'Startup Costs'!$G$6:$G$32*'Startup Costs'!$E$6:$E$32)</f>
        <v>4250</v>
      </c>
      <c r="I249" s="8" t="n">
        <f aca="false">SUMPRODUCT(('Startup Costs'!$F$6:$F$32=I$4)*'Startup Costs'!$G$6:$G$32*'Startup Costs'!$E$6:$E$32)</f>
        <v>5250</v>
      </c>
      <c r="J249" s="8" t="n">
        <f aca="false">SUMPRODUCT(('Startup Costs'!$F$6:$F$32=J$4)*'Startup Costs'!$G$6:$G$32*'Startup Costs'!$E$6:$E$32)</f>
        <v>0</v>
      </c>
      <c r="K249" s="8" t="n">
        <f aca="false">SUMPRODUCT(('Startup Costs'!$F$6:$F$32=K$4)*'Startup Costs'!$G$6:$G$32*'Startup Costs'!$E$6:$E$32)</f>
        <v>687.5</v>
      </c>
      <c r="L249" s="8" t="n">
        <f aca="false">SUMPRODUCT(('Startup Costs'!$F$6:$F$32=L$4)*'Startup Costs'!$G$6:$G$32*'Startup Costs'!$E$6:$E$32)</f>
        <v>262.5</v>
      </c>
      <c r="M249" s="8" t="n">
        <f aca="false">SUMPRODUCT(('Startup Costs'!$F$6:$F$32=M$4)*'Startup Costs'!$G$6:$G$32*'Startup Costs'!$E$6:$E$32)</f>
        <v>0</v>
      </c>
      <c r="N249" s="8" t="n">
        <f aca="false">SUMPRODUCT(('Startup Costs'!$F$6:$F$32=N$4)*'Startup Costs'!$G$6:$G$32*'Startup Costs'!$E$6:$E$32)</f>
        <v>0</v>
      </c>
      <c r="O249" s="8" t="n">
        <f aca="false">SUMPRODUCT(('Startup Costs'!$F$6:$F$32=O$4)*'Startup Costs'!$G$6:$G$32*'Startup Costs'!$E$6:$E$32)</f>
        <v>0</v>
      </c>
      <c r="P249" s="8" t="n">
        <f aca="false">SUMPRODUCT(('Startup Costs'!$F$6:$F$32=P$4)*'Startup Costs'!$G$6:$G$32*'Startup Costs'!$E$6:$E$32)</f>
        <v>0</v>
      </c>
      <c r="Q249" s="8" t="n">
        <f aca="false">SUMPRODUCT(('Startup Costs'!$F$6:$F$32=Q$4)*'Startup Costs'!$G$6:$G$32*'Startup Costs'!$E$6:$E$32)</f>
        <v>0</v>
      </c>
      <c r="R249" s="8" t="n">
        <f aca="false">SUMPRODUCT(('Startup Costs'!$F$6:$F$32=R$4)*'Startup Costs'!$G$6:$G$32*'Startup Costs'!$E$6:$E$32)</f>
        <v>0</v>
      </c>
      <c r="S249" s="8" t="n">
        <f aca="false">SUMPRODUCT(('Startup Costs'!$F$6:$F$32=S$4)*'Startup Costs'!$G$6:$G$32*'Startup Costs'!$E$6:$E$32)</f>
        <v>0</v>
      </c>
      <c r="T249" s="8" t="n">
        <f aca="false">SUMPRODUCT(('Startup Costs'!$F$6:$F$32=T$4)*'Startup Costs'!$G$6:$G$32*'Startup Costs'!$E$6:$E$32)</f>
        <v>0</v>
      </c>
      <c r="U249" s="8" t="n">
        <f aca="false">SUMPRODUCT(('Startup Costs'!$F$6:$F$32=U$4)*'Startup Costs'!$G$6:$G$32*'Startup Costs'!$E$6:$E$32)</f>
        <v>0</v>
      </c>
      <c r="V249" s="8" t="n">
        <f aca="false">SUMPRODUCT(('Startup Costs'!$F$6:$F$32=V$4)*'Startup Costs'!$G$6:$G$32*'Startup Costs'!$E$6:$E$32)</f>
        <v>0</v>
      </c>
      <c r="W249" s="8" t="n">
        <f aca="false">SUMPRODUCT(('Startup Costs'!$F$6:$F$32=W$4)*'Startup Costs'!$G$6:$G$32*'Startup Costs'!$E$6:$E$32)</f>
        <v>0</v>
      </c>
      <c r="X249" s="8" t="n">
        <f aca="false">SUMPRODUCT(('Startup Costs'!$F$6:$F$32=X$4)*'Startup Costs'!$G$6:$G$32*'Startup Costs'!$E$6:$E$32)</f>
        <v>0</v>
      </c>
      <c r="Y249" s="8" t="n">
        <f aca="false">SUMPRODUCT(('Startup Costs'!$F$6:$F$32=Y$4)*'Startup Costs'!$G$6:$G$32*'Startup Costs'!$E$6:$E$32)</f>
        <v>0</v>
      </c>
      <c r="Z249" s="8" t="n">
        <f aca="false">SUMPRODUCT(('Startup Costs'!$F$6:$F$32=Z$4)*'Startup Costs'!$G$6:$G$32*'Startup Costs'!$E$6:$E$32)</f>
        <v>0</v>
      </c>
      <c r="AA249" s="8" t="n">
        <f aca="false">SUMPRODUCT(('Startup Costs'!$F$6:$F$32=AA$4)*'Startup Costs'!$G$6:$G$32*'Startup Costs'!$E$6:$E$32)</f>
        <v>0</v>
      </c>
      <c r="AB249" s="8" t="n">
        <f aca="false">SUMPRODUCT(('Startup Costs'!$F$6:$F$32=AB$4)*'Startup Costs'!$G$6:$G$32*'Startup Costs'!$E$6:$E$32)</f>
        <v>0</v>
      </c>
      <c r="AC249" s="8" t="n">
        <f aca="false">SUMPRODUCT(('Startup Costs'!$F$6:$F$32=AC$4)*'Startup Costs'!$G$6:$G$32*'Startup Costs'!$E$6:$E$32)</f>
        <v>0</v>
      </c>
      <c r="AD249" s="8" t="n">
        <f aca="false">SUMPRODUCT(('Startup Costs'!$F$6:$F$32=AD$4)*'Startup Costs'!$G$6:$G$32*'Startup Costs'!$E$6:$E$32)</f>
        <v>0</v>
      </c>
      <c r="AE249" s="8" t="n">
        <f aca="false">SUMPRODUCT(('Startup Costs'!$F$6:$F$32=AE$4)*'Startup Costs'!$G$6:$G$32*'Startup Costs'!$E$6:$E$32)</f>
        <v>0</v>
      </c>
      <c r="AF249" s="8" t="n">
        <f aca="false">SUMPRODUCT(('Startup Costs'!$F$6:$F$32=AF$4)*'Startup Costs'!$G$6:$G$32*'Startup Costs'!$E$6:$E$32)</f>
        <v>0</v>
      </c>
      <c r="AG249" s="8" t="n">
        <f aca="false">SUMPRODUCT(('Startup Costs'!$F$6:$F$32=AG$4)*'Startup Costs'!$G$6:$G$32*'Startup Costs'!$E$6:$E$32)</f>
        <v>0</v>
      </c>
      <c r="AH249" s="8" t="n">
        <f aca="false">SUMPRODUCT(('Startup Costs'!$F$6:$F$32=AH$4)*'Startup Costs'!$G$6:$G$32*'Startup Costs'!$E$6:$E$32)</f>
        <v>0</v>
      </c>
      <c r="AI249" s="8" t="n">
        <f aca="false">SUMPRODUCT(('Startup Costs'!$F$6:$F$32=AI$4)*'Startup Costs'!$G$6:$G$32*'Startup Costs'!$E$6:$E$32)</f>
        <v>0</v>
      </c>
      <c r="AJ249" s="8" t="n">
        <f aca="false">SUMPRODUCT(('Startup Costs'!$F$6:$F$32=AJ$4)*'Startup Costs'!$G$6:$G$32*'Startup Costs'!$E$6:$E$32)</f>
        <v>0</v>
      </c>
      <c r="AK249" s="8" t="n">
        <f aca="false">SUMPRODUCT(('Startup Costs'!$F$6:$F$32=AK$4)*'Startup Costs'!$G$6:$G$32*'Startup Costs'!$E$6:$E$32)</f>
        <v>0</v>
      </c>
      <c r="AL249" s="8" t="n">
        <f aca="false">SUMPRODUCT(('Startup Costs'!$F$6:$F$32=AL$4)*'Startup Costs'!$G$6:$G$32*'Startup Costs'!$E$6:$E$32)</f>
        <v>0</v>
      </c>
      <c r="AM249" s="45" t="n">
        <f aca="false">SUMIF($C$6:$AL$6,1,C249:AL249)</f>
        <v>19786</v>
      </c>
      <c r="AN249" s="45" t="n">
        <f aca="false">SUMIF($C$6:$AL$6,2,C249:AL249)</f>
        <v>0</v>
      </c>
      <c r="AO249" s="45" t="n">
        <f aca="false">SUMIF($C$6:$AL$6,3,C249:AL249)</f>
        <v>0</v>
      </c>
      <c r="AP249" s="45" t="n">
        <f aca="false">SUM(C249:AL249)</f>
        <v>19786</v>
      </c>
    </row>
    <row r="250" customFormat="false" ht="15" hidden="false" customHeight="false" outlineLevel="0" collapsed="false">
      <c r="A250" s="7" t="s">
        <v>793</v>
      </c>
      <c r="B250" s="9" t="s">
        <v>101</v>
      </c>
      <c r="C250" s="8" t="n">
        <f aca="false">IF(AND(Assumptions!$D$146=1,C$4=$B$138),'Retail Readiness Costs'!$H$14,0)+IF(AND(Assumptions!$D$164=1,C$4=MAX(1,Assumptions!$D$165-Assumptions!$C$67)),'Retail Readiness Costs'!$H$23,0)+IF(AND(Assumptions!$D$155=1,C$4=Assumptions!$D$156),Assumptions!$C$66,0)</f>
        <v>0</v>
      </c>
      <c r="D250" s="8" t="n">
        <f aca="false">IF(AND(Assumptions!$D$146=1,D$4=$B$138),'Retail Readiness Costs'!$H$14,0)+IF(AND(Assumptions!$D$164=1,D$4=MAX(1,Assumptions!$D$165-Assumptions!$C$67)),'Retail Readiness Costs'!$H$23,0)+IF(AND(Assumptions!$D$155=1,D$4=Assumptions!$D$156),Assumptions!$C$66,0)</f>
        <v>0</v>
      </c>
      <c r="E250" s="8" t="n">
        <f aca="false">IF(AND(Assumptions!$D$146=1,E$4=$B$138),'Retail Readiness Costs'!$H$14,0)+IF(AND(Assumptions!$D$164=1,E$4=MAX(1,Assumptions!$D$165-Assumptions!$C$67)),'Retail Readiness Costs'!$H$23,0)+IF(AND(Assumptions!$D$155=1,E$4=Assumptions!$D$156),Assumptions!$C$66,0)</f>
        <v>0</v>
      </c>
      <c r="F250" s="8" t="n">
        <f aca="false">IF(AND(Assumptions!$D$146=1,F$4=$B$138),'Retail Readiness Costs'!$H$14,0)+IF(AND(Assumptions!$D$164=1,F$4=MAX(1,Assumptions!$D$165-Assumptions!$C$67)),'Retail Readiness Costs'!$H$23,0)+IF(AND(Assumptions!$D$155=1,F$4=Assumptions!$D$156),Assumptions!$C$66,0)</f>
        <v>0</v>
      </c>
      <c r="G250" s="8" t="n">
        <f aca="false">IF(AND(Assumptions!$D$146=1,G$4=$B$138),'Retail Readiness Costs'!$H$14,0)+IF(AND(Assumptions!$D$164=1,G$4=MAX(1,Assumptions!$D$165-Assumptions!$C$67)),'Retail Readiness Costs'!$H$23,0)+IF(AND(Assumptions!$D$155=1,G$4=Assumptions!$D$156),Assumptions!$C$66,0)</f>
        <v>0</v>
      </c>
      <c r="H250" s="8" t="n">
        <f aca="false">IF(AND(Assumptions!$D$146=1,H$4=$B$138),'Retail Readiness Costs'!$H$14,0)+IF(AND(Assumptions!$D$164=1,H$4=MAX(1,Assumptions!$D$165-Assumptions!$C$67)),'Retail Readiness Costs'!$H$23,0)+IF(AND(Assumptions!$D$155=1,H$4=Assumptions!$D$156),Assumptions!$C$66,0)</f>
        <v>0</v>
      </c>
      <c r="I250" s="8" t="n">
        <f aca="false">IF(AND(Assumptions!$D$146=1,I$4=$B$138),'Retail Readiness Costs'!$H$14,0)+IF(AND(Assumptions!$D$164=1,I$4=MAX(1,Assumptions!$D$165-Assumptions!$C$67)),'Retail Readiness Costs'!$H$23,0)+IF(AND(Assumptions!$D$155=1,I$4=Assumptions!$D$156),Assumptions!$C$66,0)</f>
        <v>0</v>
      </c>
      <c r="J250" s="8" t="n">
        <f aca="false">IF(AND(Assumptions!$D$146=1,J$4=$B$138),'Retail Readiness Costs'!$H$14,0)+IF(AND(Assumptions!$D$164=1,J$4=MAX(1,Assumptions!$D$165-Assumptions!$C$67)),'Retail Readiness Costs'!$H$23,0)+IF(AND(Assumptions!$D$155=1,J$4=Assumptions!$D$156),Assumptions!$C$66,0)</f>
        <v>1875</v>
      </c>
      <c r="K250" s="8" t="n">
        <f aca="false">IF(AND(Assumptions!$D$146=1,K$4=$B$138),'Retail Readiness Costs'!$H$14,0)+IF(AND(Assumptions!$D$164=1,K$4=MAX(1,Assumptions!$D$165-Assumptions!$C$67)),'Retail Readiness Costs'!$H$23,0)+IF(AND(Assumptions!$D$155=1,K$4=Assumptions!$D$156),Assumptions!$C$66,0)</f>
        <v>0</v>
      </c>
      <c r="L250" s="8" t="n">
        <f aca="false">IF(AND(Assumptions!$D$146=1,L$4=$B$138),'Retail Readiness Costs'!$H$14,0)+IF(AND(Assumptions!$D$164=1,L$4=MAX(1,Assumptions!$D$165-Assumptions!$C$67)),'Retail Readiness Costs'!$H$23,0)+IF(AND(Assumptions!$D$155=1,L$4=Assumptions!$D$156),Assumptions!$C$66,0)</f>
        <v>0</v>
      </c>
      <c r="M250" s="8" t="n">
        <f aca="false">IF(AND(Assumptions!$D$146=1,M$4=$B$138),'Retail Readiness Costs'!$H$14,0)+IF(AND(Assumptions!$D$164=1,M$4=MAX(1,Assumptions!$D$165-Assumptions!$C$67)),'Retail Readiness Costs'!$H$23,0)+IF(AND(Assumptions!$D$155=1,M$4=Assumptions!$D$156),Assumptions!$C$66,0)</f>
        <v>0</v>
      </c>
      <c r="N250" s="8" t="n">
        <f aca="false">IF(AND(Assumptions!$D$146=1,N$4=$B$138),'Retail Readiness Costs'!$H$14,0)+IF(AND(Assumptions!$D$164=1,N$4=MAX(1,Assumptions!$D$165-Assumptions!$C$67)),'Retail Readiness Costs'!$H$23,0)+IF(AND(Assumptions!$D$155=1,N$4=Assumptions!$D$156),Assumptions!$C$66,0)</f>
        <v>0</v>
      </c>
      <c r="O250" s="8" t="n">
        <f aca="false">IF(AND(Assumptions!$D$146=1,O$4=$B$138),'Retail Readiness Costs'!$H$14,0)+IF(AND(Assumptions!$D$164=1,O$4=MAX(1,Assumptions!$D$165-Assumptions!$C$67)),'Retail Readiness Costs'!$H$23,0)+IF(AND(Assumptions!$D$155=1,O$4=Assumptions!$D$156),Assumptions!$C$66,0)</f>
        <v>179</v>
      </c>
      <c r="P250" s="8" t="n">
        <f aca="false">IF(AND(Assumptions!$D$146=1,P$4=$B$138),'Retail Readiness Costs'!$H$14,0)+IF(AND(Assumptions!$D$164=1,P$4=MAX(1,Assumptions!$D$165-Assumptions!$C$67)),'Retail Readiness Costs'!$H$23,0)+IF(AND(Assumptions!$D$155=1,P$4=Assumptions!$D$156),Assumptions!$C$66,0)</f>
        <v>0</v>
      </c>
      <c r="Q250" s="8" t="n">
        <f aca="false">IF(AND(Assumptions!$D$146=1,Q$4=$B$138),'Retail Readiness Costs'!$H$14,0)+IF(AND(Assumptions!$D$164=1,Q$4=MAX(1,Assumptions!$D$165-Assumptions!$C$67)),'Retail Readiness Costs'!$H$23,0)+IF(AND(Assumptions!$D$155=1,Q$4=Assumptions!$D$156),Assumptions!$C$66,0)</f>
        <v>0</v>
      </c>
      <c r="R250" s="8" t="n">
        <f aca="false">IF(AND(Assumptions!$D$146=1,R$4=$B$138),'Retail Readiness Costs'!$H$14,0)+IF(AND(Assumptions!$D$164=1,R$4=MAX(1,Assumptions!$D$165-Assumptions!$C$67)),'Retail Readiness Costs'!$H$23,0)+IF(AND(Assumptions!$D$155=1,R$4=Assumptions!$D$156),Assumptions!$C$66,0)</f>
        <v>0</v>
      </c>
      <c r="S250" s="8" t="n">
        <f aca="false">IF(AND(Assumptions!$D$146=1,S$4=$B$138),'Retail Readiness Costs'!$H$14,0)+IF(AND(Assumptions!$D$164=1,S$4=MAX(1,Assumptions!$D$165-Assumptions!$C$67)),'Retail Readiness Costs'!$H$23,0)+IF(AND(Assumptions!$D$155=1,S$4=Assumptions!$D$156),Assumptions!$C$66,0)</f>
        <v>0</v>
      </c>
      <c r="T250" s="8" t="n">
        <f aca="false">IF(AND(Assumptions!$D$146=1,T$4=$B$138),'Retail Readiness Costs'!$H$14,0)+IF(AND(Assumptions!$D$164=1,T$4=MAX(1,Assumptions!$D$165-Assumptions!$C$67)),'Retail Readiness Costs'!$H$23,0)+IF(AND(Assumptions!$D$155=1,T$4=Assumptions!$D$156),Assumptions!$C$66,0)</f>
        <v>0</v>
      </c>
      <c r="U250" s="8" t="n">
        <f aca="false">IF(AND(Assumptions!$D$146=1,U$4=$B$138),'Retail Readiness Costs'!$H$14,0)+IF(AND(Assumptions!$D$164=1,U$4=MAX(1,Assumptions!$D$165-Assumptions!$C$67)),'Retail Readiness Costs'!$H$23,0)+IF(AND(Assumptions!$D$155=1,U$4=Assumptions!$D$156),Assumptions!$C$66,0)</f>
        <v>0</v>
      </c>
      <c r="V250" s="8" t="n">
        <f aca="false">IF(AND(Assumptions!$D$146=1,V$4=$B$138),'Retail Readiness Costs'!$H$14,0)+IF(AND(Assumptions!$D$164=1,V$4=MAX(1,Assumptions!$D$165-Assumptions!$C$67)),'Retail Readiness Costs'!$H$23,0)+IF(AND(Assumptions!$D$155=1,V$4=Assumptions!$D$156),Assumptions!$C$66,0)</f>
        <v>0</v>
      </c>
      <c r="W250" s="8" t="n">
        <f aca="false">IF(AND(Assumptions!$D$146=1,W$4=$B$138),'Retail Readiness Costs'!$H$14,0)+IF(AND(Assumptions!$D$164=1,W$4=MAX(1,Assumptions!$D$165-Assumptions!$C$67)),'Retail Readiness Costs'!$H$23,0)+IF(AND(Assumptions!$D$155=1,W$4=Assumptions!$D$156),Assumptions!$C$66,0)</f>
        <v>0</v>
      </c>
      <c r="X250" s="8" t="n">
        <f aca="false">IF(AND(Assumptions!$D$146=1,X$4=$B$138),'Retail Readiness Costs'!$H$14,0)+IF(AND(Assumptions!$D$164=1,X$4=MAX(1,Assumptions!$D$165-Assumptions!$C$67)),'Retail Readiness Costs'!$H$23,0)+IF(AND(Assumptions!$D$155=1,X$4=Assumptions!$D$156),Assumptions!$C$66,0)</f>
        <v>5100</v>
      </c>
      <c r="Y250" s="8" t="n">
        <f aca="false">IF(AND(Assumptions!$D$146=1,Y$4=$B$138),'Retail Readiness Costs'!$H$14,0)+IF(AND(Assumptions!$D$164=1,Y$4=MAX(1,Assumptions!$D$165-Assumptions!$C$67)),'Retail Readiness Costs'!$H$23,0)+IF(AND(Assumptions!$D$155=1,Y$4=Assumptions!$D$156),Assumptions!$C$66,0)</f>
        <v>0</v>
      </c>
      <c r="Z250" s="8" t="n">
        <f aca="false">IF(AND(Assumptions!$D$146=1,Z$4=$B$138),'Retail Readiness Costs'!$H$14,0)+IF(AND(Assumptions!$D$164=1,Z$4=MAX(1,Assumptions!$D$165-Assumptions!$C$67)),'Retail Readiness Costs'!$H$23,0)+IF(AND(Assumptions!$D$155=1,Z$4=Assumptions!$D$156),Assumptions!$C$66,0)</f>
        <v>0</v>
      </c>
      <c r="AA250" s="8" t="n">
        <f aca="false">IF(AND(Assumptions!$D$146=1,AA$4=$B$138),'Retail Readiness Costs'!$H$14,0)+IF(AND(Assumptions!$D$164=1,AA$4=MAX(1,Assumptions!$D$165-Assumptions!$C$67)),'Retail Readiness Costs'!$H$23,0)+IF(AND(Assumptions!$D$155=1,AA$4=Assumptions!$D$156),Assumptions!$C$66,0)</f>
        <v>0</v>
      </c>
      <c r="AB250" s="8" t="n">
        <f aca="false">IF(AND(Assumptions!$D$146=1,AB$4=$B$138),'Retail Readiness Costs'!$H$14,0)+IF(AND(Assumptions!$D$164=1,AB$4=MAX(1,Assumptions!$D$165-Assumptions!$C$67)),'Retail Readiness Costs'!$H$23,0)+IF(AND(Assumptions!$D$155=1,AB$4=Assumptions!$D$156),Assumptions!$C$66,0)</f>
        <v>0</v>
      </c>
      <c r="AC250" s="8" t="n">
        <f aca="false">IF(AND(Assumptions!$D$146=1,AC$4=$B$138),'Retail Readiness Costs'!$H$14,0)+IF(AND(Assumptions!$D$164=1,AC$4=MAX(1,Assumptions!$D$165-Assumptions!$C$67)),'Retail Readiness Costs'!$H$23,0)+IF(AND(Assumptions!$D$155=1,AC$4=Assumptions!$D$156),Assumptions!$C$66,0)</f>
        <v>0</v>
      </c>
      <c r="AD250" s="8" t="n">
        <f aca="false">IF(AND(Assumptions!$D$146=1,AD$4=$B$138),'Retail Readiness Costs'!$H$14,0)+IF(AND(Assumptions!$D$164=1,AD$4=MAX(1,Assumptions!$D$165-Assumptions!$C$67)),'Retail Readiness Costs'!$H$23,0)+IF(AND(Assumptions!$D$155=1,AD$4=Assumptions!$D$156),Assumptions!$C$66,0)</f>
        <v>0</v>
      </c>
      <c r="AE250" s="8" t="n">
        <f aca="false">IF(AND(Assumptions!$D$146=1,AE$4=$B$138),'Retail Readiness Costs'!$H$14,0)+IF(AND(Assumptions!$D$164=1,AE$4=MAX(1,Assumptions!$D$165-Assumptions!$C$67)),'Retail Readiness Costs'!$H$23,0)+IF(AND(Assumptions!$D$155=1,AE$4=Assumptions!$D$156),Assumptions!$C$66,0)</f>
        <v>0</v>
      </c>
      <c r="AF250" s="8" t="n">
        <f aca="false">IF(AND(Assumptions!$D$146=1,AF$4=$B$138),'Retail Readiness Costs'!$H$14,0)+IF(AND(Assumptions!$D$164=1,AF$4=MAX(1,Assumptions!$D$165-Assumptions!$C$67)),'Retail Readiness Costs'!$H$23,0)+IF(AND(Assumptions!$D$155=1,AF$4=Assumptions!$D$156),Assumptions!$C$66,0)</f>
        <v>0</v>
      </c>
      <c r="AG250" s="8" t="n">
        <f aca="false">IF(AND(Assumptions!$D$146=1,AG$4=$B$138),'Retail Readiness Costs'!$H$14,0)+IF(AND(Assumptions!$D$164=1,AG$4=MAX(1,Assumptions!$D$165-Assumptions!$C$67)),'Retail Readiness Costs'!$H$23,0)+IF(AND(Assumptions!$D$155=1,AG$4=Assumptions!$D$156),Assumptions!$C$66,0)</f>
        <v>0</v>
      </c>
      <c r="AH250" s="8" t="n">
        <f aca="false">IF(AND(Assumptions!$D$146=1,AH$4=$B$138),'Retail Readiness Costs'!$H$14,0)+IF(AND(Assumptions!$D$164=1,AH$4=MAX(1,Assumptions!$D$165-Assumptions!$C$67)),'Retail Readiness Costs'!$H$23,0)+IF(AND(Assumptions!$D$155=1,AH$4=Assumptions!$D$156),Assumptions!$C$66,0)</f>
        <v>0</v>
      </c>
      <c r="AI250" s="8" t="n">
        <f aca="false">IF(AND(Assumptions!$D$146=1,AI$4=$B$138),'Retail Readiness Costs'!$H$14,0)+IF(AND(Assumptions!$D$164=1,AI$4=MAX(1,Assumptions!$D$165-Assumptions!$C$67)),'Retail Readiness Costs'!$H$23,0)+IF(AND(Assumptions!$D$155=1,AI$4=Assumptions!$D$156),Assumptions!$C$66,0)</f>
        <v>0</v>
      </c>
      <c r="AJ250" s="8" t="n">
        <f aca="false">IF(AND(Assumptions!$D$146=1,AJ$4=$B$138),'Retail Readiness Costs'!$H$14,0)+IF(AND(Assumptions!$D$164=1,AJ$4=MAX(1,Assumptions!$D$165-Assumptions!$C$67)),'Retail Readiness Costs'!$H$23,0)+IF(AND(Assumptions!$D$155=1,AJ$4=Assumptions!$D$156),Assumptions!$C$66,0)</f>
        <v>0</v>
      </c>
      <c r="AK250" s="8" t="n">
        <f aca="false">IF(AND(Assumptions!$D$146=1,AK$4=$B$138),'Retail Readiness Costs'!$H$14,0)+IF(AND(Assumptions!$D$164=1,AK$4=MAX(1,Assumptions!$D$165-Assumptions!$C$67)),'Retail Readiness Costs'!$H$23,0)+IF(AND(Assumptions!$D$155=1,AK$4=Assumptions!$D$156),Assumptions!$C$66,0)</f>
        <v>0</v>
      </c>
      <c r="AL250" s="8" t="n">
        <f aca="false">IF(AND(Assumptions!$D$146=1,AL$4=$B$138),'Retail Readiness Costs'!$H$14,0)+IF(AND(Assumptions!$D$164=1,AL$4=MAX(1,Assumptions!$D$165-Assumptions!$C$67)),'Retail Readiness Costs'!$H$23,0)+IF(AND(Assumptions!$D$155=1,AL$4=Assumptions!$D$156),Assumptions!$C$66,0)</f>
        <v>0</v>
      </c>
      <c r="AM250" s="45" t="n">
        <f aca="false">SUMIF($C$6:$AL$6,1,C250:AL250)</f>
        <v>1875</v>
      </c>
      <c r="AN250" s="45" t="n">
        <f aca="false">SUMIF($C$6:$AL$6,2,C250:AL250)</f>
        <v>5279</v>
      </c>
      <c r="AO250" s="45" t="n">
        <f aca="false">SUMIF($C$6:$AL$6,3,C250:AL250)</f>
        <v>0</v>
      </c>
      <c r="AP250" s="45" t="n">
        <f aca="false">SUM(C250:AL250)</f>
        <v>7154</v>
      </c>
    </row>
    <row r="251" customFormat="false" ht="15" hidden="false" customHeight="false" outlineLevel="0" collapsed="false">
      <c r="A251" s="7" t="s">
        <v>794</v>
      </c>
      <c r="B251" s="9" t="s">
        <v>101</v>
      </c>
      <c r="C251" s="17" t="n">
        <f aca="false">C248-C249-C250</f>
        <v>-5454.53138868705</v>
      </c>
      <c r="D251" s="17" t="n">
        <f aca="false">D248-D249-D250</f>
        <v>-2152.979304586</v>
      </c>
      <c r="E251" s="17" t="n">
        <f aca="false">E248-E249-E250</f>
        <v>-2647.97019384696</v>
      </c>
      <c r="F251" s="17" t="n">
        <f aca="false">F248-F249-F250</f>
        <v>-1625.20160484908</v>
      </c>
      <c r="G251" s="17" t="n">
        <f aca="false">G248-G249-G250</f>
        <v>-1709.47070034564</v>
      </c>
      <c r="H251" s="17" t="n">
        <f aca="false">H248-H249-H250</f>
        <v>-4569.10711924899</v>
      </c>
      <c r="I251" s="17" t="n">
        <f aca="false">I248-I249-I250</f>
        <v>-6819.77523908178</v>
      </c>
      <c r="J251" s="17" t="n">
        <f aca="false">J248-J249-J250</f>
        <v>-2133.15489174589</v>
      </c>
      <c r="K251" s="17" t="n">
        <f aca="false">K248-K249-K250</f>
        <v>-785.297028728494</v>
      </c>
      <c r="L251" s="17" t="n">
        <f aca="false">L248-L249-L250</f>
        <v>-296.061569730927</v>
      </c>
      <c r="M251" s="17" t="n">
        <f aca="false">M248-M249-M250</f>
        <v>-40.7071454027755</v>
      </c>
      <c r="N251" s="17" t="n">
        <f aca="false">N248-N249-N250</f>
        <v>76.1014708035368</v>
      </c>
      <c r="O251" s="17" t="n">
        <f aca="false">O248-O249-O250</f>
        <v>-861.617978028505</v>
      </c>
      <c r="P251" s="17" t="n">
        <f aca="false">P248-P249-P250</f>
        <v>785.334806900925</v>
      </c>
      <c r="Q251" s="17" t="n">
        <f aca="false">Q248-Q249-Q250</f>
        <v>977.390704381213</v>
      </c>
      <c r="R251" s="17" t="n">
        <f aca="false">R248-R249-R250</f>
        <v>603.098416292393</v>
      </c>
      <c r="S251" s="17" t="n">
        <f aca="false">S248-S249-S250</f>
        <v>406.001959092695</v>
      </c>
      <c r="T251" s="17" t="n">
        <f aca="false">T248-T249-T250</f>
        <v>859.107917842252</v>
      </c>
      <c r="U251" s="17" t="n">
        <f aca="false">U248-U249-U250</f>
        <v>-390.72792158312</v>
      </c>
      <c r="V251" s="17" t="n">
        <f aca="false">V248-V249-V250</f>
        <v>892.7623100024</v>
      </c>
      <c r="W251" s="17" t="n">
        <f aca="false">W248-W249-W250</f>
        <v>1017.43332977186</v>
      </c>
      <c r="X251" s="17" t="n">
        <f aca="false">X248-X249-X250</f>
        <v>-4013.73985386587</v>
      </c>
      <c r="Y251" s="17" t="n">
        <f aca="false">Y248-Y249-Y250</f>
        <v>1213.62310170826</v>
      </c>
      <c r="Z251" s="17" t="n">
        <f aca="false">Z248-Z249-Z250</f>
        <v>1378.80458648714</v>
      </c>
      <c r="AA251" s="17" t="n">
        <f aca="false">AA248-AA249-AA250</f>
        <v>294.108443478228</v>
      </c>
      <c r="AB251" s="17" t="n">
        <f aca="false">AB248-AB249-AB250</f>
        <v>2056.8904950496</v>
      </c>
      <c r="AC251" s="17" t="n">
        <f aca="false">AC248-AC249-AC250</f>
        <v>2185.97632647273</v>
      </c>
      <c r="AD251" s="17" t="n">
        <f aca="false">AD248-AD249-AD250</f>
        <v>1780.13299794407</v>
      </c>
      <c r="AE251" s="17" t="n">
        <f aca="false">AE248-AE249-AE250</f>
        <v>1124.48298668633</v>
      </c>
      <c r="AF251" s="17" t="n">
        <f aca="false">AF248-AF249-AF250</f>
        <v>1638.14522633937</v>
      </c>
      <c r="AG251" s="17" t="n">
        <f aca="false">AG248-AG249-AG250</f>
        <v>403.869087831464</v>
      </c>
      <c r="AH251" s="17" t="n">
        <f aca="false">AH248-AH249-AH250</f>
        <v>1520.72849828295</v>
      </c>
      <c r="AI251" s="17" t="n">
        <f aca="false">AI248-AI249-AI250</f>
        <v>1619.62718649781</v>
      </c>
      <c r="AJ251" s="17" t="n">
        <f aca="false">AJ248-AJ249-AJ250</f>
        <v>1642.54355817612</v>
      </c>
      <c r="AK251" s="17" t="n">
        <f aca="false">AK248-AK249-AK250</f>
        <v>1754.3395906008</v>
      </c>
      <c r="AL251" s="17" t="n">
        <f aca="false">AL248-AL249-AL250</f>
        <v>1898.11951308685</v>
      </c>
      <c r="AM251" s="45" t="n">
        <f aca="false">SUMIF($C$6:$AL$6,1,C251:AL251)</f>
        <v>-28158.15471545</v>
      </c>
      <c r="AN251" s="45" t="n">
        <f aca="false">SUMIF($C$6:$AL$6,2,C251:AL251)</f>
        <v>2867.47137900164</v>
      </c>
      <c r="AO251" s="45" t="n">
        <f aca="false">SUMIF($C$6:$AL$6,3,C251:AL251)</f>
        <v>17918.9639104463</v>
      </c>
      <c r="AP251" s="45" t="n">
        <f aca="false">SUM(C251:AL251)</f>
        <v>-7371.7194260021</v>
      </c>
    </row>
    <row r="252" customFormat="false" ht="15" hidden="false" customHeight="false" outlineLevel="0" collapsed="false">
      <c r="A252" s="7" t="s">
        <v>795</v>
      </c>
      <c r="B252" s="9" t="s">
        <v>101</v>
      </c>
      <c r="C252" s="17" t="n">
        <f aca="false">C251</f>
        <v>-5454.53138868705</v>
      </c>
      <c r="D252" s="17" t="n">
        <f aca="false">D251+C252</f>
        <v>-7607.51069327305</v>
      </c>
      <c r="E252" s="17" t="n">
        <f aca="false">E251+D252</f>
        <v>-10255.48088712</v>
      </c>
      <c r="F252" s="17" t="n">
        <f aca="false">F251+E252</f>
        <v>-11880.6824919691</v>
      </c>
      <c r="G252" s="17" t="n">
        <f aca="false">G251+F252</f>
        <v>-13590.1531923147</v>
      </c>
      <c r="H252" s="17" t="n">
        <f aca="false">H251+G252</f>
        <v>-18159.2603115637</v>
      </c>
      <c r="I252" s="17" t="n">
        <f aca="false">I251+H252</f>
        <v>-24979.0355506455</v>
      </c>
      <c r="J252" s="17" t="n">
        <f aca="false">J251+I252</f>
        <v>-27112.1904423914</v>
      </c>
      <c r="K252" s="17" t="n">
        <f aca="false">K251+J252</f>
        <v>-27897.4874711199</v>
      </c>
      <c r="L252" s="17" t="n">
        <f aca="false">L251+K252</f>
        <v>-28193.5490408508</v>
      </c>
      <c r="M252" s="17" t="n">
        <f aca="false">M251+L252</f>
        <v>-28234.2561862536</v>
      </c>
      <c r="N252" s="17" t="n">
        <f aca="false">N251+M252</f>
        <v>-28158.15471545</v>
      </c>
      <c r="O252" s="17" t="n">
        <f aca="false">O251+N252</f>
        <v>-29019.7726934786</v>
      </c>
      <c r="P252" s="17" t="n">
        <f aca="false">P251+O252</f>
        <v>-28234.4378865776</v>
      </c>
      <c r="Q252" s="17" t="n">
        <f aca="false">Q251+P252</f>
        <v>-27257.0471821964</v>
      </c>
      <c r="R252" s="17" t="n">
        <f aca="false">R251+Q252</f>
        <v>-26653.948765904</v>
      </c>
      <c r="S252" s="17" t="n">
        <f aca="false">S251+R252</f>
        <v>-26247.9468068113</v>
      </c>
      <c r="T252" s="17" t="n">
        <f aca="false">T251+S252</f>
        <v>-25388.8388889691</v>
      </c>
      <c r="U252" s="17" t="n">
        <f aca="false">U251+T252</f>
        <v>-25779.5668105522</v>
      </c>
      <c r="V252" s="17" t="n">
        <f aca="false">V251+U252</f>
        <v>-24886.8045005498</v>
      </c>
      <c r="W252" s="17" t="n">
        <f aca="false">W251+V252</f>
        <v>-23869.3711707779</v>
      </c>
      <c r="X252" s="17" t="n">
        <f aca="false">X251+W252</f>
        <v>-27883.1110246438</v>
      </c>
      <c r="Y252" s="17" t="n">
        <f aca="false">Y251+X252</f>
        <v>-26669.4879229356</v>
      </c>
      <c r="Z252" s="17" t="n">
        <f aca="false">Z251+Y252</f>
        <v>-25290.6833364484</v>
      </c>
      <c r="AA252" s="17" t="n">
        <f aca="false">AA251+Z252</f>
        <v>-24996.5748929702</v>
      </c>
      <c r="AB252" s="17" t="n">
        <f aca="false">AB251+AA252</f>
        <v>-22939.6843979206</v>
      </c>
      <c r="AC252" s="17" t="n">
        <f aca="false">AC251+AB252</f>
        <v>-20753.7080714479</v>
      </c>
      <c r="AD252" s="17" t="n">
        <f aca="false">AD251+AC252</f>
        <v>-18973.5750735038</v>
      </c>
      <c r="AE252" s="17" t="n">
        <f aca="false">AE251+AD252</f>
        <v>-17849.0920868175</v>
      </c>
      <c r="AF252" s="17" t="n">
        <f aca="false">AF251+AE252</f>
        <v>-16210.9468604781</v>
      </c>
      <c r="AG252" s="17" t="n">
        <f aca="false">AG251+AF252</f>
        <v>-15807.0777726466</v>
      </c>
      <c r="AH252" s="17" t="n">
        <f aca="false">AH251+AG252</f>
        <v>-14286.3492743637</v>
      </c>
      <c r="AI252" s="17" t="n">
        <f aca="false">AI251+AH252</f>
        <v>-12666.7220878659</v>
      </c>
      <c r="AJ252" s="17" t="n">
        <f aca="false">AJ251+AI252</f>
        <v>-11024.1785296897</v>
      </c>
      <c r="AK252" s="17" t="n">
        <f aca="false">AK251+AJ252</f>
        <v>-9269.83893908895</v>
      </c>
      <c r="AL252" s="17" t="n">
        <f aca="false">AL251+AK252</f>
        <v>-7371.7194260021</v>
      </c>
      <c r="AM252" s="45" t="n">
        <f aca="false">N252</f>
        <v>-28158.15471545</v>
      </c>
      <c r="AN252" s="45" t="n">
        <f aca="false">Z252</f>
        <v>-25290.6833364484</v>
      </c>
      <c r="AO252" s="45" t="n">
        <f aca="false">AL252</f>
        <v>-7371.7194260021</v>
      </c>
      <c r="AP252" s="45" t="n">
        <f aca="false">AL252</f>
        <v>-7371.7194260021</v>
      </c>
    </row>
    <row r="253" customFormat="false" ht="15" hidden="false" customHeight="false" outlineLevel="0" collapsed="false">
      <c r="A253" s="5" t="s">
        <v>796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</row>
    <row r="254" customFormat="false" ht="15" hidden="false" customHeight="false" outlineLevel="0" collapsed="false">
      <c r="A254" s="7" t="s">
        <v>797</v>
      </c>
      <c r="B254" s="9" t="s">
        <v>342</v>
      </c>
      <c r="C254" s="52" t="n">
        <f aca="false">C209+C229</f>
        <v>-0</v>
      </c>
      <c r="D254" s="52" t="n">
        <f aca="false">D209+D229</f>
        <v>-0</v>
      </c>
      <c r="E254" s="52" t="n">
        <f aca="false">E209+E229</f>
        <v>-0</v>
      </c>
      <c r="F254" s="52" t="n">
        <f aca="false">F209+F229</f>
        <v>0</v>
      </c>
      <c r="G254" s="52" t="n">
        <f aca="false">G209+G229</f>
        <v>1.35</v>
      </c>
      <c r="H254" s="52" t="n">
        <f aca="false">H209+H229</f>
        <v>3.18</v>
      </c>
      <c r="I254" s="52" t="n">
        <f aca="false">I209+I229</f>
        <v>5.30901</v>
      </c>
      <c r="J254" s="52" t="n">
        <f aca="false">J209+J229</f>
        <v>6.7887912</v>
      </c>
      <c r="K254" s="52" t="n">
        <f aca="false">K209+K229</f>
        <v>9.4685772</v>
      </c>
      <c r="L254" s="52" t="n">
        <f aca="false">L209+L229</f>
        <v>11.44182868848</v>
      </c>
      <c r="M254" s="52" t="n">
        <f aca="false">M209+M229</f>
        <v>10.8516712087584</v>
      </c>
      <c r="N254" s="52" t="n">
        <f aca="false">N209+N229</f>
        <v>11.5027714812839</v>
      </c>
      <c r="O254" s="52" t="n">
        <f aca="false">O209+O229</f>
        <v>13.3702802629512</v>
      </c>
      <c r="P254" s="52" t="n">
        <f aca="false">P209+P229</f>
        <v>19.0280199110631</v>
      </c>
      <c r="Q254" s="52" t="n">
        <f aca="false">Q209+Q229</f>
        <v>20.5502615039482</v>
      </c>
      <c r="R254" s="52" t="n">
        <f aca="false">R209+R229</f>
        <v>19.7891407075057</v>
      </c>
      <c r="S254" s="52" t="n">
        <f aca="false">S209+S229</f>
        <v>14.8181085617803</v>
      </c>
      <c r="T254" s="52" t="n">
        <f aca="false">T209+T229</f>
        <v>17.1231476713905</v>
      </c>
      <c r="U254" s="52" t="n">
        <f aca="false">U209+U229</f>
        <v>18.6984772571584</v>
      </c>
      <c r="V254" s="52" t="n">
        <f aca="false">V209+V229</f>
        <v>17.5943766953072</v>
      </c>
      <c r="W254" s="52" t="n">
        <f aca="false">W209+W229</f>
        <v>19.261212382231</v>
      </c>
      <c r="X254" s="52" t="n">
        <f aca="false">X209+X229</f>
        <v>19.0300778336442</v>
      </c>
      <c r="Y254" s="52" t="n">
        <f aca="false">Y209+Y229</f>
        <v>17.7079882157279</v>
      </c>
      <c r="Z254" s="52" t="n">
        <f aca="false">Z209+Z229</f>
        <v>18.416307744357</v>
      </c>
      <c r="AA254" s="52" t="n">
        <f aca="false">AA209+AA229</f>
        <v>24.794590828567</v>
      </c>
      <c r="AB254" s="52" t="n">
        <f aca="false">AB209+AB229</f>
        <v>40.2240288828209</v>
      </c>
      <c r="AC254" s="52" t="n">
        <f aca="false">AC209+AC229</f>
        <v>48.9002290551111</v>
      </c>
      <c r="AD254" s="52" t="n">
        <f aca="false">AD209+AD229</f>
        <v>52.4677996631605</v>
      </c>
      <c r="AE254" s="52" t="n">
        <f aca="false">AE209+AE229</f>
        <v>43.408268572625</v>
      </c>
      <c r="AF254" s="52" t="n">
        <f aca="false">AF209+AF229</f>
        <v>55.0304677156417</v>
      </c>
      <c r="AG254" s="52" t="n">
        <f aca="false">AG209+AG229</f>
        <v>59.9024997847023</v>
      </c>
      <c r="AH254" s="52" t="n">
        <f aca="false">AH209+AH229</f>
        <v>56.1980752194985</v>
      </c>
      <c r="AI254" s="52" t="n">
        <f aca="false">AI209+AI229</f>
        <v>61.3520983294582</v>
      </c>
      <c r="AJ254" s="52" t="n">
        <f aca="false">AJ209+AJ229</f>
        <v>60.4607628047967</v>
      </c>
      <c r="AK254" s="52" t="n">
        <f aca="false">AK209+AK229</f>
        <v>56.1278142910828</v>
      </c>
      <c r="AL254" s="52" t="n">
        <f aca="false">AL209+AL229</f>
        <v>58.2472540884923</v>
      </c>
      <c r="AM254" s="53" t="n">
        <f aca="false">SUMIF($C$6:$AL$6,1,C254:AL254)</f>
        <v>59.8926497785223</v>
      </c>
      <c r="AN254" s="53" t="n">
        <f aca="false">SUMIF($C$6:$AL$6,2,C254:AL254)</f>
        <v>215.387398747065</v>
      </c>
      <c r="AO254" s="53" t="n">
        <f aca="false">SUMIF($C$6:$AL$6,3,C254:AL254)</f>
        <v>617.113889235957</v>
      </c>
      <c r="AP254" s="53" t="n">
        <f aca="false">SUM(C254:AL254)</f>
        <v>892.393937761544</v>
      </c>
    </row>
    <row r="255" customFormat="false" ht="15" hidden="false" customHeight="false" outlineLevel="0" collapsed="false">
      <c r="A255" s="7" t="s">
        <v>798</v>
      </c>
      <c r="B255" s="9" t="s">
        <v>342</v>
      </c>
      <c r="C255" s="52" t="n">
        <f aca="false">C254</f>
        <v>-0</v>
      </c>
      <c r="D255" s="52" t="n">
        <f aca="false">D254+C255</f>
        <v>-0</v>
      </c>
      <c r="E255" s="52" t="n">
        <f aca="false">E254+D255</f>
        <v>-0</v>
      </c>
      <c r="F255" s="52" t="n">
        <f aca="false">F254+E255</f>
        <v>0</v>
      </c>
      <c r="G255" s="52" t="n">
        <f aca="false">G254+F255</f>
        <v>1.35</v>
      </c>
      <c r="H255" s="52" t="n">
        <f aca="false">H254+G255</f>
        <v>4.53</v>
      </c>
      <c r="I255" s="52" t="n">
        <f aca="false">I254+H255</f>
        <v>9.83901</v>
      </c>
      <c r="J255" s="52" t="n">
        <f aca="false">J254+I255</f>
        <v>16.6278012</v>
      </c>
      <c r="K255" s="52" t="n">
        <f aca="false">K254+J255</f>
        <v>26.0963784</v>
      </c>
      <c r="L255" s="52" t="n">
        <f aca="false">L254+K255</f>
        <v>37.53820708848</v>
      </c>
      <c r="M255" s="52" t="n">
        <f aca="false">M254+L255</f>
        <v>48.3898782972384</v>
      </c>
      <c r="N255" s="52" t="n">
        <f aca="false">N254+M255</f>
        <v>59.8926497785223</v>
      </c>
      <c r="O255" s="52" t="n">
        <f aca="false">O254+N255</f>
        <v>73.2629300414735</v>
      </c>
      <c r="P255" s="52" t="n">
        <f aca="false">P254+O255</f>
        <v>92.2909499525366</v>
      </c>
      <c r="Q255" s="52" t="n">
        <f aca="false">Q254+P255</f>
        <v>112.841211456485</v>
      </c>
      <c r="R255" s="52" t="n">
        <f aca="false">R254+Q255</f>
        <v>132.630352163991</v>
      </c>
      <c r="S255" s="52" t="n">
        <f aca="false">S254+R255</f>
        <v>147.448460725771</v>
      </c>
      <c r="T255" s="52" t="n">
        <f aca="false">T254+S255</f>
        <v>164.571608397161</v>
      </c>
      <c r="U255" s="52" t="n">
        <f aca="false">U254+T255</f>
        <v>183.27008565432</v>
      </c>
      <c r="V255" s="52" t="n">
        <f aca="false">V254+U255</f>
        <v>200.864462349627</v>
      </c>
      <c r="W255" s="52" t="n">
        <f aca="false">W254+V255</f>
        <v>220.125674731858</v>
      </c>
      <c r="X255" s="52" t="n">
        <f aca="false">X254+W255</f>
        <v>239.155752565502</v>
      </c>
      <c r="Y255" s="52" t="n">
        <f aca="false">Y254+X255</f>
        <v>256.86374078123</v>
      </c>
      <c r="Z255" s="52" t="n">
        <f aca="false">Z254+Y255</f>
        <v>275.280048525587</v>
      </c>
      <c r="AA255" s="52" t="n">
        <f aca="false">AA254+Z255</f>
        <v>300.074639354154</v>
      </c>
      <c r="AB255" s="52" t="n">
        <f aca="false">AB254+AA255</f>
        <v>340.298668236975</v>
      </c>
      <c r="AC255" s="52" t="n">
        <f aca="false">AC254+AB255</f>
        <v>389.198897292086</v>
      </c>
      <c r="AD255" s="52" t="n">
        <f aca="false">AD254+AC255</f>
        <v>441.666696955247</v>
      </c>
      <c r="AE255" s="52" t="n">
        <f aca="false">AE254+AD255</f>
        <v>485.074965527872</v>
      </c>
      <c r="AF255" s="52" t="n">
        <f aca="false">AF254+AE255</f>
        <v>540.105433243513</v>
      </c>
      <c r="AG255" s="52" t="n">
        <f aca="false">AG254+AF255</f>
        <v>600.007933028216</v>
      </c>
      <c r="AH255" s="52" t="n">
        <f aca="false">AH254+AG255</f>
        <v>656.206008247714</v>
      </c>
      <c r="AI255" s="52" t="n">
        <f aca="false">AI254+AH255</f>
        <v>717.558106577172</v>
      </c>
      <c r="AJ255" s="52" t="n">
        <f aca="false">AJ254+AI255</f>
        <v>778.018869381969</v>
      </c>
      <c r="AK255" s="52" t="n">
        <f aca="false">AK254+AJ255</f>
        <v>834.146683673052</v>
      </c>
      <c r="AL255" s="52" t="n">
        <f aca="false">AL254+AK255</f>
        <v>892.393937761544</v>
      </c>
      <c r="AM255" s="53" t="n">
        <f aca="false">N255</f>
        <v>59.8926497785223</v>
      </c>
      <c r="AN255" s="53" t="n">
        <f aca="false">Z255</f>
        <v>275.280048525587</v>
      </c>
      <c r="AO255" s="53" t="n">
        <f aca="false">AL255</f>
        <v>892.393937761544</v>
      </c>
      <c r="AP255" s="53" t="n">
        <f aca="false">AL255</f>
        <v>892.393937761544</v>
      </c>
    </row>
    <row r="256" customFormat="false" ht="15" hidden="false" customHeight="false" outlineLevel="0" collapsed="false">
      <c r="A256" s="7" t="s">
        <v>799</v>
      </c>
      <c r="B256" s="9" t="s">
        <v>239</v>
      </c>
      <c r="C256" s="52" t="n">
        <f aca="false">IF($B$140=0,0,IF(C$4=$B$138,$B$140,IF(C$4&gt;$B$138,(INT(C255/$B$140)-INT(0/$B$140))*$B$140,0)))</f>
        <v>0</v>
      </c>
      <c r="D256" s="52" t="n">
        <f aca="false">IF($B$140=0,0,IF(D$4=$B$138,$B$140,IF(D$4&gt;$B$138,(INT(D255/$B$140)-INT(C255/$B$140))*$B$140,0)))</f>
        <v>0</v>
      </c>
      <c r="E256" s="52" t="n">
        <f aca="false">IF($B$140=0,0,IF(E$4=$B$138,$B$140,IF(E$4&gt;$B$138,(INT(E255/$B$140)-INT(D255/$B$140))*$B$140,0)))</f>
        <v>0</v>
      </c>
      <c r="F256" s="52" t="n">
        <f aca="false">IF($B$140=0,0,IF(F$4=$B$138,$B$140,IF(F$4&gt;$B$138,(INT(F255/$B$140)-INT(E255/$B$140))*$B$140,0)))</f>
        <v>0</v>
      </c>
      <c r="G256" s="52" t="n">
        <f aca="false">IF($B$140=0,0,IF(G$4=$B$138,$B$140,IF(G$4&gt;$B$138,(INT(G255/$B$140)-INT(F255/$B$140))*$B$140,0)))</f>
        <v>0</v>
      </c>
      <c r="H256" s="52" t="n">
        <f aca="false">IF($B$140=0,0,IF(H$4=$B$138,$B$140,IF(H$4&gt;$B$138,(INT(H255/$B$140)-INT(G255/$B$140))*$B$140,0)))</f>
        <v>0</v>
      </c>
      <c r="I256" s="52" t="n">
        <f aca="false">IF($B$140=0,0,IF(I$4=$B$138,$B$140,IF(I$4&gt;$B$138,(INT(I255/$B$140)-INT(H255/$B$140))*$B$140,0)))</f>
        <v>0</v>
      </c>
      <c r="J256" s="52" t="n">
        <f aca="false">IF($B$140=0,0,IF(J$4=$B$138,$B$140,IF(J$4&gt;$B$138,(INT(J255/$B$140)-INT(I255/$B$140))*$B$140,0)))</f>
        <v>1000</v>
      </c>
      <c r="K256" s="52" t="n">
        <f aca="false">IF($B$140=0,0,IF(K$4=$B$138,$B$140,IF(K$4&gt;$B$138,(INT(K255/$B$140)-INT(J255/$B$140))*$B$140,0)))</f>
        <v>0</v>
      </c>
      <c r="L256" s="52" t="n">
        <f aca="false">IF($B$140=0,0,IF(L$4=$B$138,$B$140,IF(L$4&gt;$B$138,(INT(L255/$B$140)-INT(K255/$B$140))*$B$140,0)))</f>
        <v>0</v>
      </c>
      <c r="M256" s="52" t="n">
        <f aca="false">IF($B$140=0,0,IF(M$4=$B$138,$B$140,IF(M$4&gt;$B$138,(INT(M255/$B$140)-INT(L255/$B$140))*$B$140,0)))</f>
        <v>0</v>
      </c>
      <c r="N256" s="52" t="n">
        <f aca="false">IF($B$140=0,0,IF(N$4=$B$138,$B$140,IF(N$4&gt;$B$138,(INT(N255/$B$140)-INT(M255/$B$140))*$B$140,0)))</f>
        <v>0</v>
      </c>
      <c r="O256" s="52" t="n">
        <f aca="false">IF($B$140=0,0,IF(O$4=$B$138,$B$140,IF(O$4&gt;$B$138,(INT(O255/$B$140)-INT(N255/$B$140))*$B$140,0)))</f>
        <v>0</v>
      </c>
      <c r="P256" s="52" t="n">
        <f aca="false">IF($B$140=0,0,IF(P$4=$B$138,$B$140,IF(P$4&gt;$B$138,(INT(P255/$B$140)-INT(O255/$B$140))*$B$140,0)))</f>
        <v>0</v>
      </c>
      <c r="Q256" s="52" t="n">
        <f aca="false">IF($B$140=0,0,IF(Q$4=$B$138,$B$140,IF(Q$4&gt;$B$138,(INT(Q255/$B$140)-INT(P255/$B$140))*$B$140,0)))</f>
        <v>0</v>
      </c>
      <c r="R256" s="52" t="n">
        <f aca="false">IF($B$140=0,0,IF(R$4=$B$138,$B$140,IF(R$4&gt;$B$138,(INT(R255/$B$140)-INT(Q255/$B$140))*$B$140,0)))</f>
        <v>0</v>
      </c>
      <c r="S256" s="52" t="n">
        <f aca="false">IF($B$140=0,0,IF(S$4=$B$138,$B$140,IF(S$4&gt;$B$138,(INT(S255/$B$140)-INT(R255/$B$140))*$B$140,0)))</f>
        <v>0</v>
      </c>
      <c r="T256" s="52" t="n">
        <f aca="false">IF($B$140=0,0,IF(T$4=$B$138,$B$140,IF(T$4&gt;$B$138,(INT(T255/$B$140)-INT(S255/$B$140))*$B$140,0)))</f>
        <v>0</v>
      </c>
      <c r="U256" s="52" t="n">
        <f aca="false">IF($B$140=0,0,IF(U$4=$B$138,$B$140,IF(U$4&gt;$B$138,(INT(U255/$B$140)-INT(T255/$B$140))*$B$140,0)))</f>
        <v>0</v>
      </c>
      <c r="V256" s="52" t="n">
        <f aca="false">IF($B$140=0,0,IF(V$4=$B$138,$B$140,IF(V$4&gt;$B$138,(INT(V255/$B$140)-INT(U255/$B$140))*$B$140,0)))</f>
        <v>0</v>
      </c>
      <c r="W256" s="52" t="n">
        <f aca="false">IF($B$140=0,0,IF(W$4=$B$138,$B$140,IF(W$4&gt;$B$138,(INT(W255/$B$140)-INT(V255/$B$140))*$B$140,0)))</f>
        <v>0</v>
      </c>
      <c r="X256" s="52" t="n">
        <f aca="false">IF($B$140=0,0,IF(X$4=$B$138,$B$140,IF(X$4&gt;$B$138,(INT(X255/$B$140)-INT(W255/$B$140))*$B$140,0)))</f>
        <v>0</v>
      </c>
      <c r="Y256" s="52" t="n">
        <f aca="false">IF($B$140=0,0,IF(Y$4=$B$138,$B$140,IF(Y$4&gt;$B$138,(INT(Y255/$B$140)-INT(X255/$B$140))*$B$140,0)))</f>
        <v>0</v>
      </c>
      <c r="Z256" s="52" t="n">
        <f aca="false">IF($B$140=0,0,IF(Z$4=$B$138,$B$140,IF(Z$4&gt;$B$138,(INT(Z255/$B$140)-INT(Y255/$B$140))*$B$140,0)))</f>
        <v>0</v>
      </c>
      <c r="AA256" s="52" t="n">
        <f aca="false">IF($B$140=0,0,IF(AA$4=$B$138,$B$140,IF(AA$4&gt;$B$138,(INT(AA255/$B$140)-INT(Z255/$B$140))*$B$140,0)))</f>
        <v>0</v>
      </c>
      <c r="AB256" s="52" t="n">
        <f aca="false">IF($B$140=0,0,IF(AB$4=$B$138,$B$140,IF(AB$4&gt;$B$138,(INT(AB255/$B$140)-INT(AA255/$B$140))*$B$140,0)))</f>
        <v>0</v>
      </c>
      <c r="AC256" s="52" t="n">
        <f aca="false">IF($B$140=0,0,IF(AC$4=$B$138,$B$140,IF(AC$4&gt;$B$138,(INT(AC255/$B$140)-INT(AB255/$B$140))*$B$140,0)))</f>
        <v>0</v>
      </c>
      <c r="AD256" s="52" t="n">
        <f aca="false">IF($B$140=0,0,IF(AD$4=$B$138,$B$140,IF(AD$4&gt;$B$138,(INT(AD255/$B$140)-INT(AC255/$B$140))*$B$140,0)))</f>
        <v>0</v>
      </c>
      <c r="AE256" s="52" t="n">
        <f aca="false">IF($B$140=0,0,IF(AE$4=$B$138,$B$140,IF(AE$4&gt;$B$138,(INT(AE255/$B$140)-INT(AD255/$B$140))*$B$140,0)))</f>
        <v>0</v>
      </c>
      <c r="AF256" s="52" t="n">
        <f aca="false">IF($B$140=0,0,IF(AF$4=$B$138,$B$140,IF(AF$4&gt;$B$138,(INT(AF255/$B$140)-INT(AE255/$B$140))*$B$140,0)))</f>
        <v>0</v>
      </c>
      <c r="AG256" s="52" t="n">
        <f aca="false">IF($B$140=0,0,IF(AG$4=$B$138,$B$140,IF(AG$4&gt;$B$138,(INT(AG255/$B$140)-INT(AF255/$B$140))*$B$140,0)))</f>
        <v>0</v>
      </c>
      <c r="AH256" s="52" t="n">
        <f aca="false">IF($B$140=0,0,IF(AH$4=$B$138,$B$140,IF(AH$4&gt;$B$138,(INT(AH255/$B$140)-INT(AG255/$B$140))*$B$140,0)))</f>
        <v>0</v>
      </c>
      <c r="AI256" s="52" t="n">
        <f aca="false">IF($B$140=0,0,IF(AI$4=$B$138,$B$140,IF(AI$4&gt;$B$138,(INT(AI255/$B$140)-INT(AH255/$B$140))*$B$140,0)))</f>
        <v>0</v>
      </c>
      <c r="AJ256" s="52" t="n">
        <f aca="false">IF($B$140=0,0,IF(AJ$4=$B$138,$B$140,IF(AJ$4&gt;$B$138,(INT(AJ255/$B$140)-INT(AI255/$B$140))*$B$140,0)))</f>
        <v>0</v>
      </c>
      <c r="AK256" s="52" t="n">
        <f aca="false">IF($B$140=0,0,IF(AK$4=$B$138,$B$140,IF(AK$4&gt;$B$138,(INT(AK255/$B$140)-INT(AJ255/$B$140))*$B$140,0)))</f>
        <v>0</v>
      </c>
      <c r="AL256" s="52" t="n">
        <f aca="false">IF($B$140=0,0,IF(AL$4=$B$138,$B$140,IF(AL$4&gt;$B$138,(INT(AL255/$B$140)-INT(AK255/$B$140))*$B$140,0)))</f>
        <v>0</v>
      </c>
      <c r="AM256" s="53" t="n">
        <f aca="false">SUMIF($C$6:$AL$6,1,C256:AL256)</f>
        <v>1000</v>
      </c>
      <c r="AN256" s="53" t="n">
        <f aca="false">SUMIF($C$6:$AL$6,2,C256:AL256)</f>
        <v>0</v>
      </c>
      <c r="AO256" s="53" t="n">
        <f aca="false">SUMIF($C$6:$AL$6,3,C256:AL256)</f>
        <v>0</v>
      </c>
      <c r="AP256" s="53" t="n">
        <f aca="false">SUM(C256:AL256)</f>
        <v>1000</v>
      </c>
    </row>
    <row r="257" customFormat="false" ht="15" hidden="false" customHeight="false" outlineLevel="0" collapsed="false">
      <c r="A257" s="7" t="s">
        <v>800</v>
      </c>
      <c r="B257" s="9" t="s">
        <v>101</v>
      </c>
      <c r="C257" s="8" t="n">
        <f aca="false">C256*Assumptions!$C$57</f>
        <v>0</v>
      </c>
      <c r="D257" s="8" t="n">
        <f aca="false">D256*Assumptions!$C$57</f>
        <v>0</v>
      </c>
      <c r="E257" s="8" t="n">
        <f aca="false">E256*Assumptions!$C$57</f>
        <v>0</v>
      </c>
      <c r="F257" s="8" t="n">
        <f aca="false">F256*Assumptions!$C$57</f>
        <v>0</v>
      </c>
      <c r="G257" s="8" t="n">
        <f aca="false">G256*Assumptions!$C$57</f>
        <v>0</v>
      </c>
      <c r="H257" s="8" t="n">
        <f aca="false">H256*Assumptions!$C$57</f>
        <v>0</v>
      </c>
      <c r="I257" s="8" t="n">
        <f aca="false">I256*Assumptions!$C$57</f>
        <v>0</v>
      </c>
      <c r="J257" s="8" t="n">
        <f aca="false">J256*Assumptions!$C$57</f>
        <v>3625</v>
      </c>
      <c r="K257" s="8" t="n">
        <f aca="false">K256*Assumptions!$C$57</f>
        <v>0</v>
      </c>
      <c r="L257" s="8" t="n">
        <f aca="false">L256*Assumptions!$C$57</f>
        <v>0</v>
      </c>
      <c r="M257" s="8" t="n">
        <f aca="false">M256*Assumptions!$C$57</f>
        <v>0</v>
      </c>
      <c r="N257" s="8" t="n">
        <f aca="false">N256*Assumptions!$C$57</f>
        <v>0</v>
      </c>
      <c r="O257" s="8" t="n">
        <f aca="false">O256*Assumptions!$C$57</f>
        <v>0</v>
      </c>
      <c r="P257" s="8" t="n">
        <f aca="false">P256*Assumptions!$C$57</f>
        <v>0</v>
      </c>
      <c r="Q257" s="8" t="n">
        <f aca="false">Q256*Assumptions!$C$57</f>
        <v>0</v>
      </c>
      <c r="R257" s="8" t="n">
        <f aca="false">R256*Assumptions!$C$57</f>
        <v>0</v>
      </c>
      <c r="S257" s="8" t="n">
        <f aca="false">S256*Assumptions!$C$57</f>
        <v>0</v>
      </c>
      <c r="T257" s="8" t="n">
        <f aca="false">T256*Assumptions!$C$57</f>
        <v>0</v>
      </c>
      <c r="U257" s="8" t="n">
        <f aca="false">U256*Assumptions!$C$57</f>
        <v>0</v>
      </c>
      <c r="V257" s="8" t="n">
        <f aca="false">V256*Assumptions!$C$57</f>
        <v>0</v>
      </c>
      <c r="W257" s="8" t="n">
        <f aca="false">W256*Assumptions!$C$57</f>
        <v>0</v>
      </c>
      <c r="X257" s="8" t="n">
        <f aca="false">X256*Assumptions!$C$57</f>
        <v>0</v>
      </c>
      <c r="Y257" s="8" t="n">
        <f aca="false">Y256*Assumptions!$C$57</f>
        <v>0</v>
      </c>
      <c r="Z257" s="8" t="n">
        <f aca="false">Z256*Assumptions!$C$57</f>
        <v>0</v>
      </c>
      <c r="AA257" s="8" t="n">
        <f aca="false">AA256*Assumptions!$C$57</f>
        <v>0</v>
      </c>
      <c r="AB257" s="8" t="n">
        <f aca="false">AB256*Assumptions!$C$57</f>
        <v>0</v>
      </c>
      <c r="AC257" s="8" t="n">
        <f aca="false">AC256*Assumptions!$C$57</f>
        <v>0</v>
      </c>
      <c r="AD257" s="8" t="n">
        <f aca="false">AD256*Assumptions!$C$57</f>
        <v>0</v>
      </c>
      <c r="AE257" s="8" t="n">
        <f aca="false">AE256*Assumptions!$C$57</f>
        <v>0</v>
      </c>
      <c r="AF257" s="8" t="n">
        <f aca="false">AF256*Assumptions!$C$57</f>
        <v>0</v>
      </c>
      <c r="AG257" s="8" t="n">
        <f aca="false">AG256*Assumptions!$C$57</f>
        <v>0</v>
      </c>
      <c r="AH257" s="8" t="n">
        <f aca="false">AH256*Assumptions!$C$57</f>
        <v>0</v>
      </c>
      <c r="AI257" s="8" t="n">
        <f aca="false">AI256*Assumptions!$C$57</f>
        <v>0</v>
      </c>
      <c r="AJ257" s="8" t="n">
        <f aca="false">AJ256*Assumptions!$C$57</f>
        <v>0</v>
      </c>
      <c r="AK257" s="8" t="n">
        <f aca="false">AK256*Assumptions!$C$57</f>
        <v>0</v>
      </c>
      <c r="AL257" s="8" t="n">
        <f aca="false">AL256*Assumptions!$C$57</f>
        <v>0</v>
      </c>
      <c r="AM257" s="45" t="n">
        <f aca="false">SUMIF($C$6:$AL$6,1,C257:AL257)</f>
        <v>3625</v>
      </c>
      <c r="AN257" s="45" t="n">
        <f aca="false">SUMIF($C$6:$AL$6,2,C257:AL257)</f>
        <v>0</v>
      </c>
      <c r="AO257" s="45" t="n">
        <f aca="false">SUMIF($C$6:$AL$6,3,C257:AL257)</f>
        <v>0</v>
      </c>
      <c r="AP257" s="45" t="n">
        <f aca="false">SUM(C257:AL257)</f>
        <v>3625</v>
      </c>
    </row>
    <row r="258" customFormat="false" ht="15" hidden="false" customHeight="false" outlineLevel="0" collapsed="false">
      <c r="A258" s="7" t="s">
        <v>801</v>
      </c>
      <c r="B258" s="9" t="s">
        <v>239</v>
      </c>
      <c r="C258" s="52" t="n">
        <f aca="false">C256</f>
        <v>0</v>
      </c>
      <c r="D258" s="52" t="n">
        <f aca="false">D256+C258</f>
        <v>0</v>
      </c>
      <c r="E258" s="52" t="n">
        <f aca="false">E256+D258</f>
        <v>0</v>
      </c>
      <c r="F258" s="52" t="n">
        <f aca="false">F256+E258</f>
        <v>0</v>
      </c>
      <c r="G258" s="52" t="n">
        <f aca="false">G256+F258</f>
        <v>0</v>
      </c>
      <c r="H258" s="52" t="n">
        <f aca="false">H256+G258</f>
        <v>0</v>
      </c>
      <c r="I258" s="52" t="n">
        <f aca="false">I256+H258</f>
        <v>0</v>
      </c>
      <c r="J258" s="52" t="n">
        <f aca="false">J256+I258</f>
        <v>1000</v>
      </c>
      <c r="K258" s="52" t="n">
        <f aca="false">K256+J258</f>
        <v>1000</v>
      </c>
      <c r="L258" s="52" t="n">
        <f aca="false">L256+K258</f>
        <v>1000</v>
      </c>
      <c r="M258" s="52" t="n">
        <f aca="false">M256+L258</f>
        <v>1000</v>
      </c>
      <c r="N258" s="52" t="n">
        <f aca="false">N256+M258</f>
        <v>1000</v>
      </c>
      <c r="O258" s="52" t="n">
        <f aca="false">O256+N258</f>
        <v>1000</v>
      </c>
      <c r="P258" s="52" t="n">
        <f aca="false">P256+O258</f>
        <v>1000</v>
      </c>
      <c r="Q258" s="52" t="n">
        <f aca="false">Q256+P258</f>
        <v>1000</v>
      </c>
      <c r="R258" s="52" t="n">
        <f aca="false">R256+Q258</f>
        <v>1000</v>
      </c>
      <c r="S258" s="52" t="n">
        <f aca="false">S256+R258</f>
        <v>1000</v>
      </c>
      <c r="T258" s="52" t="n">
        <f aca="false">T256+S258</f>
        <v>1000</v>
      </c>
      <c r="U258" s="52" t="n">
        <f aca="false">U256+T258</f>
        <v>1000</v>
      </c>
      <c r="V258" s="52" t="n">
        <f aca="false">V256+U258</f>
        <v>1000</v>
      </c>
      <c r="W258" s="52" t="n">
        <f aca="false">W256+V258</f>
        <v>1000</v>
      </c>
      <c r="X258" s="52" t="n">
        <f aca="false">X256+W258</f>
        <v>1000</v>
      </c>
      <c r="Y258" s="52" t="n">
        <f aca="false">Y256+X258</f>
        <v>1000</v>
      </c>
      <c r="Z258" s="52" t="n">
        <f aca="false">Z256+Y258</f>
        <v>1000</v>
      </c>
      <c r="AA258" s="52" t="n">
        <f aca="false">AA256+Z258</f>
        <v>1000</v>
      </c>
      <c r="AB258" s="52" t="n">
        <f aca="false">AB256+AA258</f>
        <v>1000</v>
      </c>
      <c r="AC258" s="52" t="n">
        <f aca="false">AC256+AB258</f>
        <v>1000</v>
      </c>
      <c r="AD258" s="52" t="n">
        <f aca="false">AD256+AC258</f>
        <v>1000</v>
      </c>
      <c r="AE258" s="52" t="n">
        <f aca="false">AE256+AD258</f>
        <v>1000</v>
      </c>
      <c r="AF258" s="52" t="n">
        <f aca="false">AF256+AE258</f>
        <v>1000</v>
      </c>
      <c r="AG258" s="52" t="n">
        <f aca="false">AG256+AF258</f>
        <v>1000</v>
      </c>
      <c r="AH258" s="52" t="n">
        <f aca="false">AH256+AG258</f>
        <v>1000</v>
      </c>
      <c r="AI258" s="52" t="n">
        <f aca="false">AI256+AH258</f>
        <v>1000</v>
      </c>
      <c r="AJ258" s="52" t="n">
        <f aca="false">AJ256+AI258</f>
        <v>1000</v>
      </c>
      <c r="AK258" s="52" t="n">
        <f aca="false">AK256+AJ258</f>
        <v>1000</v>
      </c>
      <c r="AL258" s="52" t="n">
        <f aca="false">AL256+AK258</f>
        <v>1000</v>
      </c>
      <c r="AM258" s="53" t="n">
        <f aca="false">N258</f>
        <v>1000</v>
      </c>
      <c r="AN258" s="53" t="n">
        <f aca="false">Z258</f>
        <v>1000</v>
      </c>
      <c r="AO258" s="53" t="n">
        <f aca="false">AL258</f>
        <v>1000</v>
      </c>
      <c r="AP258" s="53" t="n">
        <f aca="false">AL258</f>
        <v>1000</v>
      </c>
    </row>
    <row r="259" customFormat="false" ht="15" hidden="false" customHeight="false" outlineLevel="0" collapsed="false">
      <c r="A259" s="7" t="s">
        <v>802</v>
      </c>
      <c r="B259" s="9" t="s">
        <v>239</v>
      </c>
      <c r="C259" s="52" t="n">
        <f aca="false">C258-C255</f>
        <v>0</v>
      </c>
      <c r="D259" s="52" t="n">
        <f aca="false">D258-D255</f>
        <v>0</v>
      </c>
      <c r="E259" s="52" t="n">
        <f aca="false">E258-E255</f>
        <v>0</v>
      </c>
      <c r="F259" s="52" t="n">
        <f aca="false">F258-F255</f>
        <v>0</v>
      </c>
      <c r="G259" s="52" t="n">
        <f aca="false">G258-G255</f>
        <v>-1.35</v>
      </c>
      <c r="H259" s="52" t="n">
        <f aca="false">H258-H255</f>
        <v>-4.53</v>
      </c>
      <c r="I259" s="52" t="n">
        <f aca="false">I258-I255</f>
        <v>-9.83901</v>
      </c>
      <c r="J259" s="52" t="n">
        <f aca="false">J258-J255</f>
        <v>983.3721988</v>
      </c>
      <c r="K259" s="52" t="n">
        <f aca="false">K258-K255</f>
        <v>973.9036216</v>
      </c>
      <c r="L259" s="52" t="n">
        <f aca="false">L258-L255</f>
        <v>962.46179291152</v>
      </c>
      <c r="M259" s="52" t="n">
        <f aca="false">M258-M255</f>
        <v>951.610121702762</v>
      </c>
      <c r="N259" s="52" t="n">
        <f aca="false">N258-N255</f>
        <v>940.107350221478</v>
      </c>
      <c r="O259" s="52" t="n">
        <f aca="false">O258-O255</f>
        <v>926.737069958527</v>
      </c>
      <c r="P259" s="52" t="n">
        <f aca="false">P258-P255</f>
        <v>907.709050047463</v>
      </c>
      <c r="Q259" s="52" t="n">
        <f aca="false">Q258-Q255</f>
        <v>887.158788543515</v>
      </c>
      <c r="R259" s="52" t="n">
        <f aca="false">R258-R255</f>
        <v>867.369647836009</v>
      </c>
      <c r="S259" s="52" t="n">
        <f aca="false">S258-S255</f>
        <v>852.551539274229</v>
      </c>
      <c r="T259" s="52" t="n">
        <f aca="false">T258-T255</f>
        <v>835.428391602839</v>
      </c>
      <c r="U259" s="52" t="n">
        <f aca="false">U258-U255</f>
        <v>816.72991434568</v>
      </c>
      <c r="V259" s="52" t="n">
        <f aca="false">V258-V255</f>
        <v>799.135537650373</v>
      </c>
      <c r="W259" s="52" t="n">
        <f aca="false">W258-W255</f>
        <v>779.874325268142</v>
      </c>
      <c r="X259" s="52" t="n">
        <f aca="false">X258-X255</f>
        <v>760.844247434498</v>
      </c>
      <c r="Y259" s="52" t="n">
        <f aca="false">Y258-Y255</f>
        <v>743.13625921877</v>
      </c>
      <c r="Z259" s="52" t="n">
        <f aca="false">Z258-Z255</f>
        <v>724.719951474413</v>
      </c>
      <c r="AA259" s="52" t="n">
        <f aca="false">AA258-AA255</f>
        <v>699.925360645846</v>
      </c>
      <c r="AB259" s="52" t="n">
        <f aca="false">AB258-AB255</f>
        <v>659.701331763025</v>
      </c>
      <c r="AC259" s="52" t="n">
        <f aca="false">AC258-AC255</f>
        <v>610.801102707914</v>
      </c>
      <c r="AD259" s="52" t="n">
        <f aca="false">AD258-AD255</f>
        <v>558.333303044753</v>
      </c>
      <c r="AE259" s="52" t="n">
        <f aca="false">AE258-AE255</f>
        <v>514.925034472128</v>
      </c>
      <c r="AF259" s="52" t="n">
        <f aca="false">AF258-AF255</f>
        <v>459.894566756487</v>
      </c>
      <c r="AG259" s="52" t="n">
        <f aca="false">AG258-AG255</f>
        <v>399.992066971784</v>
      </c>
      <c r="AH259" s="52" t="n">
        <f aca="false">AH258-AH255</f>
        <v>343.793991752286</v>
      </c>
      <c r="AI259" s="52" t="n">
        <f aca="false">AI258-AI255</f>
        <v>282.441893422828</v>
      </c>
      <c r="AJ259" s="52" t="n">
        <f aca="false">AJ258-AJ255</f>
        <v>221.981130618031</v>
      </c>
      <c r="AK259" s="52" t="n">
        <f aca="false">AK258-AK255</f>
        <v>165.853316326948</v>
      </c>
      <c r="AL259" s="52" t="n">
        <f aca="false">AL258-AL255</f>
        <v>107.606062238456</v>
      </c>
      <c r="AM259" s="53" t="n">
        <f aca="false">N259</f>
        <v>940.107350221478</v>
      </c>
      <c r="AN259" s="53" t="n">
        <f aca="false">Z259</f>
        <v>724.719951474413</v>
      </c>
      <c r="AO259" s="53" t="n">
        <f aca="false">AL259</f>
        <v>107.606062238456</v>
      </c>
      <c r="AP259" s="53" t="n">
        <f aca="false">AL259</f>
        <v>107.606062238456</v>
      </c>
    </row>
    <row r="260" customFormat="false" ht="15" hidden="false" customHeight="false" outlineLevel="0" collapsed="false">
      <c r="A260" s="5" t="s">
        <v>803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</row>
    <row r="261" customFormat="false" ht="15" hidden="false" customHeight="false" outlineLevel="0" collapsed="false">
      <c r="A261" s="7" t="s">
        <v>804</v>
      </c>
      <c r="B261" s="9" t="s">
        <v>71</v>
      </c>
      <c r="C261" s="42" t="str">
        <f aca="false">IF(C248&gt;=0,C$4,"")</f>
        <v/>
      </c>
      <c r="D261" s="42" t="str">
        <f aca="false">IF(D248&gt;=0,D$4,"")</f>
        <v/>
      </c>
      <c r="E261" s="42" t="str">
        <f aca="false">IF(E248&gt;=0,E$4,"")</f>
        <v/>
      </c>
      <c r="F261" s="42" t="str">
        <f aca="false">IF(F248&gt;=0,F$4,"")</f>
        <v/>
      </c>
      <c r="G261" s="42" t="str">
        <f aca="false">IF(G248&gt;=0,G$4,"")</f>
        <v/>
      </c>
      <c r="H261" s="42" t="str">
        <f aca="false">IF(H248&gt;=0,H$4,"")</f>
        <v/>
      </c>
      <c r="I261" s="42" t="str">
        <f aca="false">IF(I248&gt;=0,I$4,"")</f>
        <v/>
      </c>
      <c r="J261" s="42" t="str">
        <f aca="false">IF(J248&gt;=0,J$4,"")</f>
        <v/>
      </c>
      <c r="K261" s="42" t="str">
        <f aca="false">IF(K248&gt;=0,K$4,"")</f>
        <v/>
      </c>
      <c r="L261" s="42" t="str">
        <f aca="false">IF(L248&gt;=0,L$4,"")</f>
        <v/>
      </c>
      <c r="M261" s="42" t="str">
        <f aca="false">IF(M248&gt;=0,M$4,"")</f>
        <v/>
      </c>
      <c r="N261" s="42" t="n">
        <f aca="false">IF(N248&gt;=0,N$4,"")</f>
        <v>12</v>
      </c>
      <c r="O261" s="42" t="str">
        <f aca="false">IF(O248&gt;=0,O$4,"")</f>
        <v/>
      </c>
      <c r="P261" s="42" t="n">
        <f aca="false">IF(P248&gt;=0,P$4,"")</f>
        <v>14</v>
      </c>
      <c r="Q261" s="42" t="n">
        <f aca="false">IF(Q248&gt;=0,Q$4,"")</f>
        <v>15</v>
      </c>
      <c r="R261" s="42" t="n">
        <f aca="false">IF(R248&gt;=0,R$4,"")</f>
        <v>16</v>
      </c>
      <c r="S261" s="42" t="n">
        <f aca="false">IF(S248&gt;=0,S$4,"")</f>
        <v>17</v>
      </c>
      <c r="T261" s="42" t="n">
        <f aca="false">IF(T248&gt;=0,T$4,"")</f>
        <v>18</v>
      </c>
      <c r="U261" s="42" t="str">
        <f aca="false">IF(U248&gt;=0,U$4,"")</f>
        <v/>
      </c>
      <c r="V261" s="42" t="n">
        <f aca="false">IF(V248&gt;=0,V$4,"")</f>
        <v>20</v>
      </c>
      <c r="W261" s="42" t="n">
        <f aca="false">IF(W248&gt;=0,W$4,"")</f>
        <v>21</v>
      </c>
      <c r="X261" s="42" t="n">
        <f aca="false">IF(X248&gt;=0,X$4,"")</f>
        <v>22</v>
      </c>
      <c r="Y261" s="42" t="n">
        <f aca="false">IF(Y248&gt;=0,Y$4,"")</f>
        <v>23</v>
      </c>
      <c r="Z261" s="42" t="n">
        <f aca="false">IF(Z248&gt;=0,Z$4,"")</f>
        <v>24</v>
      </c>
      <c r="AA261" s="42" t="n">
        <f aca="false">IF(AA248&gt;=0,AA$4,"")</f>
        <v>25</v>
      </c>
      <c r="AB261" s="42" t="n">
        <f aca="false">IF(AB248&gt;=0,AB$4,"")</f>
        <v>26</v>
      </c>
      <c r="AC261" s="42" t="n">
        <f aca="false">IF(AC248&gt;=0,AC$4,"")</f>
        <v>27</v>
      </c>
      <c r="AD261" s="42" t="n">
        <f aca="false">IF(AD248&gt;=0,AD$4,"")</f>
        <v>28</v>
      </c>
      <c r="AE261" s="42" t="n">
        <f aca="false">IF(AE248&gt;=0,AE$4,"")</f>
        <v>29</v>
      </c>
      <c r="AF261" s="42" t="n">
        <f aca="false">IF(AF248&gt;=0,AF$4,"")</f>
        <v>30</v>
      </c>
      <c r="AG261" s="42" t="n">
        <f aca="false">IF(AG248&gt;=0,AG$4,"")</f>
        <v>31</v>
      </c>
      <c r="AH261" s="42" t="n">
        <f aca="false">IF(AH248&gt;=0,AH$4,"")</f>
        <v>32</v>
      </c>
      <c r="AI261" s="42" t="n">
        <f aca="false">IF(AI248&gt;=0,AI$4,"")</f>
        <v>33</v>
      </c>
      <c r="AJ261" s="42" t="n">
        <f aca="false">IF(AJ248&gt;=0,AJ$4,"")</f>
        <v>34</v>
      </c>
      <c r="AK261" s="42" t="n">
        <f aca="false">IF(AK248&gt;=0,AK$4,"")</f>
        <v>35</v>
      </c>
      <c r="AL261" s="42" t="n">
        <f aca="false">IF(AL248&gt;=0,AL$4,"")</f>
        <v>36</v>
      </c>
    </row>
    <row r="262" customFormat="false" ht="15" hidden="false" customHeight="false" outlineLevel="0" collapsed="false">
      <c r="A262" s="7" t="s">
        <v>805</v>
      </c>
      <c r="B262" s="9" t="s">
        <v>71</v>
      </c>
      <c r="C262" s="42" t="str">
        <f aca="false">IF(COUNTIF(C248:$AL248,"&lt;0")=0,C$4,"")</f>
        <v/>
      </c>
      <c r="D262" s="42" t="str">
        <f aca="false">IF(COUNTIF(D248:$AL248,"&lt;0")=0,D$4,"")</f>
        <v/>
      </c>
      <c r="E262" s="42" t="str">
        <f aca="false">IF(COUNTIF(E248:$AL248,"&lt;0")=0,E$4,"")</f>
        <v/>
      </c>
      <c r="F262" s="42" t="str">
        <f aca="false">IF(COUNTIF(F248:$AL248,"&lt;0")=0,F$4,"")</f>
        <v/>
      </c>
      <c r="G262" s="42" t="str">
        <f aca="false">IF(COUNTIF(G248:$AL248,"&lt;0")=0,G$4,"")</f>
        <v/>
      </c>
      <c r="H262" s="42" t="str">
        <f aca="false">IF(COUNTIF(H248:$AL248,"&lt;0")=0,H$4,"")</f>
        <v/>
      </c>
      <c r="I262" s="42" t="str">
        <f aca="false">IF(COUNTIF(I248:$AL248,"&lt;0")=0,I$4,"")</f>
        <v/>
      </c>
      <c r="J262" s="42" t="str">
        <f aca="false">IF(COUNTIF(J248:$AL248,"&lt;0")=0,J$4,"")</f>
        <v/>
      </c>
      <c r="K262" s="42" t="str">
        <f aca="false">IF(COUNTIF(K248:$AL248,"&lt;0")=0,K$4,"")</f>
        <v/>
      </c>
      <c r="L262" s="42" t="str">
        <f aca="false">IF(COUNTIF(L248:$AL248,"&lt;0")=0,L$4,"")</f>
        <v/>
      </c>
      <c r="M262" s="42" t="str">
        <f aca="false">IF(COUNTIF(M248:$AL248,"&lt;0")=0,M$4,"")</f>
        <v/>
      </c>
      <c r="N262" s="42" t="str">
        <f aca="false">IF(COUNTIF(N248:$AL248,"&lt;0")=0,N$4,"")</f>
        <v/>
      </c>
      <c r="O262" s="42" t="str">
        <f aca="false">IF(COUNTIF(O248:$AL248,"&lt;0")=0,O$4,"")</f>
        <v/>
      </c>
      <c r="P262" s="42" t="str">
        <f aca="false">IF(COUNTIF(P248:$AL248,"&lt;0")=0,P$4,"")</f>
        <v/>
      </c>
      <c r="Q262" s="42" t="str">
        <f aca="false">IF(COUNTIF(Q248:$AL248,"&lt;0")=0,Q$4,"")</f>
        <v/>
      </c>
      <c r="R262" s="42" t="str">
        <f aca="false">IF(COUNTIF(R248:$AL248,"&lt;0")=0,R$4,"")</f>
        <v/>
      </c>
      <c r="S262" s="42" t="str">
        <f aca="false">IF(COUNTIF(S248:$AL248,"&lt;0")=0,S$4,"")</f>
        <v/>
      </c>
      <c r="T262" s="42" t="str">
        <f aca="false">IF(COUNTIF(T248:$AL248,"&lt;0")=0,T$4,"")</f>
        <v/>
      </c>
      <c r="U262" s="42" t="str">
        <f aca="false">IF(COUNTIF(U248:$AL248,"&lt;0")=0,U$4,"")</f>
        <v/>
      </c>
      <c r="V262" s="42" t="n">
        <f aca="false">IF(COUNTIF(V248:$AL248,"&lt;0")=0,V$4,"")</f>
        <v>20</v>
      </c>
      <c r="W262" s="42" t="n">
        <f aca="false">IF(COUNTIF(W248:$AL248,"&lt;0")=0,W$4,"")</f>
        <v>21</v>
      </c>
      <c r="X262" s="42" t="n">
        <f aca="false">IF(COUNTIF(X248:$AL248,"&lt;0")=0,X$4,"")</f>
        <v>22</v>
      </c>
      <c r="Y262" s="42" t="n">
        <f aca="false">IF(COUNTIF(Y248:$AL248,"&lt;0")=0,Y$4,"")</f>
        <v>23</v>
      </c>
      <c r="Z262" s="42" t="n">
        <f aca="false">IF(COUNTIF(Z248:$AL248,"&lt;0")=0,Z$4,"")</f>
        <v>24</v>
      </c>
      <c r="AA262" s="42" t="n">
        <f aca="false">IF(COUNTIF(AA248:$AL248,"&lt;0")=0,AA$4,"")</f>
        <v>25</v>
      </c>
      <c r="AB262" s="42" t="n">
        <f aca="false">IF(COUNTIF(AB248:$AL248,"&lt;0")=0,AB$4,"")</f>
        <v>26</v>
      </c>
      <c r="AC262" s="42" t="n">
        <f aca="false">IF(COUNTIF(AC248:$AL248,"&lt;0")=0,AC$4,"")</f>
        <v>27</v>
      </c>
      <c r="AD262" s="42" t="n">
        <f aca="false">IF(COUNTIF(AD248:$AL248,"&lt;0")=0,AD$4,"")</f>
        <v>28</v>
      </c>
      <c r="AE262" s="42" t="n">
        <f aca="false">IF(COUNTIF(AE248:$AL248,"&lt;0")=0,AE$4,"")</f>
        <v>29</v>
      </c>
      <c r="AF262" s="42" t="n">
        <f aca="false">IF(COUNTIF(AF248:$AL248,"&lt;0")=0,AF$4,"")</f>
        <v>30</v>
      </c>
      <c r="AG262" s="42" t="n">
        <f aca="false">IF(COUNTIF(AG248:$AL248,"&lt;0")=0,AG$4,"")</f>
        <v>31</v>
      </c>
      <c r="AH262" s="42" t="n">
        <f aca="false">IF(COUNTIF(AH248:$AL248,"&lt;0")=0,AH$4,"")</f>
        <v>32</v>
      </c>
      <c r="AI262" s="42" t="n">
        <f aca="false">IF(COUNTIF(AI248:$AL248,"&lt;0")=0,AI$4,"")</f>
        <v>33</v>
      </c>
      <c r="AJ262" s="42" t="n">
        <f aca="false">IF(COUNTIF(AJ248:$AL248,"&lt;0")=0,AJ$4,"")</f>
        <v>34</v>
      </c>
      <c r="AK262" s="42" t="n">
        <f aca="false">IF(COUNTIF(AK248:$AL248,"&lt;0")=0,AK$4,"")</f>
        <v>35</v>
      </c>
      <c r="AL262" s="42" t="n">
        <f aca="false">IF(COUNTIF(AL248:$AL248,"&lt;0")=0,AL$4,"")</f>
        <v>36</v>
      </c>
    </row>
    <row r="264" customFormat="false" ht="15" hidden="false" customHeight="false" outlineLevel="0" collapsed="false">
      <c r="A264" s="3" t="s">
        <v>807</v>
      </c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</row>
    <row r="265" customFormat="false" ht="15" hidden="false" customHeight="false" outlineLevel="0" collapsed="false">
      <c r="A265" s="7" t="s">
        <v>751</v>
      </c>
      <c r="B265" s="50" t="n">
        <f aca="false">IF(Assumptions!$E$146=1,Assumptions!$E$147+Assumptions!$C$64,0)</f>
        <v>8</v>
      </c>
    </row>
    <row r="266" customFormat="false" ht="15" hidden="false" customHeight="false" outlineLevel="0" collapsed="false">
      <c r="A266" s="7" t="s">
        <v>752</v>
      </c>
      <c r="B266" s="51" t="n">
        <f aca="false">IF($B$265=0,0,SUMPRODUCT(($C$4:$AL$4&gt;=Assumptions!$E$147)*($C$4:$AL$4&lt;$B$265)*($C$336:$AL$336)))</f>
        <v>21.317855</v>
      </c>
    </row>
    <row r="267" customFormat="false" ht="15" hidden="false" customHeight="false" outlineLevel="0" collapsed="false">
      <c r="A267" s="7" t="s">
        <v>753</v>
      </c>
      <c r="B267" s="51" t="n">
        <f aca="false">IF($B$265=0,0,MAX(Assumptions!$C$62,ROUNDUP($B$266*(1+Assumptions!$C$63)/100,0)*100))</f>
        <v>1000</v>
      </c>
    </row>
    <row r="268" customFormat="false" ht="15" hidden="false" customHeight="false" outlineLevel="0" collapsed="false">
      <c r="A268" s="7" t="s">
        <v>754</v>
      </c>
      <c r="B268" s="51" t="n">
        <f aca="false">IF($B$265=0,0,ROUNDUP((Assumptions!$C$62*Assumptions!$C$57+'Retail Readiness Costs'!$H$14)*(1+Assumptions!$C$65)/(Assumptions!$C$52*(1-Assumptions!$C$21)-Assumptions!$C$22-Assumptions!$C$58),0))</f>
        <v>718</v>
      </c>
    </row>
    <row r="270" customFormat="false" ht="15" hidden="false" customHeight="false" outlineLevel="0" collapsed="false">
      <c r="A270" s="5" t="s">
        <v>571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</row>
    <row r="271" customFormat="false" ht="15" hidden="false" customHeight="false" outlineLevel="0" collapsed="false">
      <c r="A271" s="7" t="s">
        <v>755</v>
      </c>
      <c r="B271" s="9" t="s">
        <v>319</v>
      </c>
      <c r="C271" s="38" t="n">
        <f aca="false">IF(AND(Assumptions!$E$98=1,C$4&gt;=Assumptions!$E$99),1,0)</f>
        <v>1</v>
      </c>
      <c r="D271" s="38" t="n">
        <f aca="false">IF(AND(Assumptions!$E$98=1,D$4&gt;=Assumptions!$E$99),1,0)</f>
        <v>1</v>
      </c>
      <c r="E271" s="38" t="n">
        <f aca="false">IF(AND(Assumptions!$E$98=1,E$4&gt;=Assumptions!$E$99),1,0)</f>
        <v>1</v>
      </c>
      <c r="F271" s="38" t="n">
        <f aca="false">IF(AND(Assumptions!$E$98=1,F$4&gt;=Assumptions!$E$99),1,0)</f>
        <v>1</v>
      </c>
      <c r="G271" s="38" t="n">
        <f aca="false">IF(AND(Assumptions!$E$98=1,G$4&gt;=Assumptions!$E$99),1,0)</f>
        <v>1</v>
      </c>
      <c r="H271" s="38" t="n">
        <f aca="false">IF(AND(Assumptions!$E$98=1,H$4&gt;=Assumptions!$E$99),1,0)</f>
        <v>1</v>
      </c>
      <c r="I271" s="38" t="n">
        <f aca="false">IF(AND(Assumptions!$E$98=1,I$4&gt;=Assumptions!$E$99),1,0)</f>
        <v>1</v>
      </c>
      <c r="J271" s="38" t="n">
        <f aca="false">IF(AND(Assumptions!$E$98=1,J$4&gt;=Assumptions!$E$99),1,0)</f>
        <v>1</v>
      </c>
      <c r="K271" s="38" t="n">
        <f aca="false">IF(AND(Assumptions!$E$98=1,K$4&gt;=Assumptions!$E$99),1,0)</f>
        <v>1</v>
      </c>
      <c r="L271" s="38" t="n">
        <f aca="false">IF(AND(Assumptions!$E$98=1,L$4&gt;=Assumptions!$E$99),1,0)</f>
        <v>1</v>
      </c>
      <c r="M271" s="38" t="n">
        <f aca="false">IF(AND(Assumptions!$E$98=1,M$4&gt;=Assumptions!$E$99),1,0)</f>
        <v>1</v>
      </c>
      <c r="N271" s="38" t="n">
        <f aca="false">IF(AND(Assumptions!$E$98=1,N$4&gt;=Assumptions!$E$99),1,0)</f>
        <v>1</v>
      </c>
      <c r="O271" s="38" t="n">
        <f aca="false">IF(AND(Assumptions!$E$98=1,O$4&gt;=Assumptions!$E$99),1,0)</f>
        <v>1</v>
      </c>
      <c r="P271" s="38" t="n">
        <f aca="false">IF(AND(Assumptions!$E$98=1,P$4&gt;=Assumptions!$E$99),1,0)</f>
        <v>1</v>
      </c>
      <c r="Q271" s="38" t="n">
        <f aca="false">IF(AND(Assumptions!$E$98=1,Q$4&gt;=Assumptions!$E$99),1,0)</f>
        <v>1</v>
      </c>
      <c r="R271" s="38" t="n">
        <f aca="false">IF(AND(Assumptions!$E$98=1,R$4&gt;=Assumptions!$E$99),1,0)</f>
        <v>1</v>
      </c>
      <c r="S271" s="38" t="n">
        <f aca="false">IF(AND(Assumptions!$E$98=1,S$4&gt;=Assumptions!$E$99),1,0)</f>
        <v>1</v>
      </c>
      <c r="T271" s="38" t="n">
        <f aca="false">IF(AND(Assumptions!$E$98=1,T$4&gt;=Assumptions!$E$99),1,0)</f>
        <v>1</v>
      </c>
      <c r="U271" s="38" t="n">
        <f aca="false">IF(AND(Assumptions!$E$98=1,U$4&gt;=Assumptions!$E$99),1,0)</f>
        <v>1</v>
      </c>
      <c r="V271" s="38" t="n">
        <f aca="false">IF(AND(Assumptions!$E$98=1,V$4&gt;=Assumptions!$E$99),1,0)</f>
        <v>1</v>
      </c>
      <c r="W271" s="38" t="n">
        <f aca="false">IF(AND(Assumptions!$E$98=1,W$4&gt;=Assumptions!$E$99),1,0)</f>
        <v>1</v>
      </c>
      <c r="X271" s="38" t="n">
        <f aca="false">IF(AND(Assumptions!$E$98=1,X$4&gt;=Assumptions!$E$99),1,0)</f>
        <v>1</v>
      </c>
      <c r="Y271" s="38" t="n">
        <f aca="false">IF(AND(Assumptions!$E$98=1,Y$4&gt;=Assumptions!$E$99),1,0)</f>
        <v>1</v>
      </c>
      <c r="Z271" s="38" t="n">
        <f aca="false">IF(AND(Assumptions!$E$98=1,Z$4&gt;=Assumptions!$E$99),1,0)</f>
        <v>1</v>
      </c>
      <c r="AA271" s="38" t="n">
        <f aca="false">IF(AND(Assumptions!$E$98=1,AA$4&gt;=Assumptions!$E$99),1,0)</f>
        <v>1</v>
      </c>
      <c r="AB271" s="38" t="n">
        <f aca="false">IF(AND(Assumptions!$E$98=1,AB$4&gt;=Assumptions!$E$99),1,0)</f>
        <v>1</v>
      </c>
      <c r="AC271" s="38" t="n">
        <f aca="false">IF(AND(Assumptions!$E$98=1,AC$4&gt;=Assumptions!$E$99),1,0)</f>
        <v>1</v>
      </c>
      <c r="AD271" s="38" t="n">
        <f aca="false">IF(AND(Assumptions!$E$98=1,AD$4&gt;=Assumptions!$E$99),1,0)</f>
        <v>1</v>
      </c>
      <c r="AE271" s="38" t="n">
        <f aca="false">IF(AND(Assumptions!$E$98=1,AE$4&gt;=Assumptions!$E$99),1,0)</f>
        <v>1</v>
      </c>
      <c r="AF271" s="38" t="n">
        <f aca="false">IF(AND(Assumptions!$E$98=1,AF$4&gt;=Assumptions!$E$99),1,0)</f>
        <v>1</v>
      </c>
      <c r="AG271" s="38" t="n">
        <f aca="false">IF(AND(Assumptions!$E$98=1,AG$4&gt;=Assumptions!$E$99),1,0)</f>
        <v>1</v>
      </c>
      <c r="AH271" s="38" t="n">
        <f aca="false">IF(AND(Assumptions!$E$98=1,AH$4&gt;=Assumptions!$E$99),1,0)</f>
        <v>1</v>
      </c>
      <c r="AI271" s="38" t="n">
        <f aca="false">IF(AND(Assumptions!$E$98=1,AI$4&gt;=Assumptions!$E$99),1,0)</f>
        <v>1</v>
      </c>
      <c r="AJ271" s="38" t="n">
        <f aca="false">IF(AND(Assumptions!$E$98=1,AJ$4&gt;=Assumptions!$E$99),1,0)</f>
        <v>1</v>
      </c>
      <c r="AK271" s="38" t="n">
        <f aca="false">IF(AND(Assumptions!$E$98=1,AK$4&gt;=Assumptions!$E$99),1,0)</f>
        <v>1</v>
      </c>
      <c r="AL271" s="38" t="n">
        <f aca="false">IF(AND(Assumptions!$E$98=1,AL$4&gt;=Assumptions!$E$99),1,0)</f>
        <v>1</v>
      </c>
    </row>
    <row r="272" customFormat="false" ht="15" hidden="false" customHeight="false" outlineLevel="0" collapsed="false">
      <c r="A272" s="7" t="s">
        <v>756</v>
      </c>
      <c r="B272" s="9" t="s">
        <v>327</v>
      </c>
      <c r="C272" s="14" t="n">
        <f aca="false">IF(C271=0,0,Assumptions!$E$100)</f>
        <v>1000</v>
      </c>
      <c r="D272" s="14" t="n">
        <f aca="false">IF(D271=0,0,IF(D$4=Assumptions!$E$99,Assumptions!$E$100,C272*(1+CHOOSE(D$6,Assumptions!$E$101,Assumptions!$E$102,Assumptions!$E$103))))</f>
        <v>1120</v>
      </c>
      <c r="E272" s="14" t="n">
        <f aca="false">IF(E271=0,0,IF(E$4=Assumptions!$E$99,Assumptions!$E$100,D272*(1+CHOOSE(E$6,Assumptions!$E$101,Assumptions!$E$102,Assumptions!$E$103))))</f>
        <v>1254.4</v>
      </c>
      <c r="F272" s="14" t="n">
        <f aca="false">IF(F271=0,0,IF(F$4=Assumptions!$E$99,Assumptions!$E$100,E272*(1+CHOOSE(F$6,Assumptions!$E$101,Assumptions!$E$102,Assumptions!$E$103))))</f>
        <v>1404.928</v>
      </c>
      <c r="G272" s="14" t="n">
        <f aca="false">IF(G271=0,0,IF(G$4=Assumptions!$E$99,Assumptions!$E$100,F272*(1+CHOOSE(G$6,Assumptions!$E$101,Assumptions!$E$102,Assumptions!$E$103))))</f>
        <v>1573.51936</v>
      </c>
      <c r="H272" s="14" t="n">
        <f aca="false">IF(H271=0,0,IF(H$4=Assumptions!$E$99,Assumptions!$E$100,G272*(1+CHOOSE(H$6,Assumptions!$E$101,Assumptions!$E$102,Assumptions!$E$103))))</f>
        <v>1762.3416832</v>
      </c>
      <c r="I272" s="14" t="n">
        <f aca="false">IF(I271=0,0,IF(I$4=Assumptions!$E$99,Assumptions!$E$100,H272*(1+CHOOSE(I$6,Assumptions!$E$101,Assumptions!$E$102,Assumptions!$E$103))))</f>
        <v>1973.822685184</v>
      </c>
      <c r="J272" s="14" t="n">
        <f aca="false">IF(J271=0,0,IF(J$4=Assumptions!$E$99,Assumptions!$E$100,I272*(1+CHOOSE(J$6,Assumptions!$E$101,Assumptions!$E$102,Assumptions!$E$103))))</f>
        <v>2210.68140740608</v>
      </c>
      <c r="K272" s="14" t="n">
        <f aca="false">IF(K271=0,0,IF(K$4=Assumptions!$E$99,Assumptions!$E$100,J272*(1+CHOOSE(K$6,Assumptions!$E$101,Assumptions!$E$102,Assumptions!$E$103))))</f>
        <v>2475.96317629481</v>
      </c>
      <c r="L272" s="14" t="n">
        <f aca="false">IF(L271=0,0,IF(L$4=Assumptions!$E$99,Assumptions!$E$100,K272*(1+CHOOSE(L$6,Assumptions!$E$101,Assumptions!$E$102,Assumptions!$E$103))))</f>
        <v>2773.07875745019</v>
      </c>
      <c r="M272" s="14" t="n">
        <f aca="false">IF(M271=0,0,IF(M$4=Assumptions!$E$99,Assumptions!$E$100,L272*(1+CHOOSE(M$6,Assumptions!$E$101,Assumptions!$E$102,Assumptions!$E$103))))</f>
        <v>3105.84820834421</v>
      </c>
      <c r="N272" s="14" t="n">
        <f aca="false">IF(N271=0,0,IF(N$4=Assumptions!$E$99,Assumptions!$E$100,M272*(1+CHOOSE(N$6,Assumptions!$E$101,Assumptions!$E$102,Assumptions!$E$103))))</f>
        <v>3478.54999334552</v>
      </c>
      <c r="O272" s="14" t="n">
        <f aca="false">IF(O271=0,0,IF(O$4=Assumptions!$E$99,Assumptions!$E$100,N272*(1+CHOOSE(O$6,Assumptions!$E$101,Assumptions!$E$102,Assumptions!$E$103))))</f>
        <v>3722.0484928797</v>
      </c>
      <c r="P272" s="14" t="n">
        <f aca="false">IF(P271=0,0,IF(P$4=Assumptions!$E$99,Assumptions!$E$100,O272*(1+CHOOSE(P$6,Assumptions!$E$101,Assumptions!$E$102,Assumptions!$E$103))))</f>
        <v>3982.59188738128</v>
      </c>
      <c r="Q272" s="14" t="n">
        <f aca="false">IF(Q271=0,0,IF(Q$4=Assumptions!$E$99,Assumptions!$E$100,P272*(1+CHOOSE(Q$6,Assumptions!$E$101,Assumptions!$E$102,Assumptions!$E$103))))</f>
        <v>4261.37331949797</v>
      </c>
      <c r="R272" s="14" t="n">
        <f aca="false">IF(R271=0,0,IF(R$4=Assumptions!$E$99,Assumptions!$E$100,Q272*(1+CHOOSE(R$6,Assumptions!$E$101,Assumptions!$E$102,Assumptions!$E$103))))</f>
        <v>4559.66945186283</v>
      </c>
      <c r="S272" s="14" t="n">
        <f aca="false">IF(S271=0,0,IF(S$4=Assumptions!$E$99,Assumptions!$E$100,R272*(1+CHOOSE(S$6,Assumptions!$E$101,Assumptions!$E$102,Assumptions!$E$103))))</f>
        <v>4878.84631349323</v>
      </c>
      <c r="T272" s="14" t="n">
        <f aca="false">IF(T271=0,0,IF(T$4=Assumptions!$E$99,Assumptions!$E$100,S272*(1+CHOOSE(T$6,Assumptions!$E$101,Assumptions!$E$102,Assumptions!$E$103))))</f>
        <v>5220.36555543776</v>
      </c>
      <c r="U272" s="14" t="n">
        <f aca="false">IF(U271=0,0,IF(U$4=Assumptions!$E$99,Assumptions!$E$100,T272*(1+CHOOSE(U$6,Assumptions!$E$101,Assumptions!$E$102,Assumptions!$E$103))))</f>
        <v>5585.7911443184</v>
      </c>
      <c r="V272" s="14" t="n">
        <f aca="false">IF(V271=0,0,IF(V$4=Assumptions!$E$99,Assumptions!$E$100,U272*(1+CHOOSE(V$6,Assumptions!$E$101,Assumptions!$E$102,Assumptions!$E$103))))</f>
        <v>5976.79652442069</v>
      </c>
      <c r="W272" s="14" t="n">
        <f aca="false">IF(W271=0,0,IF(W$4=Assumptions!$E$99,Assumptions!$E$100,V272*(1+CHOOSE(W$6,Assumptions!$E$101,Assumptions!$E$102,Assumptions!$E$103))))</f>
        <v>6395.17228113014</v>
      </c>
      <c r="X272" s="14" t="n">
        <f aca="false">IF(X271=0,0,IF(X$4=Assumptions!$E$99,Assumptions!$E$100,W272*(1+CHOOSE(X$6,Assumptions!$E$101,Assumptions!$E$102,Assumptions!$E$103))))</f>
        <v>6842.83434080925</v>
      </c>
      <c r="Y272" s="14" t="n">
        <f aca="false">IF(Y271=0,0,IF(Y$4=Assumptions!$E$99,Assumptions!$E$100,X272*(1+CHOOSE(Y$6,Assumptions!$E$101,Assumptions!$E$102,Assumptions!$E$103))))</f>
        <v>7321.8327446659</v>
      </c>
      <c r="Z272" s="14" t="n">
        <f aca="false">IF(Z271=0,0,IF(Z$4=Assumptions!$E$99,Assumptions!$E$100,Y272*(1+CHOOSE(Z$6,Assumptions!$E$101,Assumptions!$E$102,Assumptions!$E$103))))</f>
        <v>7834.36103679251</v>
      </c>
      <c r="AA272" s="14" t="n">
        <f aca="false">IF(AA271=0,0,IF(AA$4=Assumptions!$E$99,Assumptions!$E$100,Z272*(1+CHOOSE(AA$6,Assumptions!$E$101,Assumptions!$E$102,Assumptions!$E$103))))</f>
        <v>8147.73547826421</v>
      </c>
      <c r="AB272" s="14" t="n">
        <f aca="false">IF(AB271=0,0,IF(AB$4=Assumptions!$E$99,Assumptions!$E$100,AA272*(1+CHOOSE(AB$6,Assumptions!$E$101,Assumptions!$E$102,Assumptions!$E$103))))</f>
        <v>8473.64489739478</v>
      </c>
      <c r="AC272" s="14" t="n">
        <f aca="false">IF(AC271=0,0,IF(AC$4=Assumptions!$E$99,Assumptions!$E$100,AB272*(1+CHOOSE(AC$6,Assumptions!$E$101,Assumptions!$E$102,Assumptions!$E$103))))</f>
        <v>8812.59069329057</v>
      </c>
      <c r="AD272" s="14" t="n">
        <f aca="false">IF(AD271=0,0,IF(AD$4=Assumptions!$E$99,Assumptions!$E$100,AC272*(1+CHOOSE(AD$6,Assumptions!$E$101,Assumptions!$E$102,Assumptions!$E$103))))</f>
        <v>9165.09432102219</v>
      </c>
      <c r="AE272" s="14" t="n">
        <f aca="false">IF(AE271=0,0,IF(AE$4=Assumptions!$E$99,Assumptions!$E$100,AD272*(1+CHOOSE(AE$6,Assumptions!$E$101,Assumptions!$E$102,Assumptions!$E$103))))</f>
        <v>9531.69809386308</v>
      </c>
      <c r="AF272" s="14" t="n">
        <f aca="false">IF(AF271=0,0,IF(AF$4=Assumptions!$E$99,Assumptions!$E$100,AE272*(1+CHOOSE(AF$6,Assumptions!$E$101,Assumptions!$E$102,Assumptions!$E$103))))</f>
        <v>9912.96601761761</v>
      </c>
      <c r="AG272" s="14" t="n">
        <f aca="false">IF(AG271=0,0,IF(AG$4=Assumptions!$E$99,Assumptions!$E$100,AF272*(1+CHOOSE(AG$6,Assumptions!$E$101,Assumptions!$E$102,Assumptions!$E$103))))</f>
        <v>10309.4846583223</v>
      </c>
      <c r="AH272" s="14" t="n">
        <f aca="false">IF(AH271=0,0,IF(AH$4=Assumptions!$E$99,Assumptions!$E$100,AG272*(1+CHOOSE(AH$6,Assumptions!$E$101,Assumptions!$E$102,Assumptions!$E$103))))</f>
        <v>10721.8640446552</v>
      </c>
      <c r="AI272" s="14" t="n">
        <f aca="false">IF(AI271=0,0,IF(AI$4=Assumptions!$E$99,Assumptions!$E$100,AH272*(1+CHOOSE(AI$6,Assumptions!$E$101,Assumptions!$E$102,Assumptions!$E$103))))</f>
        <v>11150.7386064414</v>
      </c>
      <c r="AJ272" s="14" t="n">
        <f aca="false">IF(AJ271=0,0,IF(AJ$4=Assumptions!$E$99,Assumptions!$E$100,AI272*(1+CHOOSE(AJ$6,Assumptions!$E$101,Assumptions!$E$102,Assumptions!$E$103))))</f>
        <v>11596.7681506991</v>
      </c>
      <c r="AK272" s="14" t="n">
        <f aca="false">IF(AK271=0,0,IF(AK$4=Assumptions!$E$99,Assumptions!$E$100,AJ272*(1+CHOOSE(AK$6,Assumptions!$E$101,Assumptions!$E$102,Assumptions!$E$103))))</f>
        <v>12060.638876727</v>
      </c>
      <c r="AL272" s="14" t="n">
        <f aca="false">IF(AL271=0,0,IF(AL$4=Assumptions!$E$99,Assumptions!$E$100,AK272*(1+CHOOSE(AL$6,Assumptions!$E$101,Assumptions!$E$102,Assumptions!$E$103))))</f>
        <v>12543.0644317961</v>
      </c>
    </row>
    <row r="273" customFormat="false" ht="15" hidden="false" customHeight="false" outlineLevel="0" collapsed="false">
      <c r="A273" s="7" t="s">
        <v>757</v>
      </c>
      <c r="B273" s="9" t="s">
        <v>327</v>
      </c>
      <c r="C273" s="52" t="n">
        <f aca="false">C272*C$7</f>
        <v>950</v>
      </c>
      <c r="D273" s="52" t="n">
        <f aca="false">D272*D$7</f>
        <v>1456</v>
      </c>
      <c r="E273" s="52" t="n">
        <f aca="false">E272*E$7</f>
        <v>1693.44</v>
      </c>
      <c r="F273" s="52" t="n">
        <f aca="false">F272*F$7</f>
        <v>1756.16</v>
      </c>
      <c r="G273" s="52" t="n">
        <f aca="false">G272*G$7</f>
        <v>1416.167424</v>
      </c>
      <c r="H273" s="52" t="n">
        <f aca="false">H272*H$7</f>
        <v>1762.3416832</v>
      </c>
      <c r="I273" s="52" t="n">
        <f aca="false">I272*I$7</f>
        <v>2072.5138194432</v>
      </c>
      <c r="J273" s="52" t="n">
        <f aca="false">J272*J$7</f>
        <v>2100.14733703578</v>
      </c>
      <c r="K273" s="52" t="n">
        <f aca="false">K272*K$7</f>
        <v>2475.96317629481</v>
      </c>
      <c r="L273" s="52" t="n">
        <f aca="false">L272*L$7</f>
        <v>2634.42481957768</v>
      </c>
      <c r="M273" s="52" t="n">
        <f aca="false">M272*M$7</f>
        <v>2639.97097709258</v>
      </c>
      <c r="N273" s="52" t="n">
        <f aca="false">N272*N$7</f>
        <v>2956.76749434369</v>
      </c>
      <c r="O273" s="52" t="n">
        <f aca="false">O272*O$7</f>
        <v>3535.94606823572</v>
      </c>
      <c r="P273" s="52" t="n">
        <f aca="false">P272*P$7</f>
        <v>5177.36945359567</v>
      </c>
      <c r="Q273" s="52" t="n">
        <f aca="false">Q272*Q$7</f>
        <v>5752.85398132226</v>
      </c>
      <c r="R273" s="52" t="n">
        <f aca="false">R272*R$7</f>
        <v>5699.58681482854</v>
      </c>
      <c r="S273" s="52" t="n">
        <f aca="false">S272*S$7</f>
        <v>4390.96168214391</v>
      </c>
      <c r="T273" s="52" t="n">
        <f aca="false">T272*T$7</f>
        <v>5220.36555543776</v>
      </c>
      <c r="U273" s="52" t="n">
        <f aca="false">U272*U$7</f>
        <v>5865.08070153432</v>
      </c>
      <c r="V273" s="52" t="n">
        <f aca="false">V272*V$7</f>
        <v>5677.95669819966</v>
      </c>
      <c r="W273" s="52" t="n">
        <f aca="false">W272*W$7</f>
        <v>6395.17228113014</v>
      </c>
      <c r="X273" s="52" t="n">
        <f aca="false">X272*X$7</f>
        <v>6500.69262376879</v>
      </c>
      <c r="Y273" s="52" t="n">
        <f aca="false">Y272*Y$7</f>
        <v>6223.55783296601</v>
      </c>
      <c r="Z273" s="52" t="n">
        <f aca="false">Z272*Z$7</f>
        <v>6659.20688127363</v>
      </c>
      <c r="AA273" s="52" t="n">
        <f aca="false">AA272*AA$7</f>
        <v>7740.348704351</v>
      </c>
      <c r="AB273" s="52" t="n">
        <f aca="false">AB272*AB$7</f>
        <v>11015.7383666132</v>
      </c>
      <c r="AC273" s="52" t="n">
        <f aca="false">AC272*AC$7</f>
        <v>11896.9974359423</v>
      </c>
      <c r="AD273" s="52" t="n">
        <f aca="false">AD272*AD$7</f>
        <v>11456.3679012777</v>
      </c>
      <c r="AE273" s="52" t="n">
        <f aca="false">AE272*AE$7</f>
        <v>8578.52828447677</v>
      </c>
      <c r="AF273" s="52" t="n">
        <f aca="false">AF272*AF$7</f>
        <v>9912.96601761761</v>
      </c>
      <c r="AG273" s="52" t="n">
        <f aca="false">AG272*AG$7</f>
        <v>10824.9588912384</v>
      </c>
      <c r="AH273" s="52" t="n">
        <f aca="false">AH272*AH$7</f>
        <v>10185.7708424224</v>
      </c>
      <c r="AI273" s="52" t="n">
        <f aca="false">AI272*AI$7</f>
        <v>11150.7386064414</v>
      </c>
      <c r="AJ273" s="52" t="n">
        <f aca="false">AJ272*AJ$7</f>
        <v>11016.9297431641</v>
      </c>
      <c r="AK273" s="52" t="n">
        <f aca="false">AK272*AK$7</f>
        <v>10251.543045218</v>
      </c>
      <c r="AL273" s="52" t="n">
        <f aca="false">AL272*AL$7</f>
        <v>10661.6047670267</v>
      </c>
      <c r="AM273" s="53" t="n">
        <f aca="false">SUMIF($C$6:$AL$6,1,C273:AL273)</f>
        <v>23913.8967309877</v>
      </c>
      <c r="AN273" s="53" t="n">
        <f aca="false">SUMIF($C$6:$AL$6,2,C273:AL273)</f>
        <v>67098.7505744364</v>
      </c>
      <c r="AO273" s="53" t="n">
        <f aca="false">SUMIF($C$6:$AL$6,3,C273:AL273)</f>
        <v>124692.49260579</v>
      </c>
      <c r="AP273" s="53" t="n">
        <f aca="false">SUM(C273:AL273)</f>
        <v>215705.139911214</v>
      </c>
    </row>
    <row r="274" customFormat="false" ht="15" hidden="false" customHeight="false" outlineLevel="0" collapsed="false">
      <c r="A274" s="7" t="s">
        <v>758</v>
      </c>
      <c r="B274" s="9" t="s">
        <v>96</v>
      </c>
      <c r="C274" s="54" t="n">
        <f aca="false">Assumptions!$E$104*MIN(1,(C$4-Assumptions!$E$99+1)/Assumptions!$C$10)*C271</f>
        <v>0.00333333333333333</v>
      </c>
      <c r="D274" s="54" t="n">
        <f aca="false">Assumptions!$E$104*MIN(1,(D$4-Assumptions!$E$99+1)/Assumptions!$C$10)*D271</f>
        <v>0.00666666666666667</v>
      </c>
      <c r="E274" s="54" t="n">
        <f aca="false">Assumptions!$E$104*MIN(1,(E$4-Assumptions!$E$99+1)/Assumptions!$C$10)*E271</f>
        <v>0.01</v>
      </c>
      <c r="F274" s="54" t="n">
        <f aca="false">Assumptions!$E$104*MIN(1,(F$4-Assumptions!$E$99+1)/Assumptions!$C$10)*F271</f>
        <v>0.0133333333333333</v>
      </c>
      <c r="G274" s="54" t="n">
        <f aca="false">Assumptions!$E$104*MIN(1,(G$4-Assumptions!$E$99+1)/Assumptions!$C$10)*G271</f>
        <v>0.0166666666666667</v>
      </c>
      <c r="H274" s="54" t="n">
        <f aca="false">Assumptions!$E$104*MIN(1,(H$4-Assumptions!$E$99+1)/Assumptions!$C$10)*H271</f>
        <v>0.02</v>
      </c>
      <c r="I274" s="54" t="n">
        <f aca="false">Assumptions!$E$104*MIN(1,(I$4-Assumptions!$E$99+1)/Assumptions!$C$10)*I271</f>
        <v>0.02</v>
      </c>
      <c r="J274" s="54" t="n">
        <f aca="false">Assumptions!$E$104*MIN(1,(J$4-Assumptions!$E$99+1)/Assumptions!$C$10)*J271</f>
        <v>0.02</v>
      </c>
      <c r="K274" s="54" t="n">
        <f aca="false">Assumptions!$E$104*MIN(1,(K$4-Assumptions!$E$99+1)/Assumptions!$C$10)*K271</f>
        <v>0.02</v>
      </c>
      <c r="L274" s="54" t="n">
        <f aca="false">Assumptions!$E$104*MIN(1,(L$4-Assumptions!$E$99+1)/Assumptions!$C$10)*L271</f>
        <v>0.02</v>
      </c>
      <c r="M274" s="54" t="n">
        <f aca="false">Assumptions!$E$104*MIN(1,(M$4-Assumptions!$E$99+1)/Assumptions!$C$10)*M271</f>
        <v>0.02</v>
      </c>
      <c r="N274" s="54" t="n">
        <f aca="false">Assumptions!$E$104*MIN(1,(N$4-Assumptions!$E$99+1)/Assumptions!$C$10)*N271</f>
        <v>0.02</v>
      </c>
      <c r="O274" s="54" t="n">
        <f aca="false">Assumptions!$E$104*MIN(1,(O$4-Assumptions!$E$99+1)/Assumptions!$C$10)*O271</f>
        <v>0.02</v>
      </c>
      <c r="P274" s="54" t="n">
        <f aca="false">Assumptions!$E$104*MIN(1,(P$4-Assumptions!$E$99+1)/Assumptions!$C$10)*P271</f>
        <v>0.02</v>
      </c>
      <c r="Q274" s="54" t="n">
        <f aca="false">Assumptions!$E$104*MIN(1,(Q$4-Assumptions!$E$99+1)/Assumptions!$C$10)*Q271</f>
        <v>0.02</v>
      </c>
      <c r="R274" s="54" t="n">
        <f aca="false">Assumptions!$E$104*MIN(1,(R$4-Assumptions!$E$99+1)/Assumptions!$C$10)*R271</f>
        <v>0.02</v>
      </c>
      <c r="S274" s="54" t="n">
        <f aca="false">Assumptions!$E$104*MIN(1,(S$4-Assumptions!$E$99+1)/Assumptions!$C$10)*S271</f>
        <v>0.02</v>
      </c>
      <c r="T274" s="54" t="n">
        <f aca="false">Assumptions!$E$104*MIN(1,(T$4-Assumptions!$E$99+1)/Assumptions!$C$10)*T271</f>
        <v>0.02</v>
      </c>
      <c r="U274" s="54" t="n">
        <f aca="false">Assumptions!$E$104*MIN(1,(U$4-Assumptions!$E$99+1)/Assumptions!$C$10)*U271</f>
        <v>0.02</v>
      </c>
      <c r="V274" s="54" t="n">
        <f aca="false">Assumptions!$E$104*MIN(1,(V$4-Assumptions!$E$99+1)/Assumptions!$C$10)*V271</f>
        <v>0.02</v>
      </c>
      <c r="W274" s="54" t="n">
        <f aca="false">Assumptions!$E$104*MIN(1,(W$4-Assumptions!$E$99+1)/Assumptions!$C$10)*W271</f>
        <v>0.02</v>
      </c>
      <c r="X274" s="54" t="n">
        <f aca="false">Assumptions!$E$104*MIN(1,(X$4-Assumptions!$E$99+1)/Assumptions!$C$10)*X271</f>
        <v>0.02</v>
      </c>
      <c r="Y274" s="54" t="n">
        <f aca="false">Assumptions!$E$104*MIN(1,(Y$4-Assumptions!$E$99+1)/Assumptions!$C$10)*Y271</f>
        <v>0.02</v>
      </c>
      <c r="Z274" s="54" t="n">
        <f aca="false">Assumptions!$E$104*MIN(1,(Z$4-Assumptions!$E$99+1)/Assumptions!$C$10)*Z271</f>
        <v>0.02</v>
      </c>
      <c r="AA274" s="54" t="n">
        <f aca="false">Assumptions!$E$104*MIN(1,(AA$4-Assumptions!$E$99+1)/Assumptions!$C$10)*AA271</f>
        <v>0.02</v>
      </c>
      <c r="AB274" s="54" t="n">
        <f aca="false">Assumptions!$E$104*MIN(1,(AB$4-Assumptions!$E$99+1)/Assumptions!$C$10)*AB271</f>
        <v>0.02</v>
      </c>
      <c r="AC274" s="54" t="n">
        <f aca="false">Assumptions!$E$104*MIN(1,(AC$4-Assumptions!$E$99+1)/Assumptions!$C$10)*AC271</f>
        <v>0.02</v>
      </c>
      <c r="AD274" s="54" t="n">
        <f aca="false">Assumptions!$E$104*MIN(1,(AD$4-Assumptions!$E$99+1)/Assumptions!$C$10)*AD271</f>
        <v>0.02</v>
      </c>
      <c r="AE274" s="54" t="n">
        <f aca="false">Assumptions!$E$104*MIN(1,(AE$4-Assumptions!$E$99+1)/Assumptions!$C$10)*AE271</f>
        <v>0.02</v>
      </c>
      <c r="AF274" s="54" t="n">
        <f aca="false">Assumptions!$E$104*MIN(1,(AF$4-Assumptions!$E$99+1)/Assumptions!$C$10)*AF271</f>
        <v>0.02</v>
      </c>
      <c r="AG274" s="54" t="n">
        <f aca="false">Assumptions!$E$104*MIN(1,(AG$4-Assumptions!$E$99+1)/Assumptions!$C$10)*AG271</f>
        <v>0.02</v>
      </c>
      <c r="AH274" s="54" t="n">
        <f aca="false">Assumptions!$E$104*MIN(1,(AH$4-Assumptions!$E$99+1)/Assumptions!$C$10)*AH271</f>
        <v>0.02</v>
      </c>
      <c r="AI274" s="54" t="n">
        <f aca="false">Assumptions!$E$104*MIN(1,(AI$4-Assumptions!$E$99+1)/Assumptions!$C$10)*AI271</f>
        <v>0.02</v>
      </c>
      <c r="AJ274" s="54" t="n">
        <f aca="false">Assumptions!$E$104*MIN(1,(AJ$4-Assumptions!$E$99+1)/Assumptions!$C$10)*AJ271</f>
        <v>0.02</v>
      </c>
      <c r="AK274" s="54" t="n">
        <f aca="false">Assumptions!$E$104*MIN(1,(AK$4-Assumptions!$E$99+1)/Assumptions!$C$10)*AK271</f>
        <v>0.02</v>
      </c>
      <c r="AL274" s="54" t="n">
        <f aca="false">Assumptions!$E$104*MIN(1,(AL$4-Assumptions!$E$99+1)/Assumptions!$C$10)*AL271</f>
        <v>0.02</v>
      </c>
    </row>
    <row r="275" customFormat="false" ht="15" hidden="false" customHeight="false" outlineLevel="0" collapsed="false">
      <c r="A275" s="7" t="s">
        <v>759</v>
      </c>
      <c r="B275" s="9" t="s">
        <v>760</v>
      </c>
      <c r="C275" s="55" t="n">
        <f aca="false">(C273-C313)*C274</f>
        <v>3.16666666666667</v>
      </c>
      <c r="D275" s="55" t="n">
        <f aca="false">(D273-D313)*D274</f>
        <v>9.70666666666667</v>
      </c>
      <c r="E275" s="55" t="n">
        <f aca="false">(E273-E313)*E274</f>
        <v>16.9344</v>
      </c>
      <c r="F275" s="55" t="n">
        <f aca="false">(F273-F313)*F274</f>
        <v>17.5616</v>
      </c>
      <c r="G275" s="55" t="n">
        <f aca="false">(G273-G313)*G274</f>
        <v>17.7020928</v>
      </c>
      <c r="H275" s="55" t="n">
        <f aca="false">(H273-H313)*H274</f>
        <v>26.435125248</v>
      </c>
      <c r="I275" s="55" t="n">
        <f aca="false">(I273-I313)*I274</f>
        <v>31.087707291648</v>
      </c>
      <c r="J275" s="55" t="n">
        <f aca="false">(J273-J313)*J274</f>
        <v>31.5022100555367</v>
      </c>
      <c r="K275" s="55" t="n">
        <f aca="false">(K273-K313)*K274</f>
        <v>37.1394476444222</v>
      </c>
      <c r="L275" s="55" t="n">
        <f aca="false">(L273-L313)*L274</f>
        <v>39.5163722936652</v>
      </c>
      <c r="M275" s="55" t="n">
        <f aca="false">(M273-M313)*M274</f>
        <v>39.5995646563887</v>
      </c>
      <c r="N275" s="55" t="n">
        <f aca="false">(N273-N313)*N274</f>
        <v>44.3515124151554</v>
      </c>
      <c r="O275" s="55" t="n">
        <f aca="false">(O273-O313)*O274</f>
        <v>53.0391910235358</v>
      </c>
      <c r="P275" s="55" t="n">
        <f aca="false">(P273-P313)*P274</f>
        <v>77.660541803935</v>
      </c>
      <c r="Q275" s="55" t="n">
        <f aca="false">(Q273-Q313)*Q274</f>
        <v>86.292809719834</v>
      </c>
      <c r="R275" s="55" t="n">
        <f aca="false">(R273-R313)*R274</f>
        <v>85.4938022224281</v>
      </c>
      <c r="S275" s="55" t="n">
        <f aca="false">(S273-S313)*S274</f>
        <v>65.8644252321586</v>
      </c>
      <c r="T275" s="55" t="n">
        <f aca="false">(T273-T313)*T274</f>
        <v>78.3054833315664</v>
      </c>
      <c r="U275" s="55" t="n">
        <f aca="false">(U273-U313)*U274</f>
        <v>87.9762105230148</v>
      </c>
      <c r="V275" s="55" t="n">
        <f aca="false">(V273-V313)*V274</f>
        <v>85.1693504729948</v>
      </c>
      <c r="W275" s="55" t="n">
        <f aca="false">(W273-W313)*W274</f>
        <v>95.9275842169521</v>
      </c>
      <c r="X275" s="55" t="n">
        <f aca="false">(X273-X313)*X274</f>
        <v>97.5103893565318</v>
      </c>
      <c r="Y275" s="55" t="n">
        <f aca="false">(Y273-Y313)*Y274</f>
        <v>93.3533674944902</v>
      </c>
      <c r="Z275" s="55" t="n">
        <f aca="false">(Z273-Z313)*Z274</f>
        <v>99.8881032191045</v>
      </c>
      <c r="AA275" s="55" t="n">
        <f aca="false">(AA273-AA313)*AA274</f>
        <v>116.105230565265</v>
      </c>
      <c r="AB275" s="55" t="n">
        <f aca="false">(AB273-AB313)*AB274</f>
        <v>165.236075499198</v>
      </c>
      <c r="AC275" s="55" t="n">
        <f aca="false">(AC273-AC313)*AC274</f>
        <v>178.454961539134</v>
      </c>
      <c r="AD275" s="55" t="n">
        <f aca="false">(AD273-AD313)*AD274</f>
        <v>171.845518519166</v>
      </c>
      <c r="AE275" s="55" t="n">
        <f aca="false">(AE273-AE313)*AE274</f>
        <v>128.677924267152</v>
      </c>
      <c r="AF275" s="55" t="n">
        <f aca="false">(AF273-AF313)*AF274</f>
        <v>148.694490264264</v>
      </c>
      <c r="AG275" s="55" t="n">
        <f aca="false">(AG273-AG313)*AG274</f>
        <v>162.374383368576</v>
      </c>
      <c r="AH275" s="55" t="n">
        <f aca="false">(AH273-AH313)*AH274</f>
        <v>152.786562636337</v>
      </c>
      <c r="AI275" s="55" t="n">
        <f aca="false">(AI273-AI313)*AI274</f>
        <v>167.261079096621</v>
      </c>
      <c r="AJ275" s="55" t="n">
        <f aca="false">(AJ273-AJ313)*AJ274</f>
        <v>165.253946147462</v>
      </c>
      <c r="AK275" s="55" t="n">
        <f aca="false">(AK273-AK313)*AK274</f>
        <v>153.77314567827</v>
      </c>
      <c r="AL275" s="55" t="n">
        <f aca="false">(AL273-AL313)*AL274</f>
        <v>159.9240715054</v>
      </c>
      <c r="AM275" s="53" t="n">
        <f aca="false">SUMIF($C$6:$AL$6,1,C275:AL275)</f>
        <v>314.703365738149</v>
      </c>
      <c r="AN275" s="53" t="n">
        <f aca="false">SUMIF($C$6:$AL$6,2,C275:AL275)</f>
        <v>1006.48125861655</v>
      </c>
      <c r="AO275" s="53" t="n">
        <f aca="false">SUMIF($C$6:$AL$6,3,C275:AL275)</f>
        <v>1870.38738908685</v>
      </c>
      <c r="AP275" s="53" t="n">
        <f aca="false">SUM(C275:AL275)</f>
        <v>3191.57201344154</v>
      </c>
    </row>
    <row r="276" customFormat="false" ht="15" hidden="false" customHeight="false" outlineLevel="0" collapsed="false">
      <c r="A276" s="7" t="s">
        <v>761</v>
      </c>
      <c r="B276" s="9" t="s">
        <v>342</v>
      </c>
      <c r="C276" s="56" t="n">
        <f aca="false">C275*Assumptions!$E$105</f>
        <v>4.275</v>
      </c>
      <c r="D276" s="56" t="n">
        <f aca="false">D275*Assumptions!$E$105</f>
        <v>13.104</v>
      </c>
      <c r="E276" s="56" t="n">
        <f aca="false">E275*Assumptions!$E$105</f>
        <v>22.86144</v>
      </c>
      <c r="F276" s="56" t="n">
        <f aca="false">F275*Assumptions!$E$105</f>
        <v>23.70816</v>
      </c>
      <c r="G276" s="56" t="n">
        <f aca="false">G275*Assumptions!$E$105</f>
        <v>23.89782528</v>
      </c>
      <c r="H276" s="56" t="n">
        <f aca="false">H275*Assumptions!$E$105</f>
        <v>35.6874190848</v>
      </c>
      <c r="I276" s="56" t="n">
        <f aca="false">I275*Assumptions!$E$105</f>
        <v>41.9684048437248</v>
      </c>
      <c r="J276" s="56" t="n">
        <f aca="false">J275*Assumptions!$E$105</f>
        <v>42.5279835749745</v>
      </c>
      <c r="K276" s="56" t="n">
        <f aca="false">K275*Assumptions!$E$105</f>
        <v>50.1382543199699</v>
      </c>
      <c r="L276" s="56" t="n">
        <f aca="false">L275*Assumptions!$E$105</f>
        <v>53.347102596448</v>
      </c>
      <c r="M276" s="56" t="n">
        <f aca="false">M275*Assumptions!$E$105</f>
        <v>53.4594122861248</v>
      </c>
      <c r="N276" s="56" t="n">
        <f aca="false">N275*Assumptions!$E$105</f>
        <v>59.8745417604597</v>
      </c>
      <c r="O276" s="56" t="n">
        <f aca="false">O275*Assumptions!$E$105</f>
        <v>71.6029078817733</v>
      </c>
      <c r="P276" s="56" t="n">
        <f aca="false">P275*Assumptions!$E$105</f>
        <v>104.841731435312</v>
      </c>
      <c r="Q276" s="56" t="n">
        <f aca="false">Q275*Assumptions!$E$105</f>
        <v>116.495293121776</v>
      </c>
      <c r="R276" s="56" t="n">
        <f aca="false">R275*Assumptions!$E$105</f>
        <v>115.416633000278</v>
      </c>
      <c r="S276" s="56" t="n">
        <f aca="false">S275*Assumptions!$E$105</f>
        <v>88.9169740634141</v>
      </c>
      <c r="T276" s="56" t="n">
        <f aca="false">T275*Assumptions!$E$105</f>
        <v>105.712402497615</v>
      </c>
      <c r="U276" s="56" t="n">
        <f aca="false">U275*Assumptions!$E$105</f>
        <v>118.76788420607</v>
      </c>
      <c r="V276" s="56" t="n">
        <f aca="false">V275*Assumptions!$E$105</f>
        <v>114.978623138543</v>
      </c>
      <c r="W276" s="56" t="n">
        <f aca="false">W275*Assumptions!$E$105</f>
        <v>129.502238692885</v>
      </c>
      <c r="X276" s="56" t="n">
        <f aca="false">X275*Assumptions!$E$105</f>
        <v>131.639025631318</v>
      </c>
      <c r="Y276" s="56" t="n">
        <f aca="false">Y275*Assumptions!$E$105</f>
        <v>126.027046117562</v>
      </c>
      <c r="Z276" s="56" t="n">
        <f aca="false">Z275*Assumptions!$E$105</f>
        <v>134.848939345791</v>
      </c>
      <c r="AA276" s="56" t="n">
        <f aca="false">AA275*Assumptions!$E$105</f>
        <v>156.742061263108</v>
      </c>
      <c r="AB276" s="56" t="n">
        <f aca="false">AB275*Assumptions!$E$105</f>
        <v>223.068701923918</v>
      </c>
      <c r="AC276" s="56" t="n">
        <f aca="false">AC275*Assumptions!$E$105</f>
        <v>240.914198077831</v>
      </c>
      <c r="AD276" s="56" t="n">
        <f aca="false">AD275*Assumptions!$E$105</f>
        <v>231.991450000874</v>
      </c>
      <c r="AE276" s="56" t="n">
        <f aca="false">AE275*Assumptions!$E$105</f>
        <v>173.715197760655</v>
      </c>
      <c r="AF276" s="56" t="n">
        <f aca="false">AF275*Assumptions!$E$105</f>
        <v>200.737561856757</v>
      </c>
      <c r="AG276" s="56" t="n">
        <f aca="false">AG275*Assumptions!$E$105</f>
        <v>219.205417547578</v>
      </c>
      <c r="AH276" s="56" t="n">
        <f aca="false">AH275*Assumptions!$E$105</f>
        <v>206.261859559054</v>
      </c>
      <c r="AI276" s="56" t="n">
        <f aca="false">AI275*Assumptions!$E$105</f>
        <v>225.802456780439</v>
      </c>
      <c r="AJ276" s="56" t="n">
        <f aca="false">AJ275*Assumptions!$E$105</f>
        <v>223.092827299073</v>
      </c>
      <c r="AK276" s="56" t="n">
        <f aca="false">AK275*Assumptions!$E$105</f>
        <v>207.593746665664</v>
      </c>
      <c r="AL276" s="56" t="n">
        <f aca="false">AL275*Assumptions!$E$105</f>
        <v>215.897496532291</v>
      </c>
      <c r="AM276" s="53" t="n">
        <f aca="false">SUMIF($C$6:$AL$6,1,C276:AL276)</f>
        <v>424.849543746502</v>
      </c>
      <c r="AN276" s="53" t="n">
        <f aca="false">SUMIF($C$6:$AL$6,2,C276:AL276)</f>
        <v>1358.74969913234</v>
      </c>
      <c r="AO276" s="53" t="n">
        <f aca="false">SUMIF($C$6:$AL$6,3,C276:AL276)</f>
        <v>2525.02297526724</v>
      </c>
      <c r="AP276" s="53" t="n">
        <f aca="false">SUM(C276:AL276)</f>
        <v>4308.62221814608</v>
      </c>
    </row>
    <row r="277" customFormat="false" ht="15" hidden="false" customHeight="false" outlineLevel="0" collapsed="false">
      <c r="A277" s="7" t="s">
        <v>762</v>
      </c>
      <c r="B277" s="9" t="s">
        <v>101</v>
      </c>
      <c r="C277" s="15" t="n">
        <f aca="false">'Unit Economics'!$E$50*Assumptions!$E$105*C271</f>
        <v>12.321315</v>
      </c>
      <c r="D277" s="15" t="n">
        <f aca="false">'Unit Economics'!$E$50*Assumptions!$E$105*D271</f>
        <v>12.321315</v>
      </c>
      <c r="E277" s="15" t="n">
        <f aca="false">'Unit Economics'!$E$50*Assumptions!$E$105*E271</f>
        <v>12.321315</v>
      </c>
      <c r="F277" s="15" t="n">
        <f aca="false">'Unit Economics'!$E$50*Assumptions!$E$105*F271</f>
        <v>12.321315</v>
      </c>
      <c r="G277" s="15" t="n">
        <f aca="false">'Unit Economics'!$E$50*Assumptions!$E$105*G271</f>
        <v>12.321315</v>
      </c>
      <c r="H277" s="15" t="n">
        <f aca="false">'Unit Economics'!$E$50*Assumptions!$E$105*H271</f>
        <v>12.321315</v>
      </c>
      <c r="I277" s="15" t="n">
        <f aca="false">'Unit Economics'!$E$50*Assumptions!$E$105*I271</f>
        <v>12.321315</v>
      </c>
      <c r="J277" s="15" t="n">
        <f aca="false">'Unit Economics'!$E$50*Assumptions!$E$105*J271</f>
        <v>12.321315</v>
      </c>
      <c r="K277" s="15" t="n">
        <f aca="false">'Unit Economics'!$E$50*Assumptions!$E$105*K271</f>
        <v>12.321315</v>
      </c>
      <c r="L277" s="15" t="n">
        <f aca="false">'Unit Economics'!$E$50*Assumptions!$E$105*L271</f>
        <v>12.321315</v>
      </c>
      <c r="M277" s="15" t="n">
        <f aca="false">'Unit Economics'!$E$50*Assumptions!$E$105*M271</f>
        <v>12.321315</v>
      </c>
      <c r="N277" s="15" t="n">
        <f aca="false">'Unit Economics'!$E$50*Assumptions!$E$105*N271</f>
        <v>12.321315</v>
      </c>
      <c r="O277" s="15" t="n">
        <f aca="false">'Unit Economics'!$E$50*Assumptions!$E$105*O271</f>
        <v>12.321315</v>
      </c>
      <c r="P277" s="15" t="n">
        <f aca="false">'Unit Economics'!$E$50*Assumptions!$E$105*P271</f>
        <v>12.321315</v>
      </c>
      <c r="Q277" s="15" t="n">
        <f aca="false">'Unit Economics'!$E$50*Assumptions!$E$105*Q271</f>
        <v>12.321315</v>
      </c>
      <c r="R277" s="15" t="n">
        <f aca="false">'Unit Economics'!$E$50*Assumptions!$E$105*R271</f>
        <v>12.321315</v>
      </c>
      <c r="S277" s="15" t="n">
        <f aca="false">'Unit Economics'!$E$50*Assumptions!$E$105*S271</f>
        <v>12.321315</v>
      </c>
      <c r="T277" s="15" t="n">
        <f aca="false">'Unit Economics'!$E$50*Assumptions!$E$105*T271</f>
        <v>12.321315</v>
      </c>
      <c r="U277" s="15" t="n">
        <f aca="false">'Unit Economics'!$E$50*Assumptions!$E$105*U271</f>
        <v>12.321315</v>
      </c>
      <c r="V277" s="15" t="n">
        <f aca="false">'Unit Economics'!$E$50*Assumptions!$E$105*V271</f>
        <v>12.321315</v>
      </c>
      <c r="W277" s="15" t="n">
        <f aca="false">'Unit Economics'!$E$50*Assumptions!$E$105*W271</f>
        <v>12.321315</v>
      </c>
      <c r="X277" s="15" t="n">
        <f aca="false">'Unit Economics'!$E$50*Assumptions!$E$105*X271</f>
        <v>12.321315</v>
      </c>
      <c r="Y277" s="15" t="n">
        <f aca="false">'Unit Economics'!$E$50*Assumptions!$E$105*Y271</f>
        <v>12.321315</v>
      </c>
      <c r="Z277" s="15" t="n">
        <f aca="false">'Unit Economics'!$E$50*Assumptions!$E$105*Z271</f>
        <v>12.321315</v>
      </c>
      <c r="AA277" s="15" t="n">
        <f aca="false">'Unit Economics'!$E$50*Assumptions!$E$105*AA271</f>
        <v>12.321315</v>
      </c>
      <c r="AB277" s="15" t="n">
        <f aca="false">'Unit Economics'!$E$50*Assumptions!$E$105*AB271</f>
        <v>12.321315</v>
      </c>
      <c r="AC277" s="15" t="n">
        <f aca="false">'Unit Economics'!$E$50*Assumptions!$E$105*AC271</f>
        <v>12.321315</v>
      </c>
      <c r="AD277" s="15" t="n">
        <f aca="false">'Unit Economics'!$E$50*Assumptions!$E$105*AD271</f>
        <v>12.321315</v>
      </c>
      <c r="AE277" s="15" t="n">
        <f aca="false">'Unit Economics'!$E$50*Assumptions!$E$105*AE271</f>
        <v>12.321315</v>
      </c>
      <c r="AF277" s="15" t="n">
        <f aca="false">'Unit Economics'!$E$50*Assumptions!$E$105*AF271</f>
        <v>12.321315</v>
      </c>
      <c r="AG277" s="15" t="n">
        <f aca="false">'Unit Economics'!$E$50*Assumptions!$E$105*AG271</f>
        <v>12.321315</v>
      </c>
      <c r="AH277" s="15" t="n">
        <f aca="false">'Unit Economics'!$E$50*Assumptions!$E$105*AH271</f>
        <v>12.321315</v>
      </c>
      <c r="AI277" s="15" t="n">
        <f aca="false">'Unit Economics'!$E$50*Assumptions!$E$105*AI271</f>
        <v>12.321315</v>
      </c>
      <c r="AJ277" s="15" t="n">
        <f aca="false">'Unit Economics'!$E$50*Assumptions!$E$105*AJ271</f>
        <v>12.321315</v>
      </c>
      <c r="AK277" s="15" t="n">
        <f aca="false">'Unit Economics'!$E$50*Assumptions!$E$105*AK271</f>
        <v>12.321315</v>
      </c>
      <c r="AL277" s="15" t="n">
        <f aca="false">'Unit Economics'!$E$50*Assumptions!$E$105*AL271</f>
        <v>12.321315</v>
      </c>
    </row>
    <row r="278" customFormat="false" ht="15" hidden="false" customHeight="false" outlineLevel="0" collapsed="false">
      <c r="A278" s="7" t="s">
        <v>763</v>
      </c>
      <c r="B278" s="9" t="s">
        <v>101</v>
      </c>
      <c r="C278" s="8" t="n">
        <f aca="false">C276*'Unit Economics'!$E$50</f>
        <v>39.0174975</v>
      </c>
      <c r="D278" s="8" t="n">
        <f aca="false">D276*'Unit Economics'!$E$50</f>
        <v>119.5988976</v>
      </c>
      <c r="E278" s="8" t="n">
        <f aca="false">E276*'Unit Economics'!$E$50</f>
        <v>208.654076736</v>
      </c>
      <c r="F278" s="8" t="n">
        <f aca="false">F276*'Unit Economics'!$E$50</f>
        <v>216.382005504</v>
      </c>
      <c r="G278" s="8" t="n">
        <f aca="false">G276*'Unit Economics'!$E$50</f>
        <v>218.113061548032</v>
      </c>
      <c r="H278" s="8" t="n">
        <f aca="false">H276*'Unit Economics'!$E$50</f>
        <v>325.715505245061</v>
      </c>
      <c r="I278" s="8" t="n">
        <f aca="false">I276*'Unit Economics'!$E$50</f>
        <v>383.041434168192</v>
      </c>
      <c r="J278" s="8" t="n">
        <f aca="false">J276*'Unit Economics'!$E$50</f>
        <v>388.148653290435</v>
      </c>
      <c r="K278" s="8" t="n">
        <f aca="false">K276*'Unit Economics'!$E$50</f>
        <v>457.606833352934</v>
      </c>
      <c r="L278" s="8" t="n">
        <f aca="false">L276*'Unit Economics'!$E$50</f>
        <v>486.893670687521</v>
      </c>
      <c r="M278" s="8" t="n">
        <f aca="false">M276*'Unit Economics'!$E$50</f>
        <v>487.918709994232</v>
      </c>
      <c r="N278" s="8" t="n">
        <f aca="false">N276*'Unit Economics'!$E$50</f>
        <v>546.46895519354</v>
      </c>
      <c r="O278" s="8" t="n">
        <f aca="false">O276*'Unit Economics'!$E$50</f>
        <v>653.512579946157</v>
      </c>
      <c r="P278" s="8" t="n">
        <f aca="false">P276*'Unit Economics'!$E$50</f>
        <v>956.879998636952</v>
      </c>
      <c r="Q278" s="8" t="n">
        <f aca="false">Q276*'Unit Economics'!$E$50</f>
        <v>1063.24089079314</v>
      </c>
      <c r="R278" s="8" t="n">
        <f aca="false">R276*'Unit Economics'!$E$50</f>
        <v>1053.39606773024</v>
      </c>
      <c r="S278" s="8" t="n">
        <f aca="false">S276*'Unit Economics'!$E$50</f>
        <v>811.536330579375</v>
      </c>
      <c r="T278" s="8" t="n">
        <f aca="false">T276*'Unit Economics'!$E$50</f>
        <v>964.826526355479</v>
      </c>
      <c r="U278" s="8" t="n">
        <f aca="false">U276*'Unit Economics'!$E$50</f>
        <v>1083.98260236038</v>
      </c>
      <c r="V278" s="8" t="n">
        <f aca="false">V276*'Unit Economics'!$E$50</f>
        <v>1049.39839552317</v>
      </c>
      <c r="W278" s="8" t="n">
        <f aca="false">W276*'Unit Economics'!$E$50</f>
        <v>1181.9539823261</v>
      </c>
      <c r="X278" s="8" t="n">
        <f aca="false">X276*'Unit Economics'!$E$50</f>
        <v>1201.45622303448</v>
      </c>
      <c r="Y278" s="8" t="n">
        <f aca="false">Y276*'Unit Economics'!$E$50</f>
        <v>1150.23624721037</v>
      </c>
      <c r="Z278" s="8" t="n">
        <f aca="false">Z276*'Unit Economics'!$E$50</f>
        <v>1230.7527845151</v>
      </c>
      <c r="AA278" s="8" t="n">
        <f aca="false">AA276*'Unit Economics'!$E$50</f>
        <v>1430.56911894226</v>
      </c>
      <c r="AB278" s="8" t="n">
        <f aca="false">AB276*'Unit Economics'!$E$50</f>
        <v>2035.9257355894</v>
      </c>
      <c r="AC278" s="8" t="n">
        <f aca="false">AC276*'Unit Economics'!$E$50</f>
        <v>2198.79979443656</v>
      </c>
      <c r="AD278" s="8" t="n">
        <f aca="false">AD276*'Unit Economics'!$E$50</f>
        <v>2117.36276501298</v>
      </c>
      <c r="AE278" s="8" t="n">
        <f aca="false">AE276*'Unit Economics'!$E$50</f>
        <v>1585.48123844172</v>
      </c>
      <c r="AF278" s="8" t="n">
        <f aca="false">AF276*'Unit Economics'!$E$50</f>
        <v>1832.11165331043</v>
      </c>
      <c r="AG278" s="8" t="n">
        <f aca="false">AG276*'Unit Economics'!$E$50</f>
        <v>2000.66592541499</v>
      </c>
      <c r="AH278" s="8" t="n">
        <f aca="false">AH276*'Unit Economics'!$E$50</f>
        <v>1882.53136600953</v>
      </c>
      <c r="AI278" s="8" t="n">
        <f aca="false">AI276*'Unit Economics'!$E$50</f>
        <v>2060.87644278939</v>
      </c>
      <c r="AJ278" s="8" t="n">
        <f aca="false">AJ276*'Unit Economics'!$E$50</f>
        <v>2036.14592547591</v>
      </c>
      <c r="AK278" s="8" t="n">
        <f aca="false">AK276*'Unit Economics'!$E$50</f>
        <v>1894.68736644285</v>
      </c>
      <c r="AL278" s="8" t="n">
        <f aca="false">AL276*'Unit Economics'!$E$50</f>
        <v>1970.47486110056</v>
      </c>
      <c r="AM278" s="45" t="n">
        <f aca="false">SUMIF($C$6:$AL$6,1,C278:AL278)</f>
        <v>3877.55930081995</v>
      </c>
      <c r="AN278" s="45" t="n">
        <f aca="false">SUMIF($C$6:$AL$6,2,C278:AL278)</f>
        <v>12401.1726290109</v>
      </c>
      <c r="AO278" s="45" t="n">
        <f aca="false">SUMIF($C$6:$AL$6,3,C278:AL278)</f>
        <v>23045.6321929666</v>
      </c>
      <c r="AP278" s="45" t="n">
        <f aca="false">SUM(C278:AL278)</f>
        <v>39324.3641227975</v>
      </c>
    </row>
    <row r="279" customFormat="false" ht="15" hidden="false" customHeight="false" outlineLevel="0" collapsed="false">
      <c r="A279" s="7" t="s">
        <v>764</v>
      </c>
      <c r="B279" s="9" t="s">
        <v>101</v>
      </c>
      <c r="C279" s="8" t="n">
        <f aca="false">C276*'Unit Economics'!$F$50</f>
        <v>34.7543901225</v>
      </c>
      <c r="D279" s="8" t="n">
        <f aca="false">D276*'Unit Economics'!$F$50</f>
        <v>106.5313516176</v>
      </c>
      <c r="E279" s="8" t="n">
        <f aca="false">E276*'Unit Economics'!$F$50</f>
        <v>185.856234975936</v>
      </c>
      <c r="F279" s="8" t="n">
        <f aca="false">F276*'Unit Economics'!$F$50</f>
        <v>192.739799234304</v>
      </c>
      <c r="G279" s="8" t="n">
        <f aca="false">G276*'Unit Economics'!$F$50</f>
        <v>194.281717628179</v>
      </c>
      <c r="H279" s="8" t="n">
        <f aca="false">H276*'Unit Economics'!$F$50</f>
        <v>290.127364991413</v>
      </c>
      <c r="I279" s="8" t="n">
        <f aca="false">I276*'Unit Economics'!$F$50</f>
        <v>341.189781229902</v>
      </c>
      <c r="J279" s="8" t="n">
        <f aca="false">J276*'Unit Economics'!$F$50</f>
        <v>345.738978312967</v>
      </c>
      <c r="K279" s="8" t="n">
        <f aca="false">K276*'Unit Economics'!$F$50</f>
        <v>407.608058642656</v>
      </c>
      <c r="L279" s="8" t="n">
        <f aca="false">L276*'Unit Economics'!$F$50</f>
        <v>433.694974395786</v>
      </c>
      <c r="M279" s="8" t="n">
        <f aca="false">M276*'Unit Economics'!$F$50</f>
        <v>434.608016447146</v>
      </c>
      <c r="N279" s="8" t="n">
        <f aca="false">N276*'Unit Economics'!$F$50</f>
        <v>486.760978420804</v>
      </c>
      <c r="O279" s="8" t="n">
        <f aca="false">O276*'Unit Economics'!$F$50</f>
        <v>582.10886419382</v>
      </c>
      <c r="P279" s="8" t="n">
        <f aca="false">P276*'Unit Economics'!$F$50</f>
        <v>852.329926414319</v>
      </c>
      <c r="Q279" s="8" t="n">
        <f aca="false">Q276*'Unit Economics'!$F$50</f>
        <v>947.069675927296</v>
      </c>
      <c r="R279" s="8" t="n">
        <f aca="false">R276*'Unit Economics'!$F$50</f>
        <v>938.300512261302</v>
      </c>
      <c r="S279" s="8" t="n">
        <f aca="false">S276*'Unit Economics'!$F$50</f>
        <v>722.866714646107</v>
      </c>
      <c r="T279" s="8" t="n">
        <f aca="false">T276*'Unit Economics'!$F$50</f>
        <v>859.408205190372</v>
      </c>
      <c r="U279" s="8" t="n">
        <f aca="false">U276*'Unit Economics'!$F$50</f>
        <v>965.545118531383</v>
      </c>
      <c r="V279" s="8" t="n">
        <f aca="false">V276*'Unit Economics'!$F$50</f>
        <v>934.739631416335</v>
      </c>
      <c r="W279" s="8" t="n">
        <f aca="false">W276*'Unit Economics'!$F$50</f>
        <v>1052.81200591103</v>
      </c>
      <c r="X279" s="8" t="n">
        <f aca="false">X276*'Unit Economics'!$F$50</f>
        <v>1070.18340400856</v>
      </c>
      <c r="Y279" s="8" t="n">
        <f aca="false">Y276*'Unit Economics'!$F$50</f>
        <v>1024.55979573241</v>
      </c>
      <c r="Z279" s="8" t="n">
        <f aca="false">Z276*'Unit Economics'!$F$50</f>
        <v>1096.27898143368</v>
      </c>
      <c r="AA279" s="8" t="n">
        <f aca="false">AA276*'Unit Economics'!$F$50</f>
        <v>1274.26309841938</v>
      </c>
      <c r="AB279" s="8" t="n">
        <f aca="false">AB276*'Unit Economics'!$F$50</f>
        <v>1813.47758848737</v>
      </c>
      <c r="AC279" s="8" t="n">
        <f aca="false">AC276*'Unit Economics'!$F$50</f>
        <v>1958.55579556636</v>
      </c>
      <c r="AD279" s="8" t="n">
        <f aca="false">AD276*'Unit Economics'!$F$50</f>
        <v>1886.01669202686</v>
      </c>
      <c r="AE279" s="8" t="n">
        <f aca="false">AE276*'Unit Economics'!$F$50</f>
        <v>1412.24929898971</v>
      </c>
      <c r="AF279" s="8" t="n">
        <f aca="false">AF276*'Unit Economics'!$F$50</f>
        <v>1631.932523277</v>
      </c>
      <c r="AG279" s="8" t="n">
        <f aca="false">AG276*'Unit Economics'!$F$50</f>
        <v>1782.07031541849</v>
      </c>
      <c r="AH279" s="8" t="n">
        <f aca="false">AH276*'Unit Economics'!$F$50</f>
        <v>1676.84330631759</v>
      </c>
      <c r="AI279" s="8" t="n">
        <f aca="false">AI276*'Unit Economics'!$F$50</f>
        <v>1835.70214586346</v>
      </c>
      <c r="AJ279" s="8" t="n">
        <f aca="false">AJ276*'Unit Economics'!$F$50</f>
        <v>1813.6737201131</v>
      </c>
      <c r="AK279" s="8" t="n">
        <f aca="false">AK276*'Unit Economics'!$F$50</f>
        <v>1687.67112482103</v>
      </c>
      <c r="AL279" s="8" t="n">
        <f aca="false">AL276*'Unit Economics'!$F$50</f>
        <v>1755.17796981388</v>
      </c>
      <c r="AM279" s="45" t="n">
        <f aca="false">SUMIF($C$6:$AL$6,1,C279:AL279)</f>
        <v>3453.89164601919</v>
      </c>
      <c r="AN279" s="45" t="n">
        <f aca="false">SUMIF($C$6:$AL$6,2,C279:AL279)</f>
        <v>11046.2028356666</v>
      </c>
      <c r="AO279" s="45" t="n">
        <f aca="false">SUMIF($C$6:$AL$6,3,C279:AL279)</f>
        <v>20527.6335791142</v>
      </c>
      <c r="AP279" s="45" t="n">
        <f aca="false">SUM(C279:AL279)</f>
        <v>35027.7280608</v>
      </c>
    </row>
    <row r="280" customFormat="false" ht="15" hidden="false" customHeight="false" outlineLevel="0" collapsed="false">
      <c r="A280" s="5" t="s">
        <v>572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</row>
    <row r="281" customFormat="false" ht="15" hidden="false" customHeight="false" outlineLevel="0" collapsed="false">
      <c r="A281" s="7" t="s">
        <v>755</v>
      </c>
      <c r="B281" s="9" t="s">
        <v>319</v>
      </c>
      <c r="C281" s="38" t="n">
        <f aca="false">IF(AND(Assumptions!$E$108=1,C$4&gt;=Assumptions!$E$109),1,0)</f>
        <v>1</v>
      </c>
      <c r="D281" s="38" t="n">
        <f aca="false">IF(AND(Assumptions!$E$108=1,D$4&gt;=Assumptions!$E$109),1,0)</f>
        <v>1</v>
      </c>
      <c r="E281" s="38" t="n">
        <f aca="false">IF(AND(Assumptions!$E$108=1,E$4&gt;=Assumptions!$E$109),1,0)</f>
        <v>1</v>
      </c>
      <c r="F281" s="38" t="n">
        <f aca="false">IF(AND(Assumptions!$E$108=1,F$4&gt;=Assumptions!$E$109),1,0)</f>
        <v>1</v>
      </c>
      <c r="G281" s="38" t="n">
        <f aca="false">IF(AND(Assumptions!$E$108=1,G$4&gt;=Assumptions!$E$109),1,0)</f>
        <v>1</v>
      </c>
      <c r="H281" s="38" t="n">
        <f aca="false">IF(AND(Assumptions!$E$108=1,H$4&gt;=Assumptions!$E$109),1,0)</f>
        <v>1</v>
      </c>
      <c r="I281" s="38" t="n">
        <f aca="false">IF(AND(Assumptions!$E$108=1,I$4&gt;=Assumptions!$E$109),1,0)</f>
        <v>1</v>
      </c>
      <c r="J281" s="38" t="n">
        <f aca="false">IF(AND(Assumptions!$E$108=1,J$4&gt;=Assumptions!$E$109),1,0)</f>
        <v>1</v>
      </c>
      <c r="K281" s="38" t="n">
        <f aca="false">IF(AND(Assumptions!$E$108=1,K$4&gt;=Assumptions!$E$109),1,0)</f>
        <v>1</v>
      </c>
      <c r="L281" s="38" t="n">
        <f aca="false">IF(AND(Assumptions!$E$108=1,L$4&gt;=Assumptions!$E$109),1,0)</f>
        <v>1</v>
      </c>
      <c r="M281" s="38" t="n">
        <f aca="false">IF(AND(Assumptions!$E$108=1,M$4&gt;=Assumptions!$E$109),1,0)</f>
        <v>1</v>
      </c>
      <c r="N281" s="38" t="n">
        <f aca="false">IF(AND(Assumptions!$E$108=1,N$4&gt;=Assumptions!$E$109),1,0)</f>
        <v>1</v>
      </c>
      <c r="O281" s="38" t="n">
        <f aca="false">IF(AND(Assumptions!$E$108=1,O$4&gt;=Assumptions!$E$109),1,0)</f>
        <v>1</v>
      </c>
      <c r="P281" s="38" t="n">
        <f aca="false">IF(AND(Assumptions!$E$108=1,P$4&gt;=Assumptions!$E$109),1,0)</f>
        <v>1</v>
      </c>
      <c r="Q281" s="38" t="n">
        <f aca="false">IF(AND(Assumptions!$E$108=1,Q$4&gt;=Assumptions!$E$109),1,0)</f>
        <v>1</v>
      </c>
      <c r="R281" s="38" t="n">
        <f aca="false">IF(AND(Assumptions!$E$108=1,R$4&gt;=Assumptions!$E$109),1,0)</f>
        <v>1</v>
      </c>
      <c r="S281" s="38" t="n">
        <f aca="false">IF(AND(Assumptions!$E$108=1,S$4&gt;=Assumptions!$E$109),1,0)</f>
        <v>1</v>
      </c>
      <c r="T281" s="38" t="n">
        <f aca="false">IF(AND(Assumptions!$E$108=1,T$4&gt;=Assumptions!$E$109),1,0)</f>
        <v>1</v>
      </c>
      <c r="U281" s="38" t="n">
        <f aca="false">IF(AND(Assumptions!$E$108=1,U$4&gt;=Assumptions!$E$109),1,0)</f>
        <v>1</v>
      </c>
      <c r="V281" s="38" t="n">
        <f aca="false">IF(AND(Assumptions!$E$108=1,V$4&gt;=Assumptions!$E$109),1,0)</f>
        <v>1</v>
      </c>
      <c r="W281" s="38" t="n">
        <f aca="false">IF(AND(Assumptions!$E$108=1,W$4&gt;=Assumptions!$E$109),1,0)</f>
        <v>1</v>
      </c>
      <c r="X281" s="38" t="n">
        <f aca="false">IF(AND(Assumptions!$E$108=1,X$4&gt;=Assumptions!$E$109),1,0)</f>
        <v>1</v>
      </c>
      <c r="Y281" s="38" t="n">
        <f aca="false">IF(AND(Assumptions!$E$108=1,Y$4&gt;=Assumptions!$E$109),1,0)</f>
        <v>1</v>
      </c>
      <c r="Z281" s="38" t="n">
        <f aca="false">IF(AND(Assumptions!$E$108=1,Z$4&gt;=Assumptions!$E$109),1,0)</f>
        <v>1</v>
      </c>
      <c r="AA281" s="38" t="n">
        <f aca="false">IF(AND(Assumptions!$E$108=1,AA$4&gt;=Assumptions!$E$109),1,0)</f>
        <v>1</v>
      </c>
      <c r="AB281" s="38" t="n">
        <f aca="false">IF(AND(Assumptions!$E$108=1,AB$4&gt;=Assumptions!$E$109),1,0)</f>
        <v>1</v>
      </c>
      <c r="AC281" s="38" t="n">
        <f aca="false">IF(AND(Assumptions!$E$108=1,AC$4&gt;=Assumptions!$E$109),1,0)</f>
        <v>1</v>
      </c>
      <c r="AD281" s="38" t="n">
        <f aca="false">IF(AND(Assumptions!$E$108=1,AD$4&gt;=Assumptions!$E$109),1,0)</f>
        <v>1</v>
      </c>
      <c r="AE281" s="38" t="n">
        <f aca="false">IF(AND(Assumptions!$E$108=1,AE$4&gt;=Assumptions!$E$109),1,0)</f>
        <v>1</v>
      </c>
      <c r="AF281" s="38" t="n">
        <f aca="false">IF(AND(Assumptions!$E$108=1,AF$4&gt;=Assumptions!$E$109),1,0)</f>
        <v>1</v>
      </c>
      <c r="AG281" s="38" t="n">
        <f aca="false">IF(AND(Assumptions!$E$108=1,AG$4&gt;=Assumptions!$E$109),1,0)</f>
        <v>1</v>
      </c>
      <c r="AH281" s="38" t="n">
        <f aca="false">IF(AND(Assumptions!$E$108=1,AH$4&gt;=Assumptions!$E$109),1,0)</f>
        <v>1</v>
      </c>
      <c r="AI281" s="38" t="n">
        <f aca="false">IF(AND(Assumptions!$E$108=1,AI$4&gt;=Assumptions!$E$109),1,0)</f>
        <v>1</v>
      </c>
      <c r="AJ281" s="38" t="n">
        <f aca="false">IF(AND(Assumptions!$E$108=1,AJ$4&gt;=Assumptions!$E$109),1,0)</f>
        <v>1</v>
      </c>
      <c r="AK281" s="38" t="n">
        <f aca="false">IF(AND(Assumptions!$E$108=1,AK$4&gt;=Assumptions!$E$109),1,0)</f>
        <v>1</v>
      </c>
      <c r="AL281" s="38" t="n">
        <f aca="false">IF(AND(Assumptions!$E$108=1,AL$4&gt;=Assumptions!$E$109),1,0)</f>
        <v>1</v>
      </c>
    </row>
    <row r="282" customFormat="false" ht="15" hidden="false" customHeight="false" outlineLevel="0" collapsed="false">
      <c r="A282" s="7" t="s">
        <v>756</v>
      </c>
      <c r="B282" s="9" t="s">
        <v>327</v>
      </c>
      <c r="C282" s="14" t="n">
        <f aca="false">IF(C281=0,0,Assumptions!$E$110)</f>
        <v>1200</v>
      </c>
      <c r="D282" s="14" t="n">
        <f aca="false">IF(D281=0,0,IF(D$4=Assumptions!$E$109,Assumptions!$E$110,C282*(1+CHOOSE(D$6,Assumptions!$E$111,Assumptions!$E$112,Assumptions!$E$113))))</f>
        <v>1344</v>
      </c>
      <c r="E282" s="14" t="n">
        <f aca="false">IF(E281=0,0,IF(E$4=Assumptions!$E$109,Assumptions!$E$110,D282*(1+CHOOSE(E$6,Assumptions!$E$111,Assumptions!$E$112,Assumptions!$E$113))))</f>
        <v>1505.28</v>
      </c>
      <c r="F282" s="14" t="n">
        <f aca="false">IF(F281=0,0,IF(F$4=Assumptions!$E$109,Assumptions!$E$110,E282*(1+CHOOSE(F$6,Assumptions!$E$111,Assumptions!$E$112,Assumptions!$E$113))))</f>
        <v>1685.9136</v>
      </c>
      <c r="G282" s="14" t="n">
        <f aca="false">IF(G281=0,0,IF(G$4=Assumptions!$E$109,Assumptions!$E$110,F282*(1+CHOOSE(G$6,Assumptions!$E$111,Assumptions!$E$112,Assumptions!$E$113))))</f>
        <v>1888.223232</v>
      </c>
      <c r="H282" s="14" t="n">
        <f aca="false">IF(H281=0,0,IF(H$4=Assumptions!$E$109,Assumptions!$E$110,G282*(1+CHOOSE(H$6,Assumptions!$E$111,Assumptions!$E$112,Assumptions!$E$113))))</f>
        <v>2114.81001984</v>
      </c>
      <c r="I282" s="14" t="n">
        <f aca="false">IF(I281=0,0,IF(I$4=Assumptions!$E$109,Assumptions!$E$110,H282*(1+CHOOSE(I$6,Assumptions!$E$111,Assumptions!$E$112,Assumptions!$E$113))))</f>
        <v>2368.5872222208</v>
      </c>
      <c r="J282" s="14" t="n">
        <f aca="false">IF(J281=0,0,IF(J$4=Assumptions!$E$109,Assumptions!$E$110,I282*(1+CHOOSE(J$6,Assumptions!$E$111,Assumptions!$E$112,Assumptions!$E$113))))</f>
        <v>2652.8176888873</v>
      </c>
      <c r="K282" s="14" t="n">
        <f aca="false">IF(K281=0,0,IF(K$4=Assumptions!$E$109,Assumptions!$E$110,J282*(1+CHOOSE(K$6,Assumptions!$E$111,Assumptions!$E$112,Assumptions!$E$113))))</f>
        <v>2971.15581155377</v>
      </c>
      <c r="L282" s="14" t="n">
        <f aca="false">IF(L281=0,0,IF(L$4=Assumptions!$E$109,Assumptions!$E$110,K282*(1+CHOOSE(L$6,Assumptions!$E$111,Assumptions!$E$112,Assumptions!$E$113))))</f>
        <v>3327.69450894023</v>
      </c>
      <c r="M282" s="14" t="n">
        <f aca="false">IF(M281=0,0,IF(M$4=Assumptions!$E$109,Assumptions!$E$110,L282*(1+CHOOSE(M$6,Assumptions!$E$111,Assumptions!$E$112,Assumptions!$E$113))))</f>
        <v>3727.01785001305</v>
      </c>
      <c r="N282" s="14" t="n">
        <f aca="false">IF(N281=0,0,IF(N$4=Assumptions!$E$109,Assumptions!$E$110,M282*(1+CHOOSE(N$6,Assumptions!$E$111,Assumptions!$E$112,Assumptions!$E$113))))</f>
        <v>4174.25999201462</v>
      </c>
      <c r="O282" s="14" t="n">
        <f aca="false">IF(O281=0,0,IF(O$4=Assumptions!$E$109,Assumptions!$E$110,N282*(1+CHOOSE(O$6,Assumptions!$E$111,Assumptions!$E$112,Assumptions!$E$113))))</f>
        <v>4424.7155915355</v>
      </c>
      <c r="P282" s="14" t="n">
        <f aca="false">IF(P281=0,0,IF(P$4=Assumptions!$E$109,Assumptions!$E$110,O282*(1+CHOOSE(P$6,Assumptions!$E$111,Assumptions!$E$112,Assumptions!$E$113))))</f>
        <v>4690.19852702763</v>
      </c>
      <c r="Q282" s="14" t="n">
        <f aca="false">IF(Q281=0,0,IF(Q$4=Assumptions!$E$109,Assumptions!$E$110,P282*(1+CHOOSE(Q$6,Assumptions!$E$111,Assumptions!$E$112,Assumptions!$E$113))))</f>
        <v>4971.61043864929</v>
      </c>
      <c r="R282" s="14" t="n">
        <f aca="false">IF(R281=0,0,IF(R$4=Assumptions!$E$109,Assumptions!$E$110,Q282*(1+CHOOSE(R$6,Assumptions!$E$111,Assumptions!$E$112,Assumptions!$E$113))))</f>
        <v>5269.90706496824</v>
      </c>
      <c r="S282" s="14" t="n">
        <f aca="false">IF(S281=0,0,IF(S$4=Assumptions!$E$109,Assumptions!$E$110,R282*(1+CHOOSE(S$6,Assumptions!$E$111,Assumptions!$E$112,Assumptions!$E$113))))</f>
        <v>5586.10148886634</v>
      </c>
      <c r="T282" s="14" t="n">
        <f aca="false">IF(T281=0,0,IF(T$4=Assumptions!$E$109,Assumptions!$E$110,S282*(1+CHOOSE(T$6,Assumptions!$E$111,Assumptions!$E$112,Assumptions!$E$113))))</f>
        <v>5921.26757819832</v>
      </c>
      <c r="U282" s="14" t="n">
        <f aca="false">IF(U281=0,0,IF(U$4=Assumptions!$E$109,Assumptions!$E$110,T282*(1+CHOOSE(U$6,Assumptions!$E$111,Assumptions!$E$112,Assumptions!$E$113))))</f>
        <v>6276.54363289022</v>
      </c>
      <c r="V282" s="14" t="n">
        <f aca="false">IF(V281=0,0,IF(V$4=Assumptions!$E$109,Assumptions!$E$110,U282*(1+CHOOSE(V$6,Assumptions!$E$111,Assumptions!$E$112,Assumptions!$E$113))))</f>
        <v>6653.13625086363</v>
      </c>
      <c r="W282" s="14" t="n">
        <f aca="false">IF(W281=0,0,IF(W$4=Assumptions!$E$109,Assumptions!$E$110,V282*(1+CHOOSE(W$6,Assumptions!$E$111,Assumptions!$E$112,Assumptions!$E$113))))</f>
        <v>7052.32442591545</v>
      </c>
      <c r="X282" s="14" t="n">
        <f aca="false">IF(X281=0,0,IF(X$4=Assumptions!$E$109,Assumptions!$E$110,W282*(1+CHOOSE(X$6,Assumptions!$E$111,Assumptions!$E$112,Assumptions!$E$113))))</f>
        <v>7475.46389147038</v>
      </c>
      <c r="Y282" s="14" t="n">
        <f aca="false">IF(Y281=0,0,IF(Y$4=Assumptions!$E$109,Assumptions!$E$110,X282*(1+CHOOSE(Y$6,Assumptions!$E$111,Assumptions!$E$112,Assumptions!$E$113))))</f>
        <v>7923.9917249586</v>
      </c>
      <c r="Z282" s="14" t="n">
        <f aca="false">IF(Z281=0,0,IF(Z$4=Assumptions!$E$109,Assumptions!$E$110,Y282*(1+CHOOSE(Z$6,Assumptions!$E$111,Assumptions!$E$112,Assumptions!$E$113))))</f>
        <v>8399.43122845612</v>
      </c>
      <c r="AA282" s="14" t="n">
        <f aca="false">IF(AA281=0,0,IF(AA$4=Assumptions!$E$109,Assumptions!$E$110,Z282*(1+CHOOSE(AA$6,Assumptions!$E$111,Assumptions!$E$112,Assumptions!$E$113))))</f>
        <v>8651.4141653098</v>
      </c>
      <c r="AB282" s="14" t="n">
        <f aca="false">IF(AB281=0,0,IF(AB$4=Assumptions!$E$109,Assumptions!$E$110,AA282*(1+CHOOSE(AB$6,Assumptions!$E$111,Assumptions!$E$112,Assumptions!$E$113))))</f>
        <v>8910.9565902691</v>
      </c>
      <c r="AC282" s="14" t="n">
        <f aca="false">IF(AC281=0,0,IF(AC$4=Assumptions!$E$109,Assumptions!$E$110,AB282*(1+CHOOSE(AC$6,Assumptions!$E$111,Assumptions!$E$112,Assumptions!$E$113))))</f>
        <v>9178.28528797717</v>
      </c>
      <c r="AD282" s="14" t="n">
        <f aca="false">IF(AD281=0,0,IF(AD$4=Assumptions!$E$109,Assumptions!$E$110,AC282*(1+CHOOSE(AD$6,Assumptions!$E$111,Assumptions!$E$112,Assumptions!$E$113))))</f>
        <v>9453.63384661648</v>
      </c>
      <c r="AE282" s="14" t="n">
        <f aca="false">IF(AE281=0,0,IF(AE$4=Assumptions!$E$109,Assumptions!$E$110,AD282*(1+CHOOSE(AE$6,Assumptions!$E$111,Assumptions!$E$112,Assumptions!$E$113))))</f>
        <v>9737.24286201498</v>
      </c>
      <c r="AF282" s="14" t="n">
        <f aca="false">IF(AF281=0,0,IF(AF$4=Assumptions!$E$109,Assumptions!$E$110,AE282*(1+CHOOSE(AF$6,Assumptions!$E$111,Assumptions!$E$112,Assumptions!$E$113))))</f>
        <v>10029.3601478754</v>
      </c>
      <c r="AG282" s="14" t="n">
        <f aca="false">IF(AG281=0,0,IF(AG$4=Assumptions!$E$109,Assumptions!$E$110,AF282*(1+CHOOSE(AG$6,Assumptions!$E$111,Assumptions!$E$112,Assumptions!$E$113))))</f>
        <v>10330.2409523117</v>
      </c>
      <c r="AH282" s="14" t="n">
        <f aca="false">IF(AH281=0,0,IF(AH$4=Assumptions!$E$109,Assumptions!$E$110,AG282*(1+CHOOSE(AH$6,Assumptions!$E$111,Assumptions!$E$112,Assumptions!$E$113))))</f>
        <v>10640.148180881</v>
      </c>
      <c r="AI282" s="14" t="n">
        <f aca="false">IF(AI281=0,0,IF(AI$4=Assumptions!$E$109,Assumptions!$E$110,AH282*(1+CHOOSE(AI$6,Assumptions!$E$111,Assumptions!$E$112,Assumptions!$E$113))))</f>
        <v>10959.3526263075</v>
      </c>
      <c r="AJ282" s="14" t="n">
        <f aca="false">IF(AJ281=0,0,IF(AJ$4=Assumptions!$E$109,Assumptions!$E$110,AI282*(1+CHOOSE(AJ$6,Assumptions!$E$111,Assumptions!$E$112,Assumptions!$E$113))))</f>
        <v>11288.1332050967</v>
      </c>
      <c r="AK282" s="14" t="n">
        <f aca="false">IF(AK281=0,0,IF(AK$4=Assumptions!$E$109,Assumptions!$E$110,AJ282*(1+CHOOSE(AK$6,Assumptions!$E$111,Assumptions!$E$112,Assumptions!$E$113))))</f>
        <v>11626.7772012496</v>
      </c>
      <c r="AL282" s="14" t="n">
        <f aca="false">IF(AL281=0,0,IF(AL$4=Assumptions!$E$109,Assumptions!$E$110,AK282*(1+CHOOSE(AL$6,Assumptions!$E$111,Assumptions!$E$112,Assumptions!$E$113))))</f>
        <v>11975.5805172871</v>
      </c>
    </row>
    <row r="283" customFormat="false" ht="15" hidden="false" customHeight="false" outlineLevel="0" collapsed="false">
      <c r="A283" s="7" t="s">
        <v>765</v>
      </c>
      <c r="B283" s="9" t="s">
        <v>327</v>
      </c>
      <c r="C283" s="52" t="n">
        <f aca="false">C282*C$7</f>
        <v>1140</v>
      </c>
      <c r="D283" s="52" t="n">
        <f aca="false">D282*D$7</f>
        <v>1747.2</v>
      </c>
      <c r="E283" s="52" t="n">
        <f aca="false">E282*E$7</f>
        <v>2032.128</v>
      </c>
      <c r="F283" s="52" t="n">
        <f aca="false">F282*F$7</f>
        <v>2107.392</v>
      </c>
      <c r="G283" s="52" t="n">
        <f aca="false">G282*G$7</f>
        <v>1699.4009088</v>
      </c>
      <c r="H283" s="52" t="n">
        <f aca="false">H282*H$7</f>
        <v>2114.81001984</v>
      </c>
      <c r="I283" s="52" t="n">
        <f aca="false">I282*I$7</f>
        <v>2487.01658333184</v>
      </c>
      <c r="J283" s="52" t="n">
        <f aca="false">J282*J$7</f>
        <v>2520.17680444293</v>
      </c>
      <c r="K283" s="52" t="n">
        <f aca="false">K282*K$7</f>
        <v>2971.15581155377</v>
      </c>
      <c r="L283" s="52" t="n">
        <f aca="false">L282*L$7</f>
        <v>3161.30978349322</v>
      </c>
      <c r="M283" s="52" t="n">
        <f aca="false">M282*M$7</f>
        <v>3167.9651725111</v>
      </c>
      <c r="N283" s="52" t="n">
        <f aca="false">N282*N$7</f>
        <v>3548.12099321243</v>
      </c>
      <c r="O283" s="52" t="n">
        <f aca="false">O282*O$7</f>
        <v>4203.47981195872</v>
      </c>
      <c r="P283" s="52" t="n">
        <f aca="false">P282*P$7</f>
        <v>6097.25808513592</v>
      </c>
      <c r="Q283" s="52" t="n">
        <f aca="false">Q282*Q$7</f>
        <v>6711.67409217654</v>
      </c>
      <c r="R283" s="52" t="n">
        <f aca="false">R282*R$7</f>
        <v>6587.38383121031</v>
      </c>
      <c r="S283" s="52" t="n">
        <f aca="false">S282*S$7</f>
        <v>5027.49133997971</v>
      </c>
      <c r="T283" s="52" t="n">
        <f aca="false">T282*T$7</f>
        <v>5921.26757819832</v>
      </c>
      <c r="U283" s="52" t="n">
        <f aca="false">U282*U$7</f>
        <v>6590.37081453473</v>
      </c>
      <c r="V283" s="52" t="n">
        <f aca="false">V282*V$7</f>
        <v>6320.47943832045</v>
      </c>
      <c r="W283" s="52" t="n">
        <f aca="false">W282*W$7</f>
        <v>7052.32442591545</v>
      </c>
      <c r="X283" s="52" t="n">
        <f aca="false">X282*X$7</f>
        <v>7101.69069689686</v>
      </c>
      <c r="Y283" s="52" t="n">
        <f aca="false">Y282*Y$7</f>
        <v>6735.39296621481</v>
      </c>
      <c r="Z283" s="52" t="n">
        <f aca="false">Z282*Z$7</f>
        <v>7139.5165441877</v>
      </c>
      <c r="AA283" s="52" t="n">
        <f aca="false">AA282*AA$7</f>
        <v>8218.84345704431</v>
      </c>
      <c r="AB283" s="52" t="n">
        <f aca="false">AB282*AB$7</f>
        <v>11584.2435673498</v>
      </c>
      <c r="AC283" s="52" t="n">
        <f aca="false">AC282*AC$7</f>
        <v>12390.6851387692</v>
      </c>
      <c r="AD283" s="52" t="n">
        <f aca="false">AD282*AD$7</f>
        <v>11817.0423082706</v>
      </c>
      <c r="AE283" s="52" t="n">
        <f aca="false">AE282*AE$7</f>
        <v>8763.51857581348</v>
      </c>
      <c r="AF283" s="52" t="n">
        <f aca="false">AF282*AF$7</f>
        <v>10029.3601478754</v>
      </c>
      <c r="AG283" s="52" t="n">
        <f aca="false">AG282*AG$7</f>
        <v>10846.7529999273</v>
      </c>
      <c r="AH283" s="52" t="n">
        <f aca="false">AH282*AH$7</f>
        <v>10108.140771837</v>
      </c>
      <c r="AI283" s="52" t="n">
        <f aca="false">AI282*AI$7</f>
        <v>10959.3526263075</v>
      </c>
      <c r="AJ283" s="52" t="n">
        <f aca="false">AJ282*AJ$7</f>
        <v>10723.7265448419</v>
      </c>
      <c r="AK283" s="52" t="n">
        <f aca="false">AK282*AK$7</f>
        <v>9882.76062106216</v>
      </c>
      <c r="AL283" s="52" t="n">
        <f aca="false">AL282*AL$7</f>
        <v>10179.243439694</v>
      </c>
      <c r="AM283" s="53" t="n">
        <f aca="false">SUMIF($C$6:$AL$6,1,C283:AL283)</f>
        <v>28696.6760771853</v>
      </c>
      <c r="AN283" s="53" t="n">
        <f aca="false">SUMIF($C$6:$AL$6,2,C283:AL283)</f>
        <v>75488.3296247295</v>
      </c>
      <c r="AO283" s="53" t="n">
        <f aca="false">SUMIF($C$6:$AL$6,3,C283:AL283)</f>
        <v>125503.670198793</v>
      </c>
      <c r="AP283" s="53" t="n">
        <f aca="false">SUM(C283:AL283)</f>
        <v>229688.675900707</v>
      </c>
    </row>
    <row r="284" customFormat="false" ht="15" hidden="false" customHeight="false" outlineLevel="0" collapsed="false">
      <c r="A284" s="7" t="s">
        <v>758</v>
      </c>
      <c r="B284" s="9" t="s">
        <v>96</v>
      </c>
      <c r="C284" s="54" t="n">
        <f aca="false">Assumptions!$E$114*MIN(1,(C$4-Assumptions!$E$109+1)/Assumptions!$C$10)*C281</f>
        <v>0.00416666666666667</v>
      </c>
      <c r="D284" s="54" t="n">
        <f aca="false">Assumptions!$E$114*MIN(1,(D$4-Assumptions!$E$109+1)/Assumptions!$C$10)*D281</f>
        <v>0.00833333333333333</v>
      </c>
      <c r="E284" s="54" t="n">
        <f aca="false">Assumptions!$E$114*MIN(1,(E$4-Assumptions!$E$109+1)/Assumptions!$C$10)*E281</f>
        <v>0.0125</v>
      </c>
      <c r="F284" s="54" t="n">
        <f aca="false">Assumptions!$E$114*MIN(1,(F$4-Assumptions!$E$109+1)/Assumptions!$C$10)*F281</f>
        <v>0.0166666666666667</v>
      </c>
      <c r="G284" s="54" t="n">
        <f aca="false">Assumptions!$E$114*MIN(1,(G$4-Assumptions!$E$109+1)/Assumptions!$C$10)*G281</f>
        <v>0.0208333333333333</v>
      </c>
      <c r="H284" s="54" t="n">
        <f aca="false">Assumptions!$E$114*MIN(1,(H$4-Assumptions!$E$109+1)/Assumptions!$C$10)*H281</f>
        <v>0.025</v>
      </c>
      <c r="I284" s="54" t="n">
        <f aca="false">Assumptions!$E$114*MIN(1,(I$4-Assumptions!$E$109+1)/Assumptions!$C$10)*I281</f>
        <v>0.025</v>
      </c>
      <c r="J284" s="54" t="n">
        <f aca="false">Assumptions!$E$114*MIN(1,(J$4-Assumptions!$E$109+1)/Assumptions!$C$10)*J281</f>
        <v>0.025</v>
      </c>
      <c r="K284" s="54" t="n">
        <f aca="false">Assumptions!$E$114*MIN(1,(K$4-Assumptions!$E$109+1)/Assumptions!$C$10)*K281</f>
        <v>0.025</v>
      </c>
      <c r="L284" s="54" t="n">
        <f aca="false">Assumptions!$E$114*MIN(1,(L$4-Assumptions!$E$109+1)/Assumptions!$C$10)*L281</f>
        <v>0.025</v>
      </c>
      <c r="M284" s="54" t="n">
        <f aca="false">Assumptions!$E$114*MIN(1,(M$4-Assumptions!$E$109+1)/Assumptions!$C$10)*M281</f>
        <v>0.025</v>
      </c>
      <c r="N284" s="54" t="n">
        <f aca="false">Assumptions!$E$114*MIN(1,(N$4-Assumptions!$E$109+1)/Assumptions!$C$10)*N281</f>
        <v>0.025</v>
      </c>
      <c r="O284" s="54" t="n">
        <f aca="false">Assumptions!$E$114*MIN(1,(O$4-Assumptions!$E$109+1)/Assumptions!$C$10)*O281</f>
        <v>0.025</v>
      </c>
      <c r="P284" s="54" t="n">
        <f aca="false">Assumptions!$E$114*MIN(1,(P$4-Assumptions!$E$109+1)/Assumptions!$C$10)*P281</f>
        <v>0.025</v>
      </c>
      <c r="Q284" s="54" t="n">
        <f aca="false">Assumptions!$E$114*MIN(1,(Q$4-Assumptions!$E$109+1)/Assumptions!$C$10)*Q281</f>
        <v>0.025</v>
      </c>
      <c r="R284" s="54" t="n">
        <f aca="false">Assumptions!$E$114*MIN(1,(R$4-Assumptions!$E$109+1)/Assumptions!$C$10)*R281</f>
        <v>0.025</v>
      </c>
      <c r="S284" s="54" t="n">
        <f aca="false">Assumptions!$E$114*MIN(1,(S$4-Assumptions!$E$109+1)/Assumptions!$C$10)*S281</f>
        <v>0.025</v>
      </c>
      <c r="T284" s="54" t="n">
        <f aca="false">Assumptions!$E$114*MIN(1,(T$4-Assumptions!$E$109+1)/Assumptions!$C$10)*T281</f>
        <v>0.025</v>
      </c>
      <c r="U284" s="54" t="n">
        <f aca="false">Assumptions!$E$114*MIN(1,(U$4-Assumptions!$E$109+1)/Assumptions!$C$10)*U281</f>
        <v>0.025</v>
      </c>
      <c r="V284" s="54" t="n">
        <f aca="false">Assumptions!$E$114*MIN(1,(V$4-Assumptions!$E$109+1)/Assumptions!$C$10)*V281</f>
        <v>0.025</v>
      </c>
      <c r="W284" s="54" t="n">
        <f aca="false">Assumptions!$E$114*MIN(1,(W$4-Assumptions!$E$109+1)/Assumptions!$C$10)*W281</f>
        <v>0.025</v>
      </c>
      <c r="X284" s="54" t="n">
        <f aca="false">Assumptions!$E$114*MIN(1,(X$4-Assumptions!$E$109+1)/Assumptions!$C$10)*X281</f>
        <v>0.025</v>
      </c>
      <c r="Y284" s="54" t="n">
        <f aca="false">Assumptions!$E$114*MIN(1,(Y$4-Assumptions!$E$109+1)/Assumptions!$C$10)*Y281</f>
        <v>0.025</v>
      </c>
      <c r="Z284" s="54" t="n">
        <f aca="false">Assumptions!$E$114*MIN(1,(Z$4-Assumptions!$E$109+1)/Assumptions!$C$10)*Z281</f>
        <v>0.025</v>
      </c>
      <c r="AA284" s="54" t="n">
        <f aca="false">Assumptions!$E$114*MIN(1,(AA$4-Assumptions!$E$109+1)/Assumptions!$C$10)*AA281</f>
        <v>0.025</v>
      </c>
      <c r="AB284" s="54" t="n">
        <f aca="false">Assumptions!$E$114*MIN(1,(AB$4-Assumptions!$E$109+1)/Assumptions!$C$10)*AB281</f>
        <v>0.025</v>
      </c>
      <c r="AC284" s="54" t="n">
        <f aca="false">Assumptions!$E$114*MIN(1,(AC$4-Assumptions!$E$109+1)/Assumptions!$C$10)*AC281</f>
        <v>0.025</v>
      </c>
      <c r="AD284" s="54" t="n">
        <f aca="false">Assumptions!$E$114*MIN(1,(AD$4-Assumptions!$E$109+1)/Assumptions!$C$10)*AD281</f>
        <v>0.025</v>
      </c>
      <c r="AE284" s="54" t="n">
        <f aca="false">Assumptions!$E$114*MIN(1,(AE$4-Assumptions!$E$109+1)/Assumptions!$C$10)*AE281</f>
        <v>0.025</v>
      </c>
      <c r="AF284" s="54" t="n">
        <f aca="false">Assumptions!$E$114*MIN(1,(AF$4-Assumptions!$E$109+1)/Assumptions!$C$10)*AF281</f>
        <v>0.025</v>
      </c>
      <c r="AG284" s="54" t="n">
        <f aca="false">Assumptions!$E$114*MIN(1,(AG$4-Assumptions!$E$109+1)/Assumptions!$C$10)*AG281</f>
        <v>0.025</v>
      </c>
      <c r="AH284" s="54" t="n">
        <f aca="false">Assumptions!$E$114*MIN(1,(AH$4-Assumptions!$E$109+1)/Assumptions!$C$10)*AH281</f>
        <v>0.025</v>
      </c>
      <c r="AI284" s="54" t="n">
        <f aca="false">Assumptions!$E$114*MIN(1,(AI$4-Assumptions!$E$109+1)/Assumptions!$C$10)*AI281</f>
        <v>0.025</v>
      </c>
      <c r="AJ284" s="54" t="n">
        <f aca="false">Assumptions!$E$114*MIN(1,(AJ$4-Assumptions!$E$109+1)/Assumptions!$C$10)*AJ281</f>
        <v>0.025</v>
      </c>
      <c r="AK284" s="54" t="n">
        <f aca="false">Assumptions!$E$114*MIN(1,(AK$4-Assumptions!$E$109+1)/Assumptions!$C$10)*AK281</f>
        <v>0.025</v>
      </c>
      <c r="AL284" s="54" t="n">
        <f aca="false">Assumptions!$E$114*MIN(1,(AL$4-Assumptions!$E$109+1)/Assumptions!$C$10)*AL281</f>
        <v>0.025</v>
      </c>
    </row>
    <row r="285" customFormat="false" ht="15" hidden="false" customHeight="false" outlineLevel="0" collapsed="false">
      <c r="A285" s="7" t="s">
        <v>766</v>
      </c>
      <c r="B285" s="9" t="s">
        <v>760</v>
      </c>
      <c r="C285" s="55" t="n">
        <f aca="false">C283*C284</f>
        <v>4.75</v>
      </c>
      <c r="D285" s="55" t="n">
        <f aca="false">D283*D284</f>
        <v>14.56</v>
      </c>
      <c r="E285" s="55" t="n">
        <f aca="false">E283*E284</f>
        <v>25.4016</v>
      </c>
      <c r="F285" s="55" t="n">
        <f aca="false">F283*F284</f>
        <v>35.1232</v>
      </c>
      <c r="G285" s="55" t="n">
        <f aca="false">G283*G284</f>
        <v>35.4041856</v>
      </c>
      <c r="H285" s="55" t="n">
        <f aca="false">H283*H284</f>
        <v>52.870250496</v>
      </c>
      <c r="I285" s="55" t="n">
        <f aca="false">I283*I284</f>
        <v>62.175414583296</v>
      </c>
      <c r="J285" s="55" t="n">
        <f aca="false">J283*J284</f>
        <v>63.0044201110733</v>
      </c>
      <c r="K285" s="55" t="n">
        <f aca="false">K283*K284</f>
        <v>74.2788952888443</v>
      </c>
      <c r="L285" s="55" t="n">
        <f aca="false">L283*L284</f>
        <v>79.0327445873304</v>
      </c>
      <c r="M285" s="55" t="n">
        <f aca="false">M283*M284</f>
        <v>79.1991293127774</v>
      </c>
      <c r="N285" s="55" t="n">
        <f aca="false">N283*N284</f>
        <v>88.7030248303107</v>
      </c>
      <c r="O285" s="55" t="n">
        <f aca="false">O283*O284</f>
        <v>105.086995298968</v>
      </c>
      <c r="P285" s="55" t="n">
        <f aca="false">P283*P284</f>
        <v>152.431452128398</v>
      </c>
      <c r="Q285" s="55" t="n">
        <f aca="false">Q283*Q284</f>
        <v>167.791852304413</v>
      </c>
      <c r="R285" s="55" t="n">
        <f aca="false">R283*R284</f>
        <v>164.684595780258</v>
      </c>
      <c r="S285" s="55" t="n">
        <f aca="false">S283*S284</f>
        <v>125.687283499493</v>
      </c>
      <c r="T285" s="55" t="n">
        <f aca="false">T283*T284</f>
        <v>148.031689454958</v>
      </c>
      <c r="U285" s="55" t="n">
        <f aca="false">U283*U284</f>
        <v>164.759270363368</v>
      </c>
      <c r="V285" s="55" t="n">
        <f aca="false">V283*V284</f>
        <v>158.011985958011</v>
      </c>
      <c r="W285" s="55" t="n">
        <f aca="false">W283*W284</f>
        <v>176.308110647886</v>
      </c>
      <c r="X285" s="55" t="n">
        <f aca="false">X283*X284</f>
        <v>177.542267422422</v>
      </c>
      <c r="Y285" s="55" t="n">
        <f aca="false">Y283*Y284</f>
        <v>168.38482415537</v>
      </c>
      <c r="Z285" s="55" t="n">
        <f aca="false">Z283*Z284</f>
        <v>178.487913604693</v>
      </c>
      <c r="AA285" s="55" t="n">
        <f aca="false">AA283*AA284</f>
        <v>205.471086426108</v>
      </c>
      <c r="AB285" s="55" t="n">
        <f aca="false">AB283*AB284</f>
        <v>289.606089183746</v>
      </c>
      <c r="AC285" s="55" t="n">
        <f aca="false">AC283*AC284</f>
        <v>309.76712846923</v>
      </c>
      <c r="AD285" s="55" t="n">
        <f aca="false">AD283*AD284</f>
        <v>295.426057706765</v>
      </c>
      <c r="AE285" s="55" t="n">
        <f aca="false">AE283*AE284</f>
        <v>219.087964395337</v>
      </c>
      <c r="AF285" s="55" t="n">
        <f aca="false">AF283*AF284</f>
        <v>250.734003696886</v>
      </c>
      <c r="AG285" s="55" t="n">
        <f aca="false">AG283*AG284</f>
        <v>271.168824998182</v>
      </c>
      <c r="AH285" s="55" t="n">
        <f aca="false">AH283*AH284</f>
        <v>252.703519295925</v>
      </c>
      <c r="AI285" s="55" t="n">
        <f aca="false">AI283*AI284</f>
        <v>273.983815657687</v>
      </c>
      <c r="AJ285" s="55" t="n">
        <f aca="false">AJ283*AJ284</f>
        <v>268.093163621047</v>
      </c>
      <c r="AK285" s="55" t="n">
        <f aca="false">AK283*AK284</f>
        <v>247.069015526554</v>
      </c>
      <c r="AL285" s="55" t="n">
        <f aca="false">AL283*AL284</f>
        <v>254.481085992351</v>
      </c>
      <c r="AM285" s="53" t="n">
        <f aca="false">SUMIF($C$6:$AL$6,1,C285:AL285)</f>
        <v>614.502864809632</v>
      </c>
      <c r="AN285" s="53" t="n">
        <f aca="false">SUMIF($C$6:$AL$6,2,C285:AL285)</f>
        <v>1887.20824061824</v>
      </c>
      <c r="AO285" s="53" t="n">
        <f aca="false">SUMIF($C$6:$AL$6,3,C285:AL285)</f>
        <v>3137.59175496982</v>
      </c>
      <c r="AP285" s="53" t="n">
        <f aca="false">SUM(C285:AL285)</f>
        <v>5639.30286039769</v>
      </c>
    </row>
    <row r="286" customFormat="false" ht="15" hidden="false" customHeight="false" outlineLevel="0" collapsed="false">
      <c r="A286" s="7" t="s">
        <v>761</v>
      </c>
      <c r="B286" s="9" t="s">
        <v>342</v>
      </c>
      <c r="C286" s="56" t="n">
        <f aca="false">C285*Assumptions!$E$115</f>
        <v>6.175</v>
      </c>
      <c r="D286" s="56" t="n">
        <f aca="false">D285*Assumptions!$E$115</f>
        <v>18.928</v>
      </c>
      <c r="E286" s="56" t="n">
        <f aca="false">E285*Assumptions!$E$115</f>
        <v>33.02208</v>
      </c>
      <c r="F286" s="56" t="n">
        <f aca="false">F285*Assumptions!$E$115</f>
        <v>45.66016</v>
      </c>
      <c r="G286" s="56" t="n">
        <f aca="false">G285*Assumptions!$E$115</f>
        <v>46.02544128</v>
      </c>
      <c r="H286" s="56" t="n">
        <f aca="false">H285*Assumptions!$E$115</f>
        <v>68.7313256448001</v>
      </c>
      <c r="I286" s="56" t="n">
        <f aca="false">I285*Assumptions!$E$115</f>
        <v>80.8280389582849</v>
      </c>
      <c r="J286" s="56" t="n">
        <f aca="false">J285*Assumptions!$E$115</f>
        <v>81.9057461443953</v>
      </c>
      <c r="K286" s="56" t="n">
        <f aca="false">K285*Assumptions!$E$115</f>
        <v>96.5625638754976</v>
      </c>
      <c r="L286" s="56" t="n">
        <f aca="false">L285*Assumptions!$E$115</f>
        <v>102.74256796353</v>
      </c>
      <c r="M286" s="56" t="n">
        <f aca="false">M285*Assumptions!$E$115</f>
        <v>102.958868106611</v>
      </c>
      <c r="N286" s="56" t="n">
        <f aca="false">N285*Assumptions!$E$115</f>
        <v>115.313932279404</v>
      </c>
      <c r="O286" s="56" t="n">
        <f aca="false">O285*Assumptions!$E$115</f>
        <v>136.613093888659</v>
      </c>
      <c r="P286" s="56" t="n">
        <f aca="false">P285*Assumptions!$E$115</f>
        <v>198.160887766917</v>
      </c>
      <c r="Q286" s="56" t="n">
        <f aca="false">Q285*Assumptions!$E$115</f>
        <v>218.129407995738</v>
      </c>
      <c r="R286" s="56" t="n">
        <f aca="false">R285*Assumptions!$E$115</f>
        <v>214.089974514335</v>
      </c>
      <c r="S286" s="56" t="n">
        <f aca="false">S285*Assumptions!$E$115</f>
        <v>163.39346854934</v>
      </c>
      <c r="T286" s="56" t="n">
        <f aca="false">T285*Assumptions!$E$115</f>
        <v>192.441196291445</v>
      </c>
      <c r="U286" s="56" t="n">
        <f aca="false">U285*Assumptions!$E$115</f>
        <v>214.187051472379</v>
      </c>
      <c r="V286" s="56" t="n">
        <f aca="false">V285*Assumptions!$E$115</f>
        <v>205.415581745415</v>
      </c>
      <c r="W286" s="56" t="n">
        <f aca="false">W285*Assumptions!$E$115</f>
        <v>229.200543842252</v>
      </c>
      <c r="X286" s="56" t="n">
        <f aca="false">X285*Assumptions!$E$115</f>
        <v>230.804947649148</v>
      </c>
      <c r="Y286" s="56" t="n">
        <f aca="false">Y285*Assumptions!$E$115</f>
        <v>218.900271401981</v>
      </c>
      <c r="Z286" s="56" t="n">
        <f aca="false">Z285*Assumptions!$E$115</f>
        <v>232.0342876861</v>
      </c>
      <c r="AA286" s="56" t="n">
        <f aca="false">AA285*Assumptions!$E$115</f>
        <v>267.11241235394</v>
      </c>
      <c r="AB286" s="56" t="n">
        <f aca="false">AB285*Assumptions!$E$115</f>
        <v>376.487915938869</v>
      </c>
      <c r="AC286" s="56" t="n">
        <f aca="false">AC285*Assumptions!$E$115</f>
        <v>402.697267009998</v>
      </c>
      <c r="AD286" s="56" t="n">
        <f aca="false">AD285*Assumptions!$E$115</f>
        <v>384.053875018795</v>
      </c>
      <c r="AE286" s="56" t="n">
        <f aca="false">AE285*Assumptions!$E$115</f>
        <v>284.814353713938</v>
      </c>
      <c r="AF286" s="56" t="n">
        <f aca="false">AF285*Assumptions!$E$115</f>
        <v>325.954204805951</v>
      </c>
      <c r="AG286" s="56" t="n">
        <f aca="false">AG285*Assumptions!$E$115</f>
        <v>352.519472497636</v>
      </c>
      <c r="AH286" s="56" t="n">
        <f aca="false">AH285*Assumptions!$E$115</f>
        <v>328.514575084702</v>
      </c>
      <c r="AI286" s="56" t="n">
        <f aca="false">AI285*Assumptions!$E$115</f>
        <v>356.178960354993</v>
      </c>
      <c r="AJ286" s="56" t="n">
        <f aca="false">AJ285*Assumptions!$E$115</f>
        <v>348.521112707361</v>
      </c>
      <c r="AK286" s="56" t="n">
        <f aca="false">AK285*Assumptions!$E$115</f>
        <v>321.18972018452</v>
      </c>
      <c r="AL286" s="56" t="n">
        <f aca="false">AL285*Assumptions!$E$115</f>
        <v>330.825411790056</v>
      </c>
      <c r="AM286" s="53" t="n">
        <f aca="false">SUMIF($C$6:$AL$6,1,C286:AL286)</f>
        <v>798.853724252522</v>
      </c>
      <c r="AN286" s="53" t="n">
        <f aca="false">SUMIF($C$6:$AL$6,2,C286:AL286)</f>
        <v>2453.37071280371</v>
      </c>
      <c r="AO286" s="53" t="n">
        <f aca="false">SUMIF($C$6:$AL$6,3,C286:AL286)</f>
        <v>4078.86928146076</v>
      </c>
      <c r="AP286" s="53" t="n">
        <f aca="false">SUM(C286:AL286)</f>
        <v>7331.09371851699</v>
      </c>
    </row>
    <row r="287" customFormat="false" ht="15" hidden="false" customHeight="false" outlineLevel="0" collapsed="false">
      <c r="A287" s="7" t="s">
        <v>762</v>
      </c>
      <c r="B287" s="9" t="s">
        <v>101</v>
      </c>
      <c r="C287" s="15" t="n">
        <f aca="false">'Unit Economics'!$E$51*Assumptions!$E$115*C281</f>
        <v>11.3907857142857</v>
      </c>
      <c r="D287" s="15" t="n">
        <f aca="false">'Unit Economics'!$E$51*Assumptions!$E$115*D281</f>
        <v>11.3907857142857</v>
      </c>
      <c r="E287" s="15" t="n">
        <f aca="false">'Unit Economics'!$E$51*Assumptions!$E$115*E281</f>
        <v>11.3907857142857</v>
      </c>
      <c r="F287" s="15" t="n">
        <f aca="false">'Unit Economics'!$E$51*Assumptions!$E$115*F281</f>
        <v>11.3907857142857</v>
      </c>
      <c r="G287" s="15" t="n">
        <f aca="false">'Unit Economics'!$E$51*Assumptions!$E$115*G281</f>
        <v>11.3907857142857</v>
      </c>
      <c r="H287" s="15" t="n">
        <f aca="false">'Unit Economics'!$E$51*Assumptions!$E$115*H281</f>
        <v>11.3907857142857</v>
      </c>
      <c r="I287" s="15" t="n">
        <f aca="false">'Unit Economics'!$E$51*Assumptions!$E$115*I281</f>
        <v>11.3907857142857</v>
      </c>
      <c r="J287" s="15" t="n">
        <f aca="false">'Unit Economics'!$E$51*Assumptions!$E$115*J281</f>
        <v>11.3907857142857</v>
      </c>
      <c r="K287" s="15" t="n">
        <f aca="false">'Unit Economics'!$E$51*Assumptions!$E$115*K281</f>
        <v>11.3907857142857</v>
      </c>
      <c r="L287" s="15" t="n">
        <f aca="false">'Unit Economics'!$E$51*Assumptions!$E$115*L281</f>
        <v>11.3907857142857</v>
      </c>
      <c r="M287" s="15" t="n">
        <f aca="false">'Unit Economics'!$E$51*Assumptions!$E$115*M281</f>
        <v>11.3907857142857</v>
      </c>
      <c r="N287" s="15" t="n">
        <f aca="false">'Unit Economics'!$E$51*Assumptions!$E$115*N281</f>
        <v>11.3907857142857</v>
      </c>
      <c r="O287" s="15" t="n">
        <f aca="false">'Unit Economics'!$E$51*Assumptions!$E$115*O281</f>
        <v>11.3907857142857</v>
      </c>
      <c r="P287" s="15" t="n">
        <f aca="false">'Unit Economics'!$E$51*Assumptions!$E$115*P281</f>
        <v>11.3907857142857</v>
      </c>
      <c r="Q287" s="15" t="n">
        <f aca="false">'Unit Economics'!$E$51*Assumptions!$E$115*Q281</f>
        <v>11.3907857142857</v>
      </c>
      <c r="R287" s="15" t="n">
        <f aca="false">'Unit Economics'!$E$51*Assumptions!$E$115*R281</f>
        <v>11.3907857142857</v>
      </c>
      <c r="S287" s="15" t="n">
        <f aca="false">'Unit Economics'!$E$51*Assumptions!$E$115*S281</f>
        <v>11.3907857142857</v>
      </c>
      <c r="T287" s="15" t="n">
        <f aca="false">'Unit Economics'!$E$51*Assumptions!$E$115*T281</f>
        <v>11.3907857142857</v>
      </c>
      <c r="U287" s="15" t="n">
        <f aca="false">'Unit Economics'!$E$51*Assumptions!$E$115*U281</f>
        <v>11.3907857142857</v>
      </c>
      <c r="V287" s="15" t="n">
        <f aca="false">'Unit Economics'!$E$51*Assumptions!$E$115*V281</f>
        <v>11.3907857142857</v>
      </c>
      <c r="W287" s="15" t="n">
        <f aca="false">'Unit Economics'!$E$51*Assumptions!$E$115*W281</f>
        <v>11.3907857142857</v>
      </c>
      <c r="X287" s="15" t="n">
        <f aca="false">'Unit Economics'!$E$51*Assumptions!$E$115*X281</f>
        <v>11.3907857142857</v>
      </c>
      <c r="Y287" s="15" t="n">
        <f aca="false">'Unit Economics'!$E$51*Assumptions!$E$115*Y281</f>
        <v>11.3907857142857</v>
      </c>
      <c r="Z287" s="15" t="n">
        <f aca="false">'Unit Economics'!$E$51*Assumptions!$E$115*Z281</f>
        <v>11.3907857142857</v>
      </c>
      <c r="AA287" s="15" t="n">
        <f aca="false">'Unit Economics'!$E$51*Assumptions!$E$115*AA281</f>
        <v>11.3907857142857</v>
      </c>
      <c r="AB287" s="15" t="n">
        <f aca="false">'Unit Economics'!$E$51*Assumptions!$E$115*AB281</f>
        <v>11.3907857142857</v>
      </c>
      <c r="AC287" s="15" t="n">
        <f aca="false">'Unit Economics'!$E$51*Assumptions!$E$115*AC281</f>
        <v>11.3907857142857</v>
      </c>
      <c r="AD287" s="15" t="n">
        <f aca="false">'Unit Economics'!$E$51*Assumptions!$E$115*AD281</f>
        <v>11.3907857142857</v>
      </c>
      <c r="AE287" s="15" t="n">
        <f aca="false">'Unit Economics'!$E$51*Assumptions!$E$115*AE281</f>
        <v>11.3907857142857</v>
      </c>
      <c r="AF287" s="15" t="n">
        <f aca="false">'Unit Economics'!$E$51*Assumptions!$E$115*AF281</f>
        <v>11.3907857142857</v>
      </c>
      <c r="AG287" s="15" t="n">
        <f aca="false">'Unit Economics'!$E$51*Assumptions!$E$115*AG281</f>
        <v>11.3907857142857</v>
      </c>
      <c r="AH287" s="15" t="n">
        <f aca="false">'Unit Economics'!$E$51*Assumptions!$E$115*AH281</f>
        <v>11.3907857142857</v>
      </c>
      <c r="AI287" s="15" t="n">
        <f aca="false">'Unit Economics'!$E$51*Assumptions!$E$115*AI281</f>
        <v>11.3907857142857</v>
      </c>
      <c r="AJ287" s="15" t="n">
        <f aca="false">'Unit Economics'!$E$51*Assumptions!$E$115*AJ281</f>
        <v>11.3907857142857</v>
      </c>
      <c r="AK287" s="15" t="n">
        <f aca="false">'Unit Economics'!$E$51*Assumptions!$E$115*AK281</f>
        <v>11.3907857142857</v>
      </c>
      <c r="AL287" s="15" t="n">
        <f aca="false">'Unit Economics'!$E$51*Assumptions!$E$115*AL281</f>
        <v>11.3907857142857</v>
      </c>
    </row>
    <row r="288" customFormat="false" ht="15" hidden="false" customHeight="false" outlineLevel="0" collapsed="false">
      <c r="A288" s="7" t="s">
        <v>763</v>
      </c>
      <c r="B288" s="9" t="s">
        <v>101</v>
      </c>
      <c r="C288" s="8" t="n">
        <f aca="false">C286*'Unit Economics'!$E$51</f>
        <v>54.1062321428571</v>
      </c>
      <c r="D288" s="8" t="n">
        <f aca="false">D286*'Unit Economics'!$E$51</f>
        <v>165.84984</v>
      </c>
      <c r="E288" s="8" t="n">
        <f aca="false">E286*'Unit Economics'!$E$51</f>
        <v>289.3441824</v>
      </c>
      <c r="F288" s="8" t="n">
        <f aca="false">F286*'Unit Economics'!$E$51</f>
        <v>400.0808448</v>
      </c>
      <c r="G288" s="8" t="n">
        <f aca="false">G286*'Unit Economics'!$E$51</f>
        <v>403.2814915584</v>
      </c>
      <c r="H288" s="8" t="n">
        <f aca="false">H286*'Unit Economics'!$E$51</f>
        <v>602.233694060544</v>
      </c>
      <c r="I288" s="8" t="n">
        <f aca="false">I286*'Unit Economics'!$E$51</f>
        <v>708.2268242152</v>
      </c>
      <c r="J288" s="8" t="n">
        <f aca="false">J286*'Unit Economics'!$E$51</f>
        <v>717.66984853807</v>
      </c>
      <c r="K288" s="8" t="n">
        <f aca="false">K286*'Unit Economics'!$E$51</f>
        <v>846.094979329093</v>
      </c>
      <c r="L288" s="8" t="n">
        <f aca="false">L286*'Unit Economics'!$E$51</f>
        <v>900.245058006155</v>
      </c>
      <c r="M288" s="8" t="n">
        <f aca="false">M286*'Unit Economics'!$E$51</f>
        <v>902.140310759852</v>
      </c>
      <c r="N288" s="8" t="n">
        <f aca="false">N286*'Unit Economics'!$E$51</f>
        <v>1010.39714805103</v>
      </c>
      <c r="O288" s="8" t="n">
        <f aca="false">O286*'Unit Economics'!$E$51</f>
        <v>1197.0234448087</v>
      </c>
      <c r="P288" s="8" t="n">
        <f aca="false">P286*'Unit Economics'!$E$51</f>
        <v>1736.31400731198</v>
      </c>
      <c r="Q288" s="8" t="n">
        <f aca="false">Q286*'Unit Economics'!$E$51</f>
        <v>1911.28103420265</v>
      </c>
      <c r="R288" s="8" t="n">
        <f aca="false">R286*'Unit Economics'!$E$51</f>
        <v>1875.88694097668</v>
      </c>
      <c r="S288" s="8" t="n">
        <f aca="false">S286*'Unit Economics'!$E$51</f>
        <v>1431.6769133534</v>
      </c>
      <c r="T288" s="8" t="n">
        <f aca="false">T286*'Unit Economics'!$E$51</f>
        <v>1686.19725350512</v>
      </c>
      <c r="U288" s="8" t="n">
        <f aca="false">U286*'Unit Economics'!$E$51</f>
        <v>1876.73754315119</v>
      </c>
      <c r="V288" s="8" t="n">
        <f aca="false">V286*'Unit Economics'!$E$51</f>
        <v>1799.88067233643</v>
      </c>
      <c r="W288" s="8" t="n">
        <f aca="false">W286*'Unit Economics'!$E$51</f>
        <v>2008.28790808065</v>
      </c>
      <c r="X288" s="8" t="n">
        <f aca="false">X286*'Unit Economics'!$E$51</f>
        <v>2022.34592343721</v>
      </c>
      <c r="Y288" s="8" t="n">
        <f aca="false">Y286*'Unit Economics'!$E$51</f>
        <v>1918.0354494915</v>
      </c>
      <c r="Z288" s="8" t="n">
        <f aca="false">Z286*'Unit Economics'!$E$51</f>
        <v>2033.11757646099</v>
      </c>
      <c r="AA288" s="8" t="n">
        <f aca="false">AA286*'Unit Economics'!$E$51</f>
        <v>2340.47711596127</v>
      </c>
      <c r="AB288" s="8" t="n">
        <f aca="false">AB286*'Unit Economics'!$E$51</f>
        <v>3298.84090344436</v>
      </c>
      <c r="AC288" s="8" t="n">
        <f aca="false">AC286*'Unit Economics'!$E$51</f>
        <v>3528.49098172261</v>
      </c>
      <c r="AD288" s="8" t="n">
        <f aca="false">AD286*'Unit Economics'!$E$51</f>
        <v>3365.13491775397</v>
      </c>
      <c r="AE288" s="8" t="n">
        <f aca="false">AE286*'Unit Economics'!$E$51</f>
        <v>2495.58405500634</v>
      </c>
      <c r="AF288" s="8" t="n">
        <f aca="false">AF286*'Unit Economics'!$E$51</f>
        <v>2856.05730739615</v>
      </c>
      <c r="AG288" s="8" t="n">
        <f aca="false">AG286*'Unit Economics'!$E$51</f>
        <v>3088.82597794893</v>
      </c>
      <c r="AH288" s="8" t="n">
        <f aca="false">AH286*'Unit Economics'!$E$51</f>
        <v>2878.49163754574</v>
      </c>
      <c r="AI288" s="8" t="n">
        <f aca="false">AI286*'Unit Economics'!$E$51</f>
        <v>3120.89093333907</v>
      </c>
      <c r="AJ288" s="8" t="n">
        <f aca="false">AJ286*'Unit Economics'!$E$51</f>
        <v>3053.79177827228</v>
      </c>
      <c r="AK288" s="8" t="n">
        <f aca="false">AK286*'Unit Economics'!$E$51</f>
        <v>2814.31021250251</v>
      </c>
      <c r="AL288" s="8" t="n">
        <f aca="false">AL286*'Unit Economics'!$E$51</f>
        <v>2898.73951887758</v>
      </c>
      <c r="AM288" s="45" t="n">
        <f aca="false">SUMIF($C$6:$AL$6,1,C288:AL288)</f>
        <v>6999.67045386121</v>
      </c>
      <c r="AN288" s="45" t="n">
        <f aca="false">SUMIF($C$6:$AL$6,2,C288:AL288)</f>
        <v>21496.7846671165</v>
      </c>
      <c r="AO288" s="45" t="n">
        <f aca="false">SUMIF($C$6:$AL$6,3,C288:AL288)</f>
        <v>35739.6353397708</v>
      </c>
      <c r="AP288" s="45" t="n">
        <f aca="false">SUM(C288:AL288)</f>
        <v>64236.0904607485</v>
      </c>
    </row>
    <row r="289" customFormat="false" ht="15" hidden="false" customHeight="false" outlineLevel="0" collapsed="false">
      <c r="A289" s="7" t="s">
        <v>764</v>
      </c>
      <c r="B289" s="9" t="s">
        <v>101</v>
      </c>
      <c r="C289" s="8" t="n">
        <f aca="false">C286*'Unit Economics'!$F$51</f>
        <v>44.2936719642857</v>
      </c>
      <c r="D289" s="8" t="n">
        <f aca="false">D286*'Unit Economics'!$F$51</f>
        <v>135.7717608</v>
      </c>
      <c r="E289" s="8" t="n">
        <f aca="false">E286*'Unit Economics'!$F$51</f>
        <v>236.869502688</v>
      </c>
      <c r="F289" s="8" t="n">
        <f aca="false">F286*'Unit Economics'!$F$51</f>
        <v>327.523262976</v>
      </c>
      <c r="G289" s="8" t="n">
        <f aca="false">G286*'Unit Economics'!$F$51</f>
        <v>330.143449079808</v>
      </c>
      <c r="H289" s="8" t="n">
        <f aca="false">H286*'Unit Economics'!$F$51</f>
        <v>493.014217292514</v>
      </c>
      <c r="I289" s="8" t="n">
        <f aca="false">I286*'Unit Economics'!$F$51</f>
        <v>579.784719535996</v>
      </c>
      <c r="J289" s="8" t="n">
        <f aca="false">J286*'Unit Economics'!$F$51</f>
        <v>587.515182463143</v>
      </c>
      <c r="K289" s="8" t="n">
        <f aca="false">K286*'Unit Economics'!$F$51</f>
        <v>692.649478272337</v>
      </c>
      <c r="L289" s="8" t="n">
        <f aca="false">L286*'Unit Economics'!$F$51</f>
        <v>736.979044881766</v>
      </c>
      <c r="M289" s="8" t="n">
        <f aca="false">M286*'Unit Economics'!$F$51</f>
        <v>738.530579713097</v>
      </c>
      <c r="N289" s="8" t="n">
        <f aca="false">N286*'Unit Economics'!$F$51</f>
        <v>827.154249278668</v>
      </c>
      <c r="O289" s="8" t="n">
        <f aca="false">O286*'Unit Economics'!$F$51</f>
        <v>979.934504733669</v>
      </c>
      <c r="P289" s="8" t="n">
        <f aca="false">P286*'Unit Economics'!$F$51</f>
        <v>1421.42078686631</v>
      </c>
      <c r="Q289" s="8" t="n">
        <f aca="false">Q286*'Unit Economics'!$F$51</f>
        <v>1564.65626615822</v>
      </c>
      <c r="R289" s="8" t="n">
        <f aca="false">R286*'Unit Economics'!$F$51</f>
        <v>1535.68115011826</v>
      </c>
      <c r="S289" s="8" t="n">
        <f aca="false">S286*'Unit Economics'!$F$51</f>
        <v>1172.03185377025</v>
      </c>
      <c r="T289" s="8" t="n">
        <f aca="false">T286*'Unit Economics'!$F$51</f>
        <v>1380.3930722183</v>
      </c>
      <c r="U289" s="8" t="n">
        <f aca="false">U286*'Unit Economics'!$F$51</f>
        <v>1536.37748937897</v>
      </c>
      <c r="V289" s="8" t="n">
        <f aca="false">V286*'Unit Economics'!$F$51</f>
        <v>1473.45917314726</v>
      </c>
      <c r="W289" s="8" t="n">
        <f aca="false">W286*'Unit Economics'!$F$51</f>
        <v>1644.07023530115</v>
      </c>
      <c r="X289" s="8" t="n">
        <f aca="false">X286*'Unit Economics'!$F$51</f>
        <v>1655.57872694826</v>
      </c>
      <c r="Y289" s="8" t="n">
        <f aca="false">Y286*'Unit Economics'!$F$51</f>
        <v>1570.18571892672</v>
      </c>
      <c r="Z289" s="8" t="n">
        <f aca="false">Z286*'Unit Economics'!$F$51</f>
        <v>1664.39686206232</v>
      </c>
      <c r="AA289" s="8" t="n">
        <f aca="false">AA286*'Unit Economics'!$F$51</f>
        <v>1916.01450532704</v>
      </c>
      <c r="AB289" s="8" t="n">
        <f aca="false">AB286*'Unit Economics'!$F$51</f>
        <v>2700.57202382411</v>
      </c>
      <c r="AC289" s="8" t="n">
        <f aca="false">AC286*'Unit Economics'!$F$51</f>
        <v>2888.57338394417</v>
      </c>
      <c r="AD289" s="8" t="n">
        <f aca="false">AD286*'Unit Economics'!$F$51</f>
        <v>2754.84313468749</v>
      </c>
      <c r="AE289" s="8" t="n">
        <f aca="false">AE286*'Unit Economics'!$F$51</f>
        <v>2042.99166868425</v>
      </c>
      <c r="AF289" s="8" t="n">
        <f aca="false">AF286*'Unit Economics'!$F$51</f>
        <v>2338.09046527197</v>
      </c>
      <c r="AG289" s="8" t="n">
        <f aca="false">AG286*'Unit Economics'!$F$51</f>
        <v>2528.64483819164</v>
      </c>
      <c r="AH289" s="8" t="n">
        <f aca="false">AH286*'Unit Economics'!$F$51</f>
        <v>2356.45616587668</v>
      </c>
      <c r="AI289" s="8" t="n">
        <f aca="false">AI286*'Unit Economics'!$F$51</f>
        <v>2554.89457984524</v>
      </c>
      <c r="AJ289" s="8" t="n">
        <f aca="false">AJ286*'Unit Economics'!$F$51</f>
        <v>2499.96434637857</v>
      </c>
      <c r="AK289" s="8" t="n">
        <f aca="false">AK286*'Unit Economics'!$F$51</f>
        <v>2303.91451079415</v>
      </c>
      <c r="AL289" s="8" t="n">
        <f aca="false">AL286*'Unit Economics'!$F$51</f>
        <v>2373.03194611797</v>
      </c>
      <c r="AM289" s="45" t="n">
        <f aca="false">SUMIF($C$6:$AL$6,1,C289:AL289)</f>
        <v>5730.22911894561</v>
      </c>
      <c r="AN289" s="45" t="n">
        <f aca="false">SUMIF($C$6:$AL$6,2,C289:AL289)</f>
        <v>17598.1858396297</v>
      </c>
      <c r="AO289" s="45" t="n">
        <f aca="false">SUMIF($C$6:$AL$6,3,C289:AL289)</f>
        <v>29257.9915689433</v>
      </c>
      <c r="AP289" s="45" t="n">
        <f aca="false">SUM(C289:AL289)</f>
        <v>52586.4065275186</v>
      </c>
    </row>
    <row r="290" customFormat="false" ht="15" hidden="false" customHeight="false" outlineLevel="0" collapsed="false">
      <c r="A290" s="5" t="s">
        <v>573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</row>
    <row r="291" customFormat="false" ht="15" hidden="false" customHeight="false" outlineLevel="0" collapsed="false">
      <c r="A291" s="7" t="s">
        <v>755</v>
      </c>
      <c r="B291" s="9" t="s">
        <v>319</v>
      </c>
      <c r="C291" s="38" t="n">
        <f aca="false">IF(AND(Assumptions!$E$117=1,C$4&gt;=Assumptions!$E$118),1,0)</f>
        <v>0</v>
      </c>
      <c r="D291" s="38" t="n">
        <f aca="false">IF(AND(Assumptions!$E$117=1,D$4&gt;=Assumptions!$E$118),1,0)</f>
        <v>1</v>
      </c>
      <c r="E291" s="38" t="n">
        <f aca="false">IF(AND(Assumptions!$E$117=1,E$4&gt;=Assumptions!$E$118),1,0)</f>
        <v>1</v>
      </c>
      <c r="F291" s="38" t="n">
        <f aca="false">IF(AND(Assumptions!$E$117=1,F$4&gt;=Assumptions!$E$118),1,0)</f>
        <v>1</v>
      </c>
      <c r="G291" s="38" t="n">
        <f aca="false">IF(AND(Assumptions!$E$117=1,G$4&gt;=Assumptions!$E$118),1,0)</f>
        <v>1</v>
      </c>
      <c r="H291" s="38" t="n">
        <f aca="false">IF(AND(Assumptions!$E$117=1,H$4&gt;=Assumptions!$E$118),1,0)</f>
        <v>1</v>
      </c>
      <c r="I291" s="38" t="n">
        <f aca="false">IF(AND(Assumptions!$E$117=1,I$4&gt;=Assumptions!$E$118),1,0)</f>
        <v>1</v>
      </c>
      <c r="J291" s="38" t="n">
        <f aca="false">IF(AND(Assumptions!$E$117=1,J$4&gt;=Assumptions!$E$118),1,0)</f>
        <v>1</v>
      </c>
      <c r="K291" s="38" t="n">
        <f aca="false">IF(AND(Assumptions!$E$117=1,K$4&gt;=Assumptions!$E$118),1,0)</f>
        <v>1</v>
      </c>
      <c r="L291" s="38" t="n">
        <f aca="false">IF(AND(Assumptions!$E$117=1,L$4&gt;=Assumptions!$E$118),1,0)</f>
        <v>1</v>
      </c>
      <c r="M291" s="38" t="n">
        <f aca="false">IF(AND(Assumptions!$E$117=1,M$4&gt;=Assumptions!$E$118),1,0)</f>
        <v>1</v>
      </c>
      <c r="N291" s="38" t="n">
        <f aca="false">IF(AND(Assumptions!$E$117=1,N$4&gt;=Assumptions!$E$118),1,0)</f>
        <v>1</v>
      </c>
      <c r="O291" s="38" t="n">
        <f aca="false">IF(AND(Assumptions!$E$117=1,O$4&gt;=Assumptions!$E$118),1,0)</f>
        <v>1</v>
      </c>
      <c r="P291" s="38" t="n">
        <f aca="false">IF(AND(Assumptions!$E$117=1,P$4&gt;=Assumptions!$E$118),1,0)</f>
        <v>1</v>
      </c>
      <c r="Q291" s="38" t="n">
        <f aca="false">IF(AND(Assumptions!$E$117=1,Q$4&gt;=Assumptions!$E$118),1,0)</f>
        <v>1</v>
      </c>
      <c r="R291" s="38" t="n">
        <f aca="false">IF(AND(Assumptions!$E$117=1,R$4&gt;=Assumptions!$E$118),1,0)</f>
        <v>1</v>
      </c>
      <c r="S291" s="38" t="n">
        <f aca="false">IF(AND(Assumptions!$E$117=1,S$4&gt;=Assumptions!$E$118),1,0)</f>
        <v>1</v>
      </c>
      <c r="T291" s="38" t="n">
        <f aca="false">IF(AND(Assumptions!$E$117=1,T$4&gt;=Assumptions!$E$118),1,0)</f>
        <v>1</v>
      </c>
      <c r="U291" s="38" t="n">
        <f aca="false">IF(AND(Assumptions!$E$117=1,U$4&gt;=Assumptions!$E$118),1,0)</f>
        <v>1</v>
      </c>
      <c r="V291" s="38" t="n">
        <f aca="false">IF(AND(Assumptions!$E$117=1,V$4&gt;=Assumptions!$E$118),1,0)</f>
        <v>1</v>
      </c>
      <c r="W291" s="38" t="n">
        <f aca="false">IF(AND(Assumptions!$E$117=1,W$4&gt;=Assumptions!$E$118),1,0)</f>
        <v>1</v>
      </c>
      <c r="X291" s="38" t="n">
        <f aca="false">IF(AND(Assumptions!$E$117=1,X$4&gt;=Assumptions!$E$118),1,0)</f>
        <v>1</v>
      </c>
      <c r="Y291" s="38" t="n">
        <f aca="false">IF(AND(Assumptions!$E$117=1,Y$4&gt;=Assumptions!$E$118),1,0)</f>
        <v>1</v>
      </c>
      <c r="Z291" s="38" t="n">
        <f aca="false">IF(AND(Assumptions!$E$117=1,Z$4&gt;=Assumptions!$E$118),1,0)</f>
        <v>1</v>
      </c>
      <c r="AA291" s="38" t="n">
        <f aca="false">IF(AND(Assumptions!$E$117=1,AA$4&gt;=Assumptions!$E$118),1,0)</f>
        <v>1</v>
      </c>
      <c r="AB291" s="38" t="n">
        <f aca="false">IF(AND(Assumptions!$E$117=1,AB$4&gt;=Assumptions!$E$118),1,0)</f>
        <v>1</v>
      </c>
      <c r="AC291" s="38" t="n">
        <f aca="false">IF(AND(Assumptions!$E$117=1,AC$4&gt;=Assumptions!$E$118),1,0)</f>
        <v>1</v>
      </c>
      <c r="AD291" s="38" t="n">
        <f aca="false">IF(AND(Assumptions!$E$117=1,AD$4&gt;=Assumptions!$E$118),1,0)</f>
        <v>1</v>
      </c>
      <c r="AE291" s="38" t="n">
        <f aca="false">IF(AND(Assumptions!$E$117=1,AE$4&gt;=Assumptions!$E$118),1,0)</f>
        <v>1</v>
      </c>
      <c r="AF291" s="38" t="n">
        <f aca="false">IF(AND(Assumptions!$E$117=1,AF$4&gt;=Assumptions!$E$118),1,0)</f>
        <v>1</v>
      </c>
      <c r="AG291" s="38" t="n">
        <f aca="false">IF(AND(Assumptions!$E$117=1,AG$4&gt;=Assumptions!$E$118),1,0)</f>
        <v>1</v>
      </c>
      <c r="AH291" s="38" t="n">
        <f aca="false">IF(AND(Assumptions!$E$117=1,AH$4&gt;=Assumptions!$E$118),1,0)</f>
        <v>1</v>
      </c>
      <c r="AI291" s="38" t="n">
        <f aca="false">IF(AND(Assumptions!$E$117=1,AI$4&gt;=Assumptions!$E$118),1,0)</f>
        <v>1</v>
      </c>
      <c r="AJ291" s="38" t="n">
        <f aca="false">IF(AND(Assumptions!$E$117=1,AJ$4&gt;=Assumptions!$E$118),1,0)</f>
        <v>1</v>
      </c>
      <c r="AK291" s="38" t="n">
        <f aca="false">IF(AND(Assumptions!$E$117=1,AK$4&gt;=Assumptions!$E$118),1,0)</f>
        <v>1</v>
      </c>
      <c r="AL291" s="38" t="n">
        <f aca="false">IF(AND(Assumptions!$E$117=1,AL$4&gt;=Assumptions!$E$118),1,0)</f>
        <v>1</v>
      </c>
    </row>
    <row r="292" customFormat="false" ht="15" hidden="false" customHeight="false" outlineLevel="0" collapsed="false">
      <c r="A292" s="7" t="s">
        <v>756</v>
      </c>
      <c r="B292" s="9" t="s">
        <v>327</v>
      </c>
      <c r="C292" s="14" t="n">
        <f aca="false">IF(C291=0,0,Assumptions!$E$119)</f>
        <v>0</v>
      </c>
      <c r="D292" s="14" t="n">
        <f aca="false">IF(D291=0,0,IF(D$4=Assumptions!$E$118,Assumptions!$E$119,C292*(1+CHOOSE(D$6,Assumptions!$E$120,Assumptions!$E$121,Assumptions!$E$122))))</f>
        <v>900</v>
      </c>
      <c r="E292" s="14" t="n">
        <f aca="false">IF(E291=0,0,IF(E$4=Assumptions!$E$118,Assumptions!$E$119,D292*(1+CHOOSE(E$6,Assumptions!$E$120,Assumptions!$E$121,Assumptions!$E$122))))</f>
        <v>990</v>
      </c>
      <c r="F292" s="14" t="n">
        <f aca="false">IF(F291=0,0,IF(F$4=Assumptions!$E$118,Assumptions!$E$119,E292*(1+CHOOSE(F$6,Assumptions!$E$120,Assumptions!$E$121,Assumptions!$E$122))))</f>
        <v>1089</v>
      </c>
      <c r="G292" s="14" t="n">
        <f aca="false">IF(G291=0,0,IF(G$4=Assumptions!$E$118,Assumptions!$E$119,F292*(1+CHOOSE(G$6,Assumptions!$E$120,Assumptions!$E$121,Assumptions!$E$122))))</f>
        <v>1197.9</v>
      </c>
      <c r="H292" s="14" t="n">
        <f aca="false">IF(H291=0,0,IF(H$4=Assumptions!$E$118,Assumptions!$E$119,G292*(1+CHOOSE(H$6,Assumptions!$E$120,Assumptions!$E$121,Assumptions!$E$122))))</f>
        <v>1317.69</v>
      </c>
      <c r="I292" s="14" t="n">
        <f aca="false">IF(I291=0,0,IF(I$4=Assumptions!$E$118,Assumptions!$E$119,H292*(1+CHOOSE(I$6,Assumptions!$E$120,Assumptions!$E$121,Assumptions!$E$122))))</f>
        <v>1449.459</v>
      </c>
      <c r="J292" s="14" t="n">
        <f aca="false">IF(J291=0,0,IF(J$4=Assumptions!$E$118,Assumptions!$E$119,I292*(1+CHOOSE(J$6,Assumptions!$E$120,Assumptions!$E$121,Assumptions!$E$122))))</f>
        <v>1594.4049</v>
      </c>
      <c r="K292" s="14" t="n">
        <f aca="false">IF(K291=0,0,IF(K$4=Assumptions!$E$118,Assumptions!$E$119,J292*(1+CHOOSE(K$6,Assumptions!$E$120,Assumptions!$E$121,Assumptions!$E$122))))</f>
        <v>1753.84539</v>
      </c>
      <c r="L292" s="14" t="n">
        <f aca="false">IF(L291=0,0,IF(L$4=Assumptions!$E$118,Assumptions!$E$119,K292*(1+CHOOSE(L$6,Assumptions!$E$120,Assumptions!$E$121,Assumptions!$E$122))))</f>
        <v>1929.229929</v>
      </c>
      <c r="M292" s="14" t="n">
        <f aca="false">IF(M291=0,0,IF(M$4=Assumptions!$E$118,Assumptions!$E$119,L292*(1+CHOOSE(M$6,Assumptions!$E$120,Assumptions!$E$121,Assumptions!$E$122))))</f>
        <v>2122.1529219</v>
      </c>
      <c r="N292" s="14" t="n">
        <f aca="false">IF(N291=0,0,IF(N$4=Assumptions!$E$118,Assumptions!$E$119,M292*(1+CHOOSE(N$6,Assumptions!$E$120,Assumptions!$E$121,Assumptions!$E$122))))</f>
        <v>2334.36821409</v>
      </c>
      <c r="O292" s="14" t="n">
        <f aca="false">IF(O291=0,0,IF(O$4=Assumptions!$E$118,Assumptions!$E$119,N292*(1+CHOOSE(O$6,Assumptions!$E$120,Assumptions!$E$121,Assumptions!$E$122))))</f>
        <v>2451.0866247945</v>
      </c>
      <c r="P292" s="14" t="n">
        <f aca="false">IF(P291=0,0,IF(P$4=Assumptions!$E$118,Assumptions!$E$119,O292*(1+CHOOSE(P$6,Assumptions!$E$120,Assumptions!$E$121,Assumptions!$E$122))))</f>
        <v>2573.64095603423</v>
      </c>
      <c r="Q292" s="14" t="n">
        <f aca="false">IF(Q291=0,0,IF(Q$4=Assumptions!$E$118,Assumptions!$E$119,P292*(1+CHOOSE(Q$6,Assumptions!$E$120,Assumptions!$E$121,Assumptions!$E$122))))</f>
        <v>2702.32300383594</v>
      </c>
      <c r="R292" s="14" t="n">
        <f aca="false">IF(R291=0,0,IF(R$4=Assumptions!$E$118,Assumptions!$E$119,Q292*(1+CHOOSE(R$6,Assumptions!$E$120,Assumptions!$E$121,Assumptions!$E$122))))</f>
        <v>2837.43915402774</v>
      </c>
      <c r="S292" s="14" t="n">
        <f aca="false">IF(S291=0,0,IF(S$4=Assumptions!$E$118,Assumptions!$E$119,R292*(1+CHOOSE(S$6,Assumptions!$E$120,Assumptions!$E$121,Assumptions!$E$122))))</f>
        <v>2979.31111172912</v>
      </c>
      <c r="T292" s="14" t="n">
        <f aca="false">IF(T291=0,0,IF(T$4=Assumptions!$E$118,Assumptions!$E$119,S292*(1+CHOOSE(T$6,Assumptions!$E$120,Assumptions!$E$121,Assumptions!$E$122))))</f>
        <v>3128.27666731558</v>
      </c>
      <c r="U292" s="14" t="n">
        <f aca="false">IF(U291=0,0,IF(U$4=Assumptions!$E$118,Assumptions!$E$119,T292*(1+CHOOSE(U$6,Assumptions!$E$120,Assumptions!$E$121,Assumptions!$E$122))))</f>
        <v>3284.69050068136</v>
      </c>
      <c r="V292" s="14" t="n">
        <f aca="false">IF(V291=0,0,IF(V$4=Assumptions!$E$118,Assumptions!$E$119,U292*(1+CHOOSE(V$6,Assumptions!$E$120,Assumptions!$E$121,Assumptions!$E$122))))</f>
        <v>3448.92502571543</v>
      </c>
      <c r="W292" s="14" t="n">
        <f aca="false">IF(W291=0,0,IF(W$4=Assumptions!$E$118,Assumptions!$E$119,V292*(1+CHOOSE(W$6,Assumptions!$E$120,Assumptions!$E$121,Assumptions!$E$122))))</f>
        <v>3621.3712770012</v>
      </c>
      <c r="X292" s="14" t="n">
        <f aca="false">IF(X291=0,0,IF(X$4=Assumptions!$E$118,Assumptions!$E$119,W292*(1+CHOOSE(X$6,Assumptions!$E$120,Assumptions!$E$121,Assumptions!$E$122))))</f>
        <v>3802.43984085126</v>
      </c>
      <c r="Y292" s="14" t="n">
        <f aca="false">IF(Y291=0,0,IF(Y$4=Assumptions!$E$118,Assumptions!$E$119,X292*(1+CHOOSE(Y$6,Assumptions!$E$120,Assumptions!$E$121,Assumptions!$E$122))))</f>
        <v>3992.56183289382</v>
      </c>
      <c r="Z292" s="14" t="n">
        <f aca="false">IF(Z291=0,0,IF(Z$4=Assumptions!$E$118,Assumptions!$E$119,Y292*(1+CHOOSE(Z$6,Assumptions!$E$120,Assumptions!$E$121,Assumptions!$E$122))))</f>
        <v>4192.18992453851</v>
      </c>
      <c r="AA292" s="14" t="n">
        <f aca="false">IF(AA291=0,0,IF(AA$4=Assumptions!$E$118,Assumptions!$E$119,Z292*(1+CHOOSE(AA$6,Assumptions!$E$120,Assumptions!$E$121,Assumptions!$E$122))))</f>
        <v>4317.95562227467</v>
      </c>
      <c r="AB292" s="14" t="n">
        <f aca="false">IF(AB291=0,0,IF(AB$4=Assumptions!$E$118,Assumptions!$E$119,AA292*(1+CHOOSE(AB$6,Assumptions!$E$120,Assumptions!$E$121,Assumptions!$E$122))))</f>
        <v>4447.49429094291</v>
      </c>
      <c r="AC292" s="14" t="n">
        <f aca="false">IF(AC291=0,0,IF(AC$4=Assumptions!$E$118,Assumptions!$E$119,AB292*(1+CHOOSE(AC$6,Assumptions!$E$120,Assumptions!$E$121,Assumptions!$E$122))))</f>
        <v>4580.9191196712</v>
      </c>
      <c r="AD292" s="14" t="n">
        <f aca="false">IF(AD291=0,0,IF(AD$4=Assumptions!$E$118,Assumptions!$E$119,AC292*(1+CHOOSE(AD$6,Assumptions!$E$120,Assumptions!$E$121,Assumptions!$E$122))))</f>
        <v>4718.34669326133</v>
      </c>
      <c r="AE292" s="14" t="n">
        <f aca="false">IF(AE291=0,0,IF(AE$4=Assumptions!$E$118,Assumptions!$E$119,AD292*(1+CHOOSE(AE$6,Assumptions!$E$120,Assumptions!$E$121,Assumptions!$E$122))))</f>
        <v>4859.89709405917</v>
      </c>
      <c r="AF292" s="14" t="n">
        <f aca="false">IF(AF291=0,0,IF(AF$4=Assumptions!$E$118,Assumptions!$E$119,AE292*(1+CHOOSE(AF$6,Assumptions!$E$120,Assumptions!$E$121,Assumptions!$E$122))))</f>
        <v>5005.69400688095</v>
      </c>
      <c r="AG292" s="14" t="n">
        <f aca="false">IF(AG291=0,0,IF(AG$4=Assumptions!$E$118,Assumptions!$E$119,AF292*(1+CHOOSE(AG$6,Assumptions!$E$120,Assumptions!$E$121,Assumptions!$E$122))))</f>
        <v>5155.86482708738</v>
      </c>
      <c r="AH292" s="14" t="n">
        <f aca="false">IF(AH291=0,0,IF(AH$4=Assumptions!$E$118,Assumptions!$E$119,AG292*(1+CHOOSE(AH$6,Assumptions!$E$120,Assumptions!$E$121,Assumptions!$E$122))))</f>
        <v>5310.5407719</v>
      </c>
      <c r="AI292" s="14" t="n">
        <f aca="false">IF(AI291=0,0,IF(AI$4=Assumptions!$E$118,Assumptions!$E$119,AH292*(1+CHOOSE(AI$6,Assumptions!$E$120,Assumptions!$E$121,Assumptions!$E$122))))</f>
        <v>5469.856995057</v>
      </c>
      <c r="AJ292" s="14" t="n">
        <f aca="false">IF(AJ291=0,0,IF(AJ$4=Assumptions!$E$118,Assumptions!$E$119,AI292*(1+CHOOSE(AJ$6,Assumptions!$E$120,Assumptions!$E$121,Assumptions!$E$122))))</f>
        <v>5633.95270490871</v>
      </c>
      <c r="AK292" s="14" t="n">
        <f aca="false">IF(AK291=0,0,IF(AK$4=Assumptions!$E$118,Assumptions!$E$119,AJ292*(1+CHOOSE(AK$6,Assumptions!$E$120,Assumptions!$E$121,Assumptions!$E$122))))</f>
        <v>5802.97128605597</v>
      </c>
      <c r="AL292" s="14" t="n">
        <f aca="false">IF(AL291=0,0,IF(AL$4=Assumptions!$E$118,Assumptions!$E$119,AK292*(1+CHOOSE(AL$6,Assumptions!$E$120,Assumptions!$E$121,Assumptions!$E$122))))</f>
        <v>5977.06042463765</v>
      </c>
    </row>
    <row r="293" customFormat="false" ht="15" hidden="false" customHeight="false" outlineLevel="0" collapsed="false">
      <c r="A293" s="7" t="s">
        <v>767</v>
      </c>
      <c r="B293" s="9" t="s">
        <v>327</v>
      </c>
      <c r="C293" s="52" t="n">
        <f aca="false">C292*C$7</f>
        <v>0</v>
      </c>
      <c r="D293" s="52" t="n">
        <f aca="false">D292*D$7</f>
        <v>1170</v>
      </c>
      <c r="E293" s="52" t="n">
        <f aca="false">E292*E$7</f>
        <v>1336.5</v>
      </c>
      <c r="F293" s="52" t="n">
        <f aca="false">F292*F$7</f>
        <v>1361.25</v>
      </c>
      <c r="G293" s="52" t="n">
        <f aca="false">G292*G$7</f>
        <v>1078.11</v>
      </c>
      <c r="H293" s="52" t="n">
        <f aca="false">H292*H$7</f>
        <v>1317.69</v>
      </c>
      <c r="I293" s="52" t="n">
        <f aca="false">I292*I$7</f>
        <v>1521.93195</v>
      </c>
      <c r="J293" s="52" t="n">
        <f aca="false">J292*J$7</f>
        <v>1514.684655</v>
      </c>
      <c r="K293" s="52" t="n">
        <f aca="false">K292*K$7</f>
        <v>1753.84539</v>
      </c>
      <c r="L293" s="52" t="n">
        <f aca="false">L292*L$7</f>
        <v>1832.76843255</v>
      </c>
      <c r="M293" s="52" t="n">
        <f aca="false">M292*M$7</f>
        <v>1803.829983615</v>
      </c>
      <c r="N293" s="52" t="n">
        <f aca="false">N292*N$7</f>
        <v>1984.2129819765</v>
      </c>
      <c r="O293" s="52" t="n">
        <f aca="false">O292*O$7</f>
        <v>2328.53229355478</v>
      </c>
      <c r="P293" s="52" t="n">
        <f aca="false">P292*P$7</f>
        <v>3345.7332428445</v>
      </c>
      <c r="Q293" s="52" t="n">
        <f aca="false">Q292*Q$7</f>
        <v>3648.13605517852</v>
      </c>
      <c r="R293" s="52" t="n">
        <f aca="false">R292*R$7</f>
        <v>3546.79894253467</v>
      </c>
      <c r="S293" s="52" t="n">
        <f aca="false">S292*S$7</f>
        <v>2681.38000055621</v>
      </c>
      <c r="T293" s="52" t="n">
        <f aca="false">T292*T$7</f>
        <v>3128.27666731558</v>
      </c>
      <c r="U293" s="52" t="n">
        <f aca="false">U292*U$7</f>
        <v>3448.92502571543</v>
      </c>
      <c r="V293" s="52" t="n">
        <f aca="false">V292*V$7</f>
        <v>3276.47877442966</v>
      </c>
      <c r="W293" s="52" t="n">
        <f aca="false">W292*W$7</f>
        <v>3621.3712770012</v>
      </c>
      <c r="X293" s="52" t="n">
        <f aca="false">X292*X$7</f>
        <v>3612.3178488087</v>
      </c>
      <c r="Y293" s="52" t="n">
        <f aca="false">Y292*Y$7</f>
        <v>3393.67755795975</v>
      </c>
      <c r="Z293" s="52" t="n">
        <f aca="false">Z292*Z$7</f>
        <v>3563.36143585774</v>
      </c>
      <c r="AA293" s="52" t="n">
        <f aca="false">AA292*AA$7</f>
        <v>4102.05784116094</v>
      </c>
      <c r="AB293" s="52" t="n">
        <f aca="false">AB292*AB$7</f>
        <v>5781.74257822578</v>
      </c>
      <c r="AC293" s="52" t="n">
        <f aca="false">AC292*AC$7</f>
        <v>6184.24081155612</v>
      </c>
      <c r="AD293" s="52" t="n">
        <f aca="false">AD292*AD$7</f>
        <v>5897.93336657667</v>
      </c>
      <c r="AE293" s="52" t="n">
        <f aca="false">AE292*AE$7</f>
        <v>4373.90738465326</v>
      </c>
      <c r="AF293" s="52" t="n">
        <f aca="false">AF292*AF$7</f>
        <v>5005.69400688095</v>
      </c>
      <c r="AG293" s="52" t="n">
        <f aca="false">AG292*AG$7</f>
        <v>5413.65806844175</v>
      </c>
      <c r="AH293" s="52" t="n">
        <f aca="false">AH292*AH$7</f>
        <v>5045.013733305</v>
      </c>
      <c r="AI293" s="52" t="n">
        <f aca="false">AI292*AI$7</f>
        <v>5469.856995057</v>
      </c>
      <c r="AJ293" s="52" t="n">
        <f aca="false">AJ292*AJ$7</f>
        <v>5352.25506966327</v>
      </c>
      <c r="AK293" s="52" t="n">
        <f aca="false">AK292*AK$7</f>
        <v>4932.52559314758</v>
      </c>
      <c r="AL293" s="52" t="n">
        <f aca="false">AL292*AL$7</f>
        <v>5080.501360942</v>
      </c>
      <c r="AM293" s="53" t="n">
        <f aca="false">SUMIF($C$6:$AL$6,1,C293:AL293)</f>
        <v>16674.8233931415</v>
      </c>
      <c r="AN293" s="53" t="n">
        <f aca="false">SUMIF($C$6:$AL$6,2,C293:AL293)</f>
        <v>39594.9891217567</v>
      </c>
      <c r="AO293" s="53" t="n">
        <f aca="false">SUMIF($C$6:$AL$6,3,C293:AL293)</f>
        <v>62639.3868096103</v>
      </c>
      <c r="AP293" s="53" t="n">
        <f aca="false">SUM(C293:AL293)</f>
        <v>118909.199324509</v>
      </c>
    </row>
    <row r="294" customFormat="false" ht="15" hidden="false" customHeight="false" outlineLevel="0" collapsed="false">
      <c r="A294" s="7" t="s">
        <v>758</v>
      </c>
      <c r="B294" s="9" t="s">
        <v>96</v>
      </c>
      <c r="C294" s="54" t="n">
        <f aca="false">Assumptions!$E$123*MIN(1,(C$4-Assumptions!$E$118+1)/Assumptions!$C$10)*C291</f>
        <v>0</v>
      </c>
      <c r="D294" s="54" t="n">
        <f aca="false">Assumptions!$E$123*MIN(1,(D$4-Assumptions!$E$118+1)/Assumptions!$C$10)*D291</f>
        <v>0.01</v>
      </c>
      <c r="E294" s="54" t="n">
        <f aca="false">Assumptions!$E$123*MIN(1,(E$4-Assumptions!$E$118+1)/Assumptions!$C$10)*E291</f>
        <v>0.02</v>
      </c>
      <c r="F294" s="54" t="n">
        <f aca="false">Assumptions!$E$123*MIN(1,(F$4-Assumptions!$E$118+1)/Assumptions!$C$10)*F291</f>
        <v>0.03</v>
      </c>
      <c r="G294" s="54" t="n">
        <f aca="false">Assumptions!$E$123*MIN(1,(G$4-Assumptions!$E$118+1)/Assumptions!$C$10)*G291</f>
        <v>0.04</v>
      </c>
      <c r="H294" s="54" t="n">
        <f aca="false">Assumptions!$E$123*MIN(1,(H$4-Assumptions!$E$118+1)/Assumptions!$C$10)*H291</f>
        <v>0.05</v>
      </c>
      <c r="I294" s="54" t="n">
        <f aca="false">Assumptions!$E$123*MIN(1,(I$4-Assumptions!$E$118+1)/Assumptions!$C$10)*I291</f>
        <v>0.06</v>
      </c>
      <c r="J294" s="54" t="n">
        <f aca="false">Assumptions!$E$123*MIN(1,(J$4-Assumptions!$E$118+1)/Assumptions!$C$10)*J291</f>
        <v>0.06</v>
      </c>
      <c r="K294" s="54" t="n">
        <f aca="false">Assumptions!$E$123*MIN(1,(K$4-Assumptions!$E$118+1)/Assumptions!$C$10)*K291</f>
        <v>0.06</v>
      </c>
      <c r="L294" s="54" t="n">
        <f aca="false">Assumptions!$E$123*MIN(1,(L$4-Assumptions!$E$118+1)/Assumptions!$C$10)*L291</f>
        <v>0.06</v>
      </c>
      <c r="M294" s="54" t="n">
        <f aca="false">Assumptions!$E$123*MIN(1,(M$4-Assumptions!$E$118+1)/Assumptions!$C$10)*M291</f>
        <v>0.06</v>
      </c>
      <c r="N294" s="54" t="n">
        <f aca="false">Assumptions!$E$123*MIN(1,(N$4-Assumptions!$E$118+1)/Assumptions!$C$10)*N291</f>
        <v>0.06</v>
      </c>
      <c r="O294" s="54" t="n">
        <f aca="false">Assumptions!$E$123*MIN(1,(O$4-Assumptions!$E$118+1)/Assumptions!$C$10)*O291</f>
        <v>0.06</v>
      </c>
      <c r="P294" s="54" t="n">
        <f aca="false">Assumptions!$E$123*MIN(1,(P$4-Assumptions!$E$118+1)/Assumptions!$C$10)*P291</f>
        <v>0.06</v>
      </c>
      <c r="Q294" s="54" t="n">
        <f aca="false">Assumptions!$E$123*MIN(1,(Q$4-Assumptions!$E$118+1)/Assumptions!$C$10)*Q291</f>
        <v>0.06</v>
      </c>
      <c r="R294" s="54" t="n">
        <f aca="false">Assumptions!$E$123*MIN(1,(R$4-Assumptions!$E$118+1)/Assumptions!$C$10)*R291</f>
        <v>0.06</v>
      </c>
      <c r="S294" s="54" t="n">
        <f aca="false">Assumptions!$E$123*MIN(1,(S$4-Assumptions!$E$118+1)/Assumptions!$C$10)*S291</f>
        <v>0.06</v>
      </c>
      <c r="T294" s="54" t="n">
        <f aca="false">Assumptions!$E$123*MIN(1,(T$4-Assumptions!$E$118+1)/Assumptions!$C$10)*T291</f>
        <v>0.06</v>
      </c>
      <c r="U294" s="54" t="n">
        <f aca="false">Assumptions!$E$123*MIN(1,(U$4-Assumptions!$E$118+1)/Assumptions!$C$10)*U291</f>
        <v>0.06</v>
      </c>
      <c r="V294" s="54" t="n">
        <f aca="false">Assumptions!$E$123*MIN(1,(V$4-Assumptions!$E$118+1)/Assumptions!$C$10)*V291</f>
        <v>0.06</v>
      </c>
      <c r="W294" s="54" t="n">
        <f aca="false">Assumptions!$E$123*MIN(1,(W$4-Assumptions!$E$118+1)/Assumptions!$C$10)*W291</f>
        <v>0.06</v>
      </c>
      <c r="X294" s="54" t="n">
        <f aca="false">Assumptions!$E$123*MIN(1,(X$4-Assumptions!$E$118+1)/Assumptions!$C$10)*X291</f>
        <v>0.06</v>
      </c>
      <c r="Y294" s="54" t="n">
        <f aca="false">Assumptions!$E$123*MIN(1,(Y$4-Assumptions!$E$118+1)/Assumptions!$C$10)*Y291</f>
        <v>0.06</v>
      </c>
      <c r="Z294" s="54" t="n">
        <f aca="false">Assumptions!$E$123*MIN(1,(Z$4-Assumptions!$E$118+1)/Assumptions!$C$10)*Z291</f>
        <v>0.06</v>
      </c>
      <c r="AA294" s="54" t="n">
        <f aca="false">Assumptions!$E$123*MIN(1,(AA$4-Assumptions!$E$118+1)/Assumptions!$C$10)*AA291</f>
        <v>0.06</v>
      </c>
      <c r="AB294" s="54" t="n">
        <f aca="false">Assumptions!$E$123*MIN(1,(AB$4-Assumptions!$E$118+1)/Assumptions!$C$10)*AB291</f>
        <v>0.06</v>
      </c>
      <c r="AC294" s="54" t="n">
        <f aca="false">Assumptions!$E$123*MIN(1,(AC$4-Assumptions!$E$118+1)/Assumptions!$C$10)*AC291</f>
        <v>0.06</v>
      </c>
      <c r="AD294" s="54" t="n">
        <f aca="false">Assumptions!$E$123*MIN(1,(AD$4-Assumptions!$E$118+1)/Assumptions!$C$10)*AD291</f>
        <v>0.06</v>
      </c>
      <c r="AE294" s="54" t="n">
        <f aca="false">Assumptions!$E$123*MIN(1,(AE$4-Assumptions!$E$118+1)/Assumptions!$C$10)*AE291</f>
        <v>0.06</v>
      </c>
      <c r="AF294" s="54" t="n">
        <f aca="false">Assumptions!$E$123*MIN(1,(AF$4-Assumptions!$E$118+1)/Assumptions!$C$10)*AF291</f>
        <v>0.06</v>
      </c>
      <c r="AG294" s="54" t="n">
        <f aca="false">Assumptions!$E$123*MIN(1,(AG$4-Assumptions!$E$118+1)/Assumptions!$C$10)*AG291</f>
        <v>0.06</v>
      </c>
      <c r="AH294" s="54" t="n">
        <f aca="false">Assumptions!$E$123*MIN(1,(AH$4-Assumptions!$E$118+1)/Assumptions!$C$10)*AH291</f>
        <v>0.06</v>
      </c>
      <c r="AI294" s="54" t="n">
        <f aca="false">Assumptions!$E$123*MIN(1,(AI$4-Assumptions!$E$118+1)/Assumptions!$C$10)*AI291</f>
        <v>0.06</v>
      </c>
      <c r="AJ294" s="54" t="n">
        <f aca="false">Assumptions!$E$123*MIN(1,(AJ$4-Assumptions!$E$118+1)/Assumptions!$C$10)*AJ291</f>
        <v>0.06</v>
      </c>
      <c r="AK294" s="54" t="n">
        <f aca="false">Assumptions!$E$123*MIN(1,(AK$4-Assumptions!$E$118+1)/Assumptions!$C$10)*AK291</f>
        <v>0.06</v>
      </c>
      <c r="AL294" s="54" t="n">
        <f aca="false">Assumptions!$E$123*MIN(1,(AL$4-Assumptions!$E$118+1)/Assumptions!$C$10)*AL291</f>
        <v>0.06</v>
      </c>
    </row>
    <row r="295" customFormat="false" ht="15" hidden="false" customHeight="false" outlineLevel="0" collapsed="false">
      <c r="A295" s="7" t="s">
        <v>766</v>
      </c>
      <c r="B295" s="9" t="s">
        <v>760</v>
      </c>
      <c r="C295" s="55" t="n">
        <f aca="false">C293*C294</f>
        <v>0</v>
      </c>
      <c r="D295" s="55" t="n">
        <f aca="false">D293*D294</f>
        <v>11.7</v>
      </c>
      <c r="E295" s="55" t="n">
        <f aca="false">E293*E294</f>
        <v>26.73</v>
      </c>
      <c r="F295" s="55" t="n">
        <f aca="false">F293*F294</f>
        <v>40.8375</v>
      </c>
      <c r="G295" s="55" t="n">
        <f aca="false">G293*G294</f>
        <v>43.1244</v>
      </c>
      <c r="H295" s="55" t="n">
        <f aca="false">H293*H294</f>
        <v>65.8845</v>
      </c>
      <c r="I295" s="55" t="n">
        <f aca="false">I293*I294</f>
        <v>91.315917</v>
      </c>
      <c r="J295" s="55" t="n">
        <f aca="false">J293*J294</f>
        <v>90.8810793</v>
      </c>
      <c r="K295" s="55" t="n">
        <f aca="false">K293*K294</f>
        <v>105.2307234</v>
      </c>
      <c r="L295" s="55" t="n">
        <f aca="false">L293*L294</f>
        <v>109.966105953</v>
      </c>
      <c r="M295" s="55" t="n">
        <f aca="false">M293*M294</f>
        <v>108.2297990169</v>
      </c>
      <c r="N295" s="55" t="n">
        <f aca="false">N293*N294</f>
        <v>119.05277891859</v>
      </c>
      <c r="O295" s="55" t="n">
        <f aca="false">O293*O294</f>
        <v>139.711937613287</v>
      </c>
      <c r="P295" s="55" t="n">
        <f aca="false">P293*P294</f>
        <v>200.74399457067</v>
      </c>
      <c r="Q295" s="55" t="n">
        <f aca="false">Q293*Q294</f>
        <v>218.888163310711</v>
      </c>
      <c r="R295" s="55" t="n">
        <f aca="false">R293*R294</f>
        <v>212.80793655208</v>
      </c>
      <c r="S295" s="55" t="n">
        <f aca="false">S293*S294</f>
        <v>160.882800033373</v>
      </c>
      <c r="T295" s="55" t="n">
        <f aca="false">T293*T294</f>
        <v>187.696600038935</v>
      </c>
      <c r="U295" s="55" t="n">
        <f aca="false">U293*U294</f>
        <v>206.935501542926</v>
      </c>
      <c r="V295" s="55" t="n">
        <f aca="false">V293*V294</f>
        <v>196.588726465779</v>
      </c>
      <c r="W295" s="55" t="n">
        <f aca="false">W293*W294</f>
        <v>217.282276620072</v>
      </c>
      <c r="X295" s="55" t="n">
        <f aca="false">X293*X294</f>
        <v>216.739070928522</v>
      </c>
      <c r="Y295" s="55" t="n">
        <f aca="false">Y293*Y294</f>
        <v>203.620653477585</v>
      </c>
      <c r="Z295" s="55" t="n">
        <f aca="false">Z293*Z294</f>
        <v>213.801686151464</v>
      </c>
      <c r="AA295" s="55" t="n">
        <f aca="false">AA293*AA294</f>
        <v>246.123470469656</v>
      </c>
      <c r="AB295" s="55" t="n">
        <f aca="false">AB293*AB294</f>
        <v>346.904554693547</v>
      </c>
      <c r="AC295" s="55" t="n">
        <f aca="false">AC293*AC294</f>
        <v>371.054448693367</v>
      </c>
      <c r="AD295" s="55" t="n">
        <f aca="false">AD293*AD294</f>
        <v>353.8760019946</v>
      </c>
      <c r="AE295" s="55" t="n">
        <f aca="false">AE293*AE294</f>
        <v>262.434443079195</v>
      </c>
      <c r="AF295" s="55" t="n">
        <f aca="false">AF293*AF294</f>
        <v>300.341640412857</v>
      </c>
      <c r="AG295" s="55" t="n">
        <f aca="false">AG293*AG294</f>
        <v>324.819484106505</v>
      </c>
      <c r="AH295" s="55" t="n">
        <f aca="false">AH293*AH294</f>
        <v>302.7008239983</v>
      </c>
      <c r="AI295" s="55" t="n">
        <f aca="false">AI293*AI294</f>
        <v>328.19141970342</v>
      </c>
      <c r="AJ295" s="55" t="n">
        <f aca="false">AJ293*AJ294</f>
        <v>321.135304179796</v>
      </c>
      <c r="AK295" s="55" t="n">
        <f aca="false">AK293*AK294</f>
        <v>295.951535588855</v>
      </c>
      <c r="AL295" s="55" t="n">
        <f aca="false">AL293*AL294</f>
        <v>304.83008165652</v>
      </c>
      <c r="AM295" s="53" t="n">
        <f aca="false">SUMIF($C$6:$AL$6,1,C295:AL295)</f>
        <v>812.952803588491</v>
      </c>
      <c r="AN295" s="53" t="n">
        <f aca="false">SUMIF($C$6:$AL$6,2,C295:AL295)</f>
        <v>2375.6993473054</v>
      </c>
      <c r="AO295" s="53" t="n">
        <f aca="false">SUMIF($C$6:$AL$6,3,C295:AL295)</f>
        <v>3758.36320857662</v>
      </c>
      <c r="AP295" s="53" t="n">
        <f aca="false">SUM(C295:AL295)</f>
        <v>6947.01535947051</v>
      </c>
    </row>
    <row r="296" customFormat="false" ht="15" hidden="false" customHeight="false" outlineLevel="0" collapsed="false">
      <c r="A296" s="7" t="s">
        <v>761</v>
      </c>
      <c r="B296" s="9" t="s">
        <v>342</v>
      </c>
      <c r="C296" s="56" t="n">
        <f aca="false">C295*Assumptions!$E$124</f>
        <v>0</v>
      </c>
      <c r="D296" s="56" t="n">
        <f aca="false">D295*Assumptions!$E$124</f>
        <v>12.87</v>
      </c>
      <c r="E296" s="56" t="n">
        <f aca="false">E295*Assumptions!$E$124</f>
        <v>29.403</v>
      </c>
      <c r="F296" s="56" t="n">
        <f aca="false">F295*Assumptions!$E$124</f>
        <v>44.92125</v>
      </c>
      <c r="G296" s="56" t="n">
        <f aca="false">G295*Assumptions!$E$124</f>
        <v>47.43684</v>
      </c>
      <c r="H296" s="56" t="n">
        <f aca="false">H295*Assumptions!$E$124</f>
        <v>72.47295</v>
      </c>
      <c r="I296" s="56" t="n">
        <f aca="false">I295*Assumptions!$E$124</f>
        <v>100.4475087</v>
      </c>
      <c r="J296" s="56" t="n">
        <f aca="false">J295*Assumptions!$E$124</f>
        <v>99.9691872300001</v>
      </c>
      <c r="K296" s="56" t="n">
        <f aca="false">K295*Assumptions!$E$124</f>
        <v>115.75379574</v>
      </c>
      <c r="L296" s="56" t="n">
        <f aca="false">L295*Assumptions!$E$124</f>
        <v>120.9627165483</v>
      </c>
      <c r="M296" s="56" t="n">
        <f aca="false">M295*Assumptions!$E$124</f>
        <v>119.05277891859</v>
      </c>
      <c r="N296" s="56" t="n">
        <f aca="false">N295*Assumptions!$E$124</f>
        <v>130.958056810449</v>
      </c>
      <c r="O296" s="56" t="n">
        <f aca="false">O295*Assumptions!$E$124</f>
        <v>153.683131374615</v>
      </c>
      <c r="P296" s="56" t="n">
        <f aca="false">P295*Assumptions!$E$124</f>
        <v>220.818394027737</v>
      </c>
      <c r="Q296" s="56" t="n">
        <f aca="false">Q295*Assumptions!$E$124</f>
        <v>240.776979641782</v>
      </c>
      <c r="R296" s="56" t="n">
        <f aca="false">R295*Assumptions!$E$124</f>
        <v>234.088730207288</v>
      </c>
      <c r="S296" s="56" t="n">
        <f aca="false">S295*Assumptions!$E$124</f>
        <v>176.97108003671</v>
      </c>
      <c r="T296" s="56" t="n">
        <f aca="false">T295*Assumptions!$E$124</f>
        <v>206.466260042828</v>
      </c>
      <c r="U296" s="56" t="n">
        <f aca="false">U295*Assumptions!$E$124</f>
        <v>227.629051697218</v>
      </c>
      <c r="V296" s="56" t="n">
        <f aca="false">V295*Assumptions!$E$124</f>
        <v>216.247599112357</v>
      </c>
      <c r="W296" s="56" t="n">
        <f aca="false">W295*Assumptions!$E$124</f>
        <v>239.010504282079</v>
      </c>
      <c r="X296" s="56" t="n">
        <f aca="false">X295*Assumptions!$E$124</f>
        <v>238.412978021374</v>
      </c>
      <c r="Y296" s="56" t="n">
        <f aca="false">Y295*Assumptions!$E$124</f>
        <v>223.982718825343</v>
      </c>
      <c r="Z296" s="56" t="n">
        <f aca="false">Z295*Assumptions!$E$124</f>
        <v>235.181854766611</v>
      </c>
      <c r="AA296" s="56" t="n">
        <f aca="false">AA295*Assumptions!$E$124</f>
        <v>270.735817516622</v>
      </c>
      <c r="AB296" s="56" t="n">
        <f aca="false">AB295*Assumptions!$E$124</f>
        <v>381.595010162902</v>
      </c>
      <c r="AC296" s="56" t="n">
        <f aca="false">AC295*Assumptions!$E$124</f>
        <v>408.159893562704</v>
      </c>
      <c r="AD296" s="56" t="n">
        <f aca="false">AD295*Assumptions!$E$124</f>
        <v>389.26360219406</v>
      </c>
      <c r="AE296" s="56" t="n">
        <f aca="false">AE295*Assumptions!$E$124</f>
        <v>288.677887387115</v>
      </c>
      <c r="AF296" s="56" t="n">
        <f aca="false">AF295*Assumptions!$E$124</f>
        <v>330.375804454143</v>
      </c>
      <c r="AG296" s="56" t="n">
        <f aca="false">AG295*Assumptions!$E$124</f>
        <v>357.301432517155</v>
      </c>
      <c r="AH296" s="56" t="n">
        <f aca="false">AH295*Assumptions!$E$124</f>
        <v>332.97090639813</v>
      </c>
      <c r="AI296" s="56" t="n">
        <f aca="false">AI295*Assumptions!$E$124</f>
        <v>361.010561673762</v>
      </c>
      <c r="AJ296" s="56" t="n">
        <f aca="false">AJ295*Assumptions!$E$124</f>
        <v>353.248834597776</v>
      </c>
      <c r="AK296" s="56" t="n">
        <f aca="false">AK295*Assumptions!$E$124</f>
        <v>325.54668914774</v>
      </c>
      <c r="AL296" s="56" t="n">
        <f aca="false">AL295*Assumptions!$E$124</f>
        <v>335.313089822172</v>
      </c>
      <c r="AM296" s="53" t="n">
        <f aca="false">SUMIF($C$6:$AL$6,1,C296:AL296)</f>
        <v>894.24808394734</v>
      </c>
      <c r="AN296" s="53" t="n">
        <f aca="false">SUMIF($C$6:$AL$6,2,C296:AL296)</f>
        <v>2613.26928203594</v>
      </c>
      <c r="AO296" s="53" t="n">
        <f aca="false">SUMIF($C$6:$AL$6,3,C296:AL296)</f>
        <v>4134.19952943428</v>
      </c>
      <c r="AP296" s="53" t="n">
        <f aca="false">SUM(C296:AL296)</f>
        <v>7641.71689541756</v>
      </c>
    </row>
    <row r="297" customFormat="false" ht="15" hidden="false" customHeight="false" outlineLevel="0" collapsed="false">
      <c r="A297" s="7" t="s">
        <v>762</v>
      </c>
      <c r="B297" s="9" t="s">
        <v>101</v>
      </c>
      <c r="C297" s="15" t="n">
        <f aca="false">'Unit Economics'!$E$52*Assumptions!$E$124*C291</f>
        <v>0</v>
      </c>
      <c r="D297" s="15" t="n">
        <f aca="false">'Unit Economics'!$E$52*Assumptions!$E$124*D291</f>
        <v>15.939</v>
      </c>
      <c r="E297" s="15" t="n">
        <f aca="false">'Unit Economics'!$E$52*Assumptions!$E$124*E291</f>
        <v>15.939</v>
      </c>
      <c r="F297" s="15" t="n">
        <f aca="false">'Unit Economics'!$E$52*Assumptions!$E$124*F291</f>
        <v>15.939</v>
      </c>
      <c r="G297" s="15" t="n">
        <f aca="false">'Unit Economics'!$E$52*Assumptions!$E$124*G291</f>
        <v>15.939</v>
      </c>
      <c r="H297" s="15" t="n">
        <f aca="false">'Unit Economics'!$E$52*Assumptions!$E$124*H291</f>
        <v>15.939</v>
      </c>
      <c r="I297" s="15" t="n">
        <f aca="false">'Unit Economics'!$E$52*Assumptions!$E$124*I291</f>
        <v>15.939</v>
      </c>
      <c r="J297" s="15" t="n">
        <f aca="false">'Unit Economics'!$E$52*Assumptions!$E$124*J291</f>
        <v>15.939</v>
      </c>
      <c r="K297" s="15" t="n">
        <f aca="false">'Unit Economics'!$E$52*Assumptions!$E$124*K291</f>
        <v>15.939</v>
      </c>
      <c r="L297" s="15" t="n">
        <f aca="false">'Unit Economics'!$E$52*Assumptions!$E$124*L291</f>
        <v>15.939</v>
      </c>
      <c r="M297" s="15" t="n">
        <f aca="false">'Unit Economics'!$E$52*Assumptions!$E$124*M291</f>
        <v>15.939</v>
      </c>
      <c r="N297" s="15" t="n">
        <f aca="false">'Unit Economics'!$E$52*Assumptions!$E$124*N291</f>
        <v>15.939</v>
      </c>
      <c r="O297" s="15" t="n">
        <f aca="false">'Unit Economics'!$E$52*Assumptions!$E$124*O291</f>
        <v>15.939</v>
      </c>
      <c r="P297" s="15" t="n">
        <f aca="false">'Unit Economics'!$E$52*Assumptions!$E$124*P291</f>
        <v>15.939</v>
      </c>
      <c r="Q297" s="15" t="n">
        <f aca="false">'Unit Economics'!$E$52*Assumptions!$E$124*Q291</f>
        <v>15.939</v>
      </c>
      <c r="R297" s="15" t="n">
        <f aca="false">'Unit Economics'!$E$52*Assumptions!$E$124*R291</f>
        <v>15.939</v>
      </c>
      <c r="S297" s="15" t="n">
        <f aca="false">'Unit Economics'!$E$52*Assumptions!$E$124*S291</f>
        <v>15.939</v>
      </c>
      <c r="T297" s="15" t="n">
        <f aca="false">'Unit Economics'!$E$52*Assumptions!$E$124*T291</f>
        <v>15.939</v>
      </c>
      <c r="U297" s="15" t="n">
        <f aca="false">'Unit Economics'!$E$52*Assumptions!$E$124*U291</f>
        <v>15.939</v>
      </c>
      <c r="V297" s="15" t="n">
        <f aca="false">'Unit Economics'!$E$52*Assumptions!$E$124*V291</f>
        <v>15.939</v>
      </c>
      <c r="W297" s="15" t="n">
        <f aca="false">'Unit Economics'!$E$52*Assumptions!$E$124*W291</f>
        <v>15.939</v>
      </c>
      <c r="X297" s="15" t="n">
        <f aca="false">'Unit Economics'!$E$52*Assumptions!$E$124*X291</f>
        <v>15.939</v>
      </c>
      <c r="Y297" s="15" t="n">
        <f aca="false">'Unit Economics'!$E$52*Assumptions!$E$124*Y291</f>
        <v>15.939</v>
      </c>
      <c r="Z297" s="15" t="n">
        <f aca="false">'Unit Economics'!$E$52*Assumptions!$E$124*Z291</f>
        <v>15.939</v>
      </c>
      <c r="AA297" s="15" t="n">
        <f aca="false">'Unit Economics'!$E$52*Assumptions!$E$124*AA291</f>
        <v>15.939</v>
      </c>
      <c r="AB297" s="15" t="n">
        <f aca="false">'Unit Economics'!$E$52*Assumptions!$E$124*AB291</f>
        <v>15.939</v>
      </c>
      <c r="AC297" s="15" t="n">
        <f aca="false">'Unit Economics'!$E$52*Assumptions!$E$124*AC291</f>
        <v>15.939</v>
      </c>
      <c r="AD297" s="15" t="n">
        <f aca="false">'Unit Economics'!$E$52*Assumptions!$E$124*AD291</f>
        <v>15.939</v>
      </c>
      <c r="AE297" s="15" t="n">
        <f aca="false">'Unit Economics'!$E$52*Assumptions!$E$124*AE291</f>
        <v>15.939</v>
      </c>
      <c r="AF297" s="15" t="n">
        <f aca="false">'Unit Economics'!$E$52*Assumptions!$E$124*AF291</f>
        <v>15.939</v>
      </c>
      <c r="AG297" s="15" t="n">
        <f aca="false">'Unit Economics'!$E$52*Assumptions!$E$124*AG291</f>
        <v>15.939</v>
      </c>
      <c r="AH297" s="15" t="n">
        <f aca="false">'Unit Economics'!$E$52*Assumptions!$E$124*AH291</f>
        <v>15.939</v>
      </c>
      <c r="AI297" s="15" t="n">
        <f aca="false">'Unit Economics'!$E$52*Assumptions!$E$124*AI291</f>
        <v>15.939</v>
      </c>
      <c r="AJ297" s="15" t="n">
        <f aca="false">'Unit Economics'!$E$52*Assumptions!$E$124*AJ291</f>
        <v>15.939</v>
      </c>
      <c r="AK297" s="15" t="n">
        <f aca="false">'Unit Economics'!$E$52*Assumptions!$E$124*AK291</f>
        <v>15.939</v>
      </c>
      <c r="AL297" s="15" t="n">
        <f aca="false">'Unit Economics'!$E$52*Assumptions!$E$124*AL291</f>
        <v>15.939</v>
      </c>
    </row>
    <row r="298" customFormat="false" ht="15" hidden="false" customHeight="false" outlineLevel="0" collapsed="false">
      <c r="A298" s="7" t="s">
        <v>763</v>
      </c>
      <c r="B298" s="9" t="s">
        <v>101</v>
      </c>
      <c r="C298" s="8" t="n">
        <f aca="false">C296*'Unit Economics'!$E$52</f>
        <v>0</v>
      </c>
      <c r="D298" s="8" t="n">
        <f aca="false">D296*'Unit Economics'!$E$52</f>
        <v>186.4863</v>
      </c>
      <c r="E298" s="8" t="n">
        <f aca="false">E296*'Unit Economics'!$E$52</f>
        <v>426.04947</v>
      </c>
      <c r="F298" s="8" t="n">
        <f aca="false">F296*'Unit Economics'!$E$52</f>
        <v>650.9089125</v>
      </c>
      <c r="G298" s="8" t="n">
        <f aca="false">G296*'Unit Economics'!$E$52</f>
        <v>687.3598116</v>
      </c>
      <c r="H298" s="8" t="n">
        <f aca="false">H296*'Unit Economics'!$E$52</f>
        <v>1050.1330455</v>
      </c>
      <c r="I298" s="8" t="n">
        <f aca="false">I296*'Unit Economics'!$E$52</f>
        <v>1455.484401063</v>
      </c>
      <c r="J298" s="8" t="n">
        <f aca="false">J296*'Unit Economics'!$E$52</f>
        <v>1448.5535229627</v>
      </c>
      <c r="K298" s="8" t="n">
        <f aca="false">K296*'Unit Economics'!$E$52</f>
        <v>1677.2725002726</v>
      </c>
      <c r="L298" s="8" t="n">
        <f aca="false">L296*'Unit Economics'!$E$52</f>
        <v>1752.74976278487</v>
      </c>
      <c r="M298" s="8" t="n">
        <f aca="false">M296*'Unit Economics'!$E$52</f>
        <v>1725.07476653037</v>
      </c>
      <c r="N298" s="8" t="n">
        <f aca="false">N296*'Unit Economics'!$E$52</f>
        <v>1897.58224318341</v>
      </c>
      <c r="O298" s="8" t="n">
        <f aca="false">O296*'Unit Economics'!$E$52</f>
        <v>2226.86857361818</v>
      </c>
      <c r="P298" s="8" t="n">
        <f aca="false">P296*'Unit Economics'!$E$52</f>
        <v>3199.65852946191</v>
      </c>
      <c r="Q298" s="8" t="n">
        <f aca="false">Q296*'Unit Economics'!$E$52</f>
        <v>3488.85843500942</v>
      </c>
      <c r="R298" s="8" t="n">
        <f aca="false">R296*'Unit Economics'!$E$52</f>
        <v>3391.94570070361</v>
      </c>
      <c r="S298" s="8" t="n">
        <f aca="false">S296*'Unit Economics'!$E$52</f>
        <v>2564.31094973193</v>
      </c>
      <c r="T298" s="8" t="n">
        <f aca="false">T296*'Unit Economics'!$E$52</f>
        <v>2991.69610802058</v>
      </c>
      <c r="U298" s="8" t="n">
        <f aca="false">U296*'Unit Economics'!$E$52</f>
        <v>3298.34495909269</v>
      </c>
      <c r="V298" s="8" t="n">
        <f aca="false">V296*'Unit Economics'!$E$52</f>
        <v>3133.42771113806</v>
      </c>
      <c r="W298" s="8" t="n">
        <f aca="false">W296*'Unit Economics'!$E$52</f>
        <v>3463.26220704733</v>
      </c>
      <c r="X298" s="8" t="n">
        <f aca="false">X296*'Unit Economics'!$E$52</f>
        <v>3454.60405152971</v>
      </c>
      <c r="Y298" s="8" t="n">
        <f aca="false">Y296*'Unit Economics'!$E$52</f>
        <v>3245.50959577923</v>
      </c>
      <c r="Z298" s="8" t="n">
        <f aca="false">Z296*'Unit Economics'!$E$52</f>
        <v>3407.78507556819</v>
      </c>
      <c r="AA298" s="8" t="n">
        <f aca="false">AA296*'Unit Economics'!$E$52</f>
        <v>3922.96199581585</v>
      </c>
      <c r="AB298" s="8" t="n">
        <f aca="false">AB296*'Unit Economics'!$E$52</f>
        <v>5529.31169726045</v>
      </c>
      <c r="AC298" s="8" t="n">
        <f aca="false">AC296*'Unit Economics'!$E$52</f>
        <v>5914.23685772358</v>
      </c>
      <c r="AD298" s="8" t="n">
        <f aca="false">AD296*'Unit Economics'!$E$52</f>
        <v>5640.42959579193</v>
      </c>
      <c r="AE298" s="8" t="n">
        <f aca="false">AE296*'Unit Economics'!$E$52</f>
        <v>4182.9425882393</v>
      </c>
      <c r="AF298" s="8" t="n">
        <f aca="false">AF296*'Unit Economics'!$E$52</f>
        <v>4787.14540654053</v>
      </c>
      <c r="AG298" s="8" t="n">
        <f aca="false">AG296*'Unit Economics'!$E$52</f>
        <v>5177.29775717358</v>
      </c>
      <c r="AH298" s="8" t="n">
        <f aca="false">AH296*'Unit Economics'!$E$52</f>
        <v>4824.7484337089</v>
      </c>
      <c r="AI298" s="8" t="n">
        <f aca="false">AI296*'Unit Economics'!$E$52</f>
        <v>5231.04303865281</v>
      </c>
      <c r="AJ298" s="8" t="n">
        <f aca="false">AJ296*'Unit Economics'!$E$52</f>
        <v>5118.57561332178</v>
      </c>
      <c r="AK298" s="8" t="n">
        <f aca="false">AK296*'Unit Economics'!$E$52</f>
        <v>4717.17152575075</v>
      </c>
      <c r="AL298" s="8" t="n">
        <f aca="false">AL296*'Unit Economics'!$E$52</f>
        <v>4858.68667152327</v>
      </c>
      <c r="AM298" s="45" t="n">
        <f aca="false">SUMIF($C$6:$AL$6,1,C298:AL298)</f>
        <v>12957.654736397</v>
      </c>
      <c r="AN298" s="45" t="n">
        <f aca="false">SUMIF($C$6:$AL$6,2,C298:AL298)</f>
        <v>37866.2718967008</v>
      </c>
      <c r="AO298" s="45" t="n">
        <f aca="false">SUMIF($C$6:$AL$6,3,C298:AL298)</f>
        <v>59904.5511815027</v>
      </c>
      <c r="AP298" s="45" t="n">
        <f aca="false">SUM(C298:AL298)</f>
        <v>110728.477814601</v>
      </c>
    </row>
    <row r="299" customFormat="false" ht="15" hidden="false" customHeight="false" outlineLevel="0" collapsed="false">
      <c r="A299" s="7" t="s">
        <v>764</v>
      </c>
      <c r="B299" s="9" t="s">
        <v>101</v>
      </c>
      <c r="C299" s="8" t="n">
        <f aca="false">C296*'Unit Economics'!$F$52</f>
        <v>0</v>
      </c>
      <c r="D299" s="8" t="n">
        <f aca="false">D296*'Unit Economics'!$F$52</f>
        <v>78.27534</v>
      </c>
      <c r="E299" s="8" t="n">
        <f aca="false">E296*'Unit Economics'!$F$52</f>
        <v>178.829046</v>
      </c>
      <c r="F299" s="8" t="n">
        <f aca="false">F296*'Unit Economics'!$F$52</f>
        <v>273.2110425</v>
      </c>
      <c r="G299" s="8" t="n">
        <f aca="false">G296*'Unit Economics'!$F$52</f>
        <v>288.51086088</v>
      </c>
      <c r="H299" s="8" t="n">
        <f aca="false">H296*'Unit Economics'!$F$52</f>
        <v>440.7804819</v>
      </c>
      <c r="I299" s="8" t="n">
        <f aca="false">I296*'Unit Economics'!$F$52</f>
        <v>610.9217479134</v>
      </c>
      <c r="J299" s="8" t="n">
        <f aca="false">J296*'Unit Economics'!$F$52</f>
        <v>608.01259673286</v>
      </c>
      <c r="K299" s="8" t="n">
        <f aca="false">K296*'Unit Economics'!$F$52</f>
        <v>704.01458569068</v>
      </c>
      <c r="L299" s="8" t="n">
        <f aca="false">L296*'Unit Economics'!$F$52</f>
        <v>735.695242046761</v>
      </c>
      <c r="M299" s="8" t="n">
        <f aca="false">M296*'Unit Economics'!$F$52</f>
        <v>724.079001382865</v>
      </c>
      <c r="N299" s="8" t="n">
        <f aca="false">N296*'Unit Economics'!$F$52</f>
        <v>796.486901521152</v>
      </c>
      <c r="O299" s="8" t="n">
        <f aca="false">O296*'Unit Economics'!$F$52</f>
        <v>934.70080502041</v>
      </c>
      <c r="P299" s="8" t="n">
        <f aca="false">P296*'Unit Economics'!$F$52</f>
        <v>1343.01747247669</v>
      </c>
      <c r="Q299" s="8" t="n">
        <f aca="false">Q296*'Unit Economics'!$F$52</f>
        <v>1464.40559018132</v>
      </c>
      <c r="R299" s="8" t="n">
        <f aca="false">R296*'Unit Economics'!$F$52</f>
        <v>1423.72765712073</v>
      </c>
      <c r="S299" s="8" t="n">
        <f aca="false">S296*'Unit Economics'!$F$52</f>
        <v>1076.33810878327</v>
      </c>
      <c r="T299" s="8" t="n">
        <f aca="false">T296*'Unit Economics'!$F$52</f>
        <v>1255.72779358048</v>
      </c>
      <c r="U299" s="8" t="n">
        <f aca="false">U296*'Unit Economics'!$F$52</f>
        <v>1384.43989242248</v>
      </c>
      <c r="V299" s="8" t="n">
        <f aca="false">V296*'Unit Economics'!$F$52</f>
        <v>1315.21789780136</v>
      </c>
      <c r="W299" s="8" t="n">
        <f aca="false">W296*'Unit Economics'!$F$52</f>
        <v>1453.66188704361</v>
      </c>
      <c r="X299" s="8" t="n">
        <f aca="false">X296*'Unit Economics'!$F$52</f>
        <v>1450.027732326</v>
      </c>
      <c r="Y299" s="8" t="n">
        <f aca="false">Y296*'Unit Economics'!$F$52</f>
        <v>1362.26289589574</v>
      </c>
      <c r="Z299" s="8" t="n">
        <f aca="false">Z296*'Unit Economics'!$F$52</f>
        <v>1430.37604069053</v>
      </c>
      <c r="AA299" s="8" t="n">
        <f aca="false">AA296*'Unit Economics'!$F$52</f>
        <v>1646.61524213609</v>
      </c>
      <c r="AB299" s="8" t="n">
        <f aca="false">AB296*'Unit Economics'!$F$52</f>
        <v>2320.86085181077</v>
      </c>
      <c r="AC299" s="8" t="n">
        <f aca="false">AC296*'Unit Economics'!$F$52</f>
        <v>2482.42847264836</v>
      </c>
      <c r="AD299" s="8" t="n">
        <f aca="false">AD296*'Unit Economics'!$F$52</f>
        <v>2367.50122854427</v>
      </c>
      <c r="AE299" s="8" t="n">
        <f aca="false">AE296*'Unit Economics'!$F$52</f>
        <v>1755.73891108843</v>
      </c>
      <c r="AF299" s="8" t="n">
        <f aca="false">AF296*'Unit Economics'!$F$52</f>
        <v>2009.3456426901</v>
      </c>
      <c r="AG299" s="8" t="n">
        <f aca="false">AG296*'Unit Economics'!$F$52</f>
        <v>2173.10731256934</v>
      </c>
      <c r="AH299" s="8" t="n">
        <f aca="false">AH296*'Unit Economics'!$F$52</f>
        <v>2025.12905271343</v>
      </c>
      <c r="AI299" s="8" t="n">
        <f aca="false">AI296*'Unit Economics'!$F$52</f>
        <v>2195.66623609982</v>
      </c>
      <c r="AJ299" s="8" t="n">
        <f aca="false">AJ296*'Unit Economics'!$F$52</f>
        <v>2148.45941202367</v>
      </c>
      <c r="AK299" s="8" t="n">
        <f aca="false">AK296*'Unit Economics'!$F$52</f>
        <v>1979.97496339655</v>
      </c>
      <c r="AL299" s="8" t="n">
        <f aca="false">AL296*'Unit Economics'!$F$52</f>
        <v>2039.37421229845</v>
      </c>
      <c r="AM299" s="45" t="n">
        <f aca="false">SUMIF($C$6:$AL$6,1,C299:AL299)</f>
        <v>5438.81684656772</v>
      </c>
      <c r="AN299" s="45" t="n">
        <f aca="false">SUMIF($C$6:$AL$6,2,C299:AL299)</f>
        <v>15893.9037733426</v>
      </c>
      <c r="AO299" s="45" t="n">
        <f aca="false">SUMIF($C$6:$AL$6,3,C299:AL299)</f>
        <v>25144.2015380193</v>
      </c>
      <c r="AP299" s="45" t="n">
        <f aca="false">SUM(C299:AL299)</f>
        <v>46476.9221579296</v>
      </c>
    </row>
    <row r="300" customFormat="false" ht="15" hidden="false" customHeight="false" outlineLevel="0" collapsed="false">
      <c r="A300" s="5" t="s">
        <v>574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</row>
    <row r="301" customFormat="false" ht="15" hidden="false" customHeight="false" outlineLevel="0" collapsed="false">
      <c r="A301" s="7" t="s">
        <v>755</v>
      </c>
      <c r="B301" s="9" t="s">
        <v>319</v>
      </c>
      <c r="C301" s="38" t="n">
        <f aca="false">IF(AND(Assumptions!$E$126=1,C$4&gt;=Assumptions!$E$127),1,0)</f>
        <v>0</v>
      </c>
      <c r="D301" s="38" t="n">
        <f aca="false">IF(AND(Assumptions!$E$126=1,D$4&gt;=Assumptions!$E$127),1,0)</f>
        <v>0</v>
      </c>
      <c r="E301" s="38" t="n">
        <f aca="false">IF(AND(Assumptions!$E$126=1,E$4&gt;=Assumptions!$E$127),1,0)</f>
        <v>1</v>
      </c>
      <c r="F301" s="38" t="n">
        <f aca="false">IF(AND(Assumptions!$E$126=1,F$4&gt;=Assumptions!$E$127),1,0)</f>
        <v>1</v>
      </c>
      <c r="G301" s="38" t="n">
        <f aca="false">IF(AND(Assumptions!$E$126=1,G$4&gt;=Assumptions!$E$127),1,0)</f>
        <v>1</v>
      </c>
      <c r="H301" s="38" t="n">
        <f aca="false">IF(AND(Assumptions!$E$126=1,H$4&gt;=Assumptions!$E$127),1,0)</f>
        <v>1</v>
      </c>
      <c r="I301" s="38" t="n">
        <f aca="false">IF(AND(Assumptions!$E$126=1,I$4&gt;=Assumptions!$E$127),1,0)</f>
        <v>1</v>
      </c>
      <c r="J301" s="38" t="n">
        <f aca="false">IF(AND(Assumptions!$E$126=1,J$4&gt;=Assumptions!$E$127),1,0)</f>
        <v>1</v>
      </c>
      <c r="K301" s="38" t="n">
        <f aca="false">IF(AND(Assumptions!$E$126=1,K$4&gt;=Assumptions!$E$127),1,0)</f>
        <v>1</v>
      </c>
      <c r="L301" s="38" t="n">
        <f aca="false">IF(AND(Assumptions!$E$126=1,L$4&gt;=Assumptions!$E$127),1,0)</f>
        <v>1</v>
      </c>
      <c r="M301" s="38" t="n">
        <f aca="false">IF(AND(Assumptions!$E$126=1,M$4&gt;=Assumptions!$E$127),1,0)</f>
        <v>1</v>
      </c>
      <c r="N301" s="38" t="n">
        <f aca="false">IF(AND(Assumptions!$E$126=1,N$4&gt;=Assumptions!$E$127),1,0)</f>
        <v>1</v>
      </c>
      <c r="O301" s="38" t="n">
        <f aca="false">IF(AND(Assumptions!$E$126=1,O$4&gt;=Assumptions!$E$127),1,0)</f>
        <v>1</v>
      </c>
      <c r="P301" s="38" t="n">
        <f aca="false">IF(AND(Assumptions!$E$126=1,P$4&gt;=Assumptions!$E$127),1,0)</f>
        <v>1</v>
      </c>
      <c r="Q301" s="38" t="n">
        <f aca="false">IF(AND(Assumptions!$E$126=1,Q$4&gt;=Assumptions!$E$127),1,0)</f>
        <v>1</v>
      </c>
      <c r="R301" s="38" t="n">
        <f aca="false">IF(AND(Assumptions!$E$126=1,R$4&gt;=Assumptions!$E$127),1,0)</f>
        <v>1</v>
      </c>
      <c r="S301" s="38" t="n">
        <f aca="false">IF(AND(Assumptions!$E$126=1,S$4&gt;=Assumptions!$E$127),1,0)</f>
        <v>1</v>
      </c>
      <c r="T301" s="38" t="n">
        <f aca="false">IF(AND(Assumptions!$E$126=1,T$4&gt;=Assumptions!$E$127),1,0)</f>
        <v>1</v>
      </c>
      <c r="U301" s="38" t="n">
        <f aca="false">IF(AND(Assumptions!$E$126=1,U$4&gt;=Assumptions!$E$127),1,0)</f>
        <v>1</v>
      </c>
      <c r="V301" s="38" t="n">
        <f aca="false">IF(AND(Assumptions!$E$126=1,V$4&gt;=Assumptions!$E$127),1,0)</f>
        <v>1</v>
      </c>
      <c r="W301" s="38" t="n">
        <f aca="false">IF(AND(Assumptions!$E$126=1,W$4&gt;=Assumptions!$E$127),1,0)</f>
        <v>1</v>
      </c>
      <c r="X301" s="38" t="n">
        <f aca="false">IF(AND(Assumptions!$E$126=1,X$4&gt;=Assumptions!$E$127),1,0)</f>
        <v>1</v>
      </c>
      <c r="Y301" s="38" t="n">
        <f aca="false">IF(AND(Assumptions!$E$126=1,Y$4&gt;=Assumptions!$E$127),1,0)</f>
        <v>1</v>
      </c>
      <c r="Z301" s="38" t="n">
        <f aca="false">IF(AND(Assumptions!$E$126=1,Z$4&gt;=Assumptions!$E$127),1,0)</f>
        <v>1</v>
      </c>
      <c r="AA301" s="38" t="n">
        <f aca="false">IF(AND(Assumptions!$E$126=1,AA$4&gt;=Assumptions!$E$127),1,0)</f>
        <v>1</v>
      </c>
      <c r="AB301" s="38" t="n">
        <f aca="false">IF(AND(Assumptions!$E$126=1,AB$4&gt;=Assumptions!$E$127),1,0)</f>
        <v>1</v>
      </c>
      <c r="AC301" s="38" t="n">
        <f aca="false">IF(AND(Assumptions!$E$126=1,AC$4&gt;=Assumptions!$E$127),1,0)</f>
        <v>1</v>
      </c>
      <c r="AD301" s="38" t="n">
        <f aca="false">IF(AND(Assumptions!$E$126=1,AD$4&gt;=Assumptions!$E$127),1,0)</f>
        <v>1</v>
      </c>
      <c r="AE301" s="38" t="n">
        <f aca="false">IF(AND(Assumptions!$E$126=1,AE$4&gt;=Assumptions!$E$127),1,0)</f>
        <v>1</v>
      </c>
      <c r="AF301" s="38" t="n">
        <f aca="false">IF(AND(Assumptions!$E$126=1,AF$4&gt;=Assumptions!$E$127),1,0)</f>
        <v>1</v>
      </c>
      <c r="AG301" s="38" t="n">
        <f aca="false">IF(AND(Assumptions!$E$126=1,AG$4&gt;=Assumptions!$E$127),1,0)</f>
        <v>1</v>
      </c>
      <c r="AH301" s="38" t="n">
        <f aca="false">IF(AND(Assumptions!$E$126=1,AH$4&gt;=Assumptions!$E$127),1,0)</f>
        <v>1</v>
      </c>
      <c r="AI301" s="38" t="n">
        <f aca="false">IF(AND(Assumptions!$E$126=1,AI$4&gt;=Assumptions!$E$127),1,0)</f>
        <v>1</v>
      </c>
      <c r="AJ301" s="38" t="n">
        <f aca="false">IF(AND(Assumptions!$E$126=1,AJ$4&gt;=Assumptions!$E$127),1,0)</f>
        <v>1</v>
      </c>
      <c r="AK301" s="38" t="n">
        <f aca="false">IF(AND(Assumptions!$E$126=1,AK$4&gt;=Assumptions!$E$127),1,0)</f>
        <v>1</v>
      </c>
      <c r="AL301" s="38" t="n">
        <f aca="false">IF(AND(Assumptions!$E$126=1,AL$4&gt;=Assumptions!$E$127),1,0)</f>
        <v>1</v>
      </c>
    </row>
    <row r="302" customFormat="false" ht="15" hidden="false" customHeight="false" outlineLevel="0" collapsed="false">
      <c r="A302" s="7" t="s">
        <v>756</v>
      </c>
      <c r="B302" s="9" t="s">
        <v>327</v>
      </c>
      <c r="C302" s="14" t="n">
        <f aca="false">IF(C301=0,0,Assumptions!$E$128)</f>
        <v>0</v>
      </c>
      <c r="D302" s="14" t="n">
        <f aca="false">IF(D301=0,0,IF(D$4=Assumptions!$E$127,Assumptions!$E$128,C302*(1+CHOOSE(D$6,Assumptions!$E$129,Assumptions!$E$130,Assumptions!$E$131))))</f>
        <v>0</v>
      </c>
      <c r="E302" s="14" t="n">
        <f aca="false">IF(E301=0,0,IF(E$4=Assumptions!$E$127,Assumptions!$E$128,D302*(1+CHOOSE(E$6,Assumptions!$E$129,Assumptions!$E$130,Assumptions!$E$131))))</f>
        <v>300</v>
      </c>
      <c r="F302" s="14" t="n">
        <f aca="false">IF(F301=0,0,IF(F$4=Assumptions!$E$127,Assumptions!$E$128,E302*(1+CHOOSE(F$6,Assumptions!$E$129,Assumptions!$E$130,Assumptions!$E$131))))</f>
        <v>318</v>
      </c>
      <c r="G302" s="14" t="n">
        <f aca="false">IF(G301=0,0,IF(G$4=Assumptions!$E$127,Assumptions!$E$128,F302*(1+CHOOSE(G$6,Assumptions!$E$129,Assumptions!$E$130,Assumptions!$E$131))))</f>
        <v>337.08</v>
      </c>
      <c r="H302" s="14" t="n">
        <f aca="false">IF(H301=0,0,IF(H$4=Assumptions!$E$127,Assumptions!$E$128,G302*(1+CHOOSE(H$6,Assumptions!$E$129,Assumptions!$E$130,Assumptions!$E$131))))</f>
        <v>357.3048</v>
      </c>
      <c r="I302" s="14" t="n">
        <f aca="false">IF(I301=0,0,IF(I$4=Assumptions!$E$127,Assumptions!$E$128,H302*(1+CHOOSE(I$6,Assumptions!$E$129,Assumptions!$E$130,Assumptions!$E$131))))</f>
        <v>378.743088</v>
      </c>
      <c r="J302" s="14" t="n">
        <f aca="false">IF(J301=0,0,IF(J$4=Assumptions!$E$127,Assumptions!$E$128,I302*(1+CHOOSE(J$6,Assumptions!$E$129,Assumptions!$E$130,Assumptions!$E$131))))</f>
        <v>401.46767328</v>
      </c>
      <c r="K302" s="14" t="n">
        <f aca="false">IF(K301=0,0,IF(K$4=Assumptions!$E$127,Assumptions!$E$128,J302*(1+CHOOSE(K$6,Assumptions!$E$129,Assumptions!$E$130,Assumptions!$E$131))))</f>
        <v>425.5557336768</v>
      </c>
      <c r="L302" s="14" t="n">
        <f aca="false">IF(L301=0,0,IF(L$4=Assumptions!$E$127,Assumptions!$E$128,K302*(1+CHOOSE(L$6,Assumptions!$E$129,Assumptions!$E$130,Assumptions!$E$131))))</f>
        <v>451.089077697408</v>
      </c>
      <c r="M302" s="14" t="n">
        <f aca="false">IF(M301=0,0,IF(M$4=Assumptions!$E$127,Assumptions!$E$128,L302*(1+CHOOSE(M$6,Assumptions!$E$129,Assumptions!$E$130,Assumptions!$E$131))))</f>
        <v>478.154422359253</v>
      </c>
      <c r="N302" s="14" t="n">
        <f aca="false">IF(N301=0,0,IF(N$4=Assumptions!$E$127,Assumptions!$E$128,M302*(1+CHOOSE(N$6,Assumptions!$E$129,Assumptions!$E$130,Assumptions!$E$131))))</f>
        <v>506.843687700808</v>
      </c>
      <c r="O302" s="14" t="n">
        <f aca="false">IF(O301=0,0,IF(O$4=Assumptions!$E$127,Assumptions!$E$128,N302*(1+CHOOSE(O$6,Assumptions!$E$129,Assumptions!$E$130,Assumptions!$E$131))))</f>
        <v>527.11743520884</v>
      </c>
      <c r="P302" s="14" t="n">
        <f aca="false">IF(P301=0,0,IF(P$4=Assumptions!$E$127,Assumptions!$E$128,O302*(1+CHOOSE(P$6,Assumptions!$E$129,Assumptions!$E$130,Assumptions!$E$131))))</f>
        <v>548.202132617194</v>
      </c>
      <c r="Q302" s="14" t="n">
        <f aca="false">IF(Q301=0,0,IF(Q$4=Assumptions!$E$127,Assumptions!$E$128,P302*(1+CHOOSE(Q$6,Assumptions!$E$129,Assumptions!$E$130,Assumptions!$E$131))))</f>
        <v>570.130217921882</v>
      </c>
      <c r="R302" s="14" t="n">
        <f aca="false">IF(R301=0,0,IF(R$4=Assumptions!$E$127,Assumptions!$E$128,Q302*(1+CHOOSE(R$6,Assumptions!$E$129,Assumptions!$E$130,Assumptions!$E$131))))</f>
        <v>592.935426638757</v>
      </c>
      <c r="S302" s="14" t="n">
        <f aca="false">IF(S301=0,0,IF(S$4=Assumptions!$E$127,Assumptions!$E$128,R302*(1+CHOOSE(S$6,Assumptions!$E$129,Assumptions!$E$130,Assumptions!$E$131))))</f>
        <v>616.652843704307</v>
      </c>
      <c r="T302" s="14" t="n">
        <f aca="false">IF(T301=0,0,IF(T$4=Assumptions!$E$127,Assumptions!$E$128,S302*(1+CHOOSE(T$6,Assumptions!$E$129,Assumptions!$E$130,Assumptions!$E$131))))</f>
        <v>641.31895745248</v>
      </c>
      <c r="U302" s="14" t="n">
        <f aca="false">IF(U301=0,0,IF(U$4=Assumptions!$E$127,Assumptions!$E$128,T302*(1+CHOOSE(U$6,Assumptions!$E$129,Assumptions!$E$130,Assumptions!$E$131))))</f>
        <v>666.971715750579</v>
      </c>
      <c r="V302" s="14" t="n">
        <f aca="false">IF(V301=0,0,IF(V$4=Assumptions!$E$127,Assumptions!$E$128,U302*(1+CHOOSE(V$6,Assumptions!$E$129,Assumptions!$E$130,Assumptions!$E$131))))</f>
        <v>693.650584380602</v>
      </c>
      <c r="W302" s="14" t="n">
        <f aca="false">IF(W301=0,0,IF(W$4=Assumptions!$E$127,Assumptions!$E$128,V302*(1+CHOOSE(W$6,Assumptions!$E$129,Assumptions!$E$130,Assumptions!$E$131))))</f>
        <v>721.396607755826</v>
      </c>
      <c r="X302" s="14" t="n">
        <f aca="false">IF(X301=0,0,IF(X$4=Assumptions!$E$127,Assumptions!$E$128,W302*(1+CHOOSE(X$6,Assumptions!$E$129,Assumptions!$E$130,Assumptions!$E$131))))</f>
        <v>750.252472066059</v>
      </c>
      <c r="Y302" s="14" t="n">
        <f aca="false">IF(Y301=0,0,IF(Y$4=Assumptions!$E$127,Assumptions!$E$128,X302*(1+CHOOSE(Y$6,Assumptions!$E$129,Assumptions!$E$130,Assumptions!$E$131))))</f>
        <v>780.262570948702</v>
      </c>
      <c r="Z302" s="14" t="n">
        <f aca="false">IF(Z301=0,0,IF(Z$4=Assumptions!$E$127,Assumptions!$E$128,Y302*(1+CHOOSE(Z$6,Assumptions!$E$129,Assumptions!$E$130,Assumptions!$E$131))))</f>
        <v>811.47307378665</v>
      </c>
      <c r="AA302" s="14" t="n">
        <f aca="false">IF(AA301=0,0,IF(AA$4=Assumptions!$E$127,Assumptions!$E$128,Z302*(1+CHOOSE(AA$6,Assumptions!$E$129,Assumptions!$E$130,Assumptions!$E$131))))</f>
        <v>827.702535262383</v>
      </c>
      <c r="AB302" s="14" t="n">
        <f aca="false">IF(AB301=0,0,IF(AB$4=Assumptions!$E$127,Assumptions!$E$128,AA302*(1+CHOOSE(AB$6,Assumptions!$E$129,Assumptions!$E$130,Assumptions!$E$131))))</f>
        <v>844.25658596763</v>
      </c>
      <c r="AC302" s="14" t="n">
        <f aca="false">IF(AC301=0,0,IF(AC$4=Assumptions!$E$127,Assumptions!$E$128,AB302*(1+CHOOSE(AC$6,Assumptions!$E$129,Assumptions!$E$130,Assumptions!$E$131))))</f>
        <v>861.141717686983</v>
      </c>
      <c r="AD302" s="14" t="n">
        <f aca="false">IF(AD301=0,0,IF(AD$4=Assumptions!$E$127,Assumptions!$E$128,AC302*(1+CHOOSE(AD$6,Assumptions!$E$129,Assumptions!$E$130,Assumptions!$E$131))))</f>
        <v>878.364552040723</v>
      </c>
      <c r="AE302" s="14" t="n">
        <f aca="false">IF(AE301=0,0,IF(AE$4=Assumptions!$E$127,Assumptions!$E$128,AD302*(1+CHOOSE(AE$6,Assumptions!$E$129,Assumptions!$E$130,Assumptions!$E$131))))</f>
        <v>895.931843081537</v>
      </c>
      <c r="AF302" s="14" t="n">
        <f aca="false">IF(AF301=0,0,IF(AF$4=Assumptions!$E$127,Assumptions!$E$128,AE302*(1+CHOOSE(AF$6,Assumptions!$E$129,Assumptions!$E$130,Assumptions!$E$131))))</f>
        <v>913.850479943168</v>
      </c>
      <c r="AG302" s="14" t="n">
        <f aca="false">IF(AG301=0,0,IF(AG$4=Assumptions!$E$127,Assumptions!$E$128,AF302*(1+CHOOSE(AG$6,Assumptions!$E$129,Assumptions!$E$130,Assumptions!$E$131))))</f>
        <v>932.127489542031</v>
      </c>
      <c r="AH302" s="14" t="n">
        <f aca="false">IF(AH301=0,0,IF(AH$4=Assumptions!$E$127,Assumptions!$E$128,AG302*(1+CHOOSE(AH$6,Assumptions!$E$129,Assumptions!$E$130,Assumptions!$E$131))))</f>
        <v>950.770039332872</v>
      </c>
      <c r="AI302" s="14" t="n">
        <f aca="false">IF(AI301=0,0,IF(AI$4=Assumptions!$E$127,Assumptions!$E$128,AH302*(1+CHOOSE(AI$6,Assumptions!$E$129,Assumptions!$E$130,Assumptions!$E$131))))</f>
        <v>969.785440119529</v>
      </c>
      <c r="AJ302" s="14" t="n">
        <f aca="false">IF(AJ301=0,0,IF(AJ$4=Assumptions!$E$127,Assumptions!$E$128,AI302*(1+CHOOSE(AJ$6,Assumptions!$E$129,Assumptions!$E$130,Assumptions!$E$131))))</f>
        <v>989.18114892192</v>
      </c>
      <c r="AK302" s="14" t="n">
        <f aca="false">IF(AK301=0,0,IF(AK$4=Assumptions!$E$127,Assumptions!$E$128,AJ302*(1+CHOOSE(AK$6,Assumptions!$E$129,Assumptions!$E$130,Assumptions!$E$131))))</f>
        <v>1008.96477190036</v>
      </c>
      <c r="AL302" s="14" t="n">
        <f aca="false">IF(AL301=0,0,IF(AL$4=Assumptions!$E$127,Assumptions!$E$128,AK302*(1+CHOOSE(AL$6,Assumptions!$E$129,Assumptions!$E$130,Assumptions!$E$131))))</f>
        <v>1029.14406733837</v>
      </c>
    </row>
    <row r="303" customFormat="false" ht="15" hidden="false" customHeight="false" outlineLevel="0" collapsed="false">
      <c r="A303" s="7" t="s">
        <v>768</v>
      </c>
      <c r="B303" s="9" t="s">
        <v>327</v>
      </c>
      <c r="C303" s="52" t="n">
        <f aca="false">C302*C$7</f>
        <v>0</v>
      </c>
      <c r="D303" s="52" t="n">
        <f aca="false">D302*D$7</f>
        <v>0</v>
      </c>
      <c r="E303" s="52" t="n">
        <f aca="false">E302*E$7</f>
        <v>405</v>
      </c>
      <c r="F303" s="52" t="n">
        <f aca="false">F302*F$7</f>
        <v>397.5</v>
      </c>
      <c r="G303" s="52" t="n">
        <f aca="false">G302*G$7</f>
        <v>303.372</v>
      </c>
      <c r="H303" s="52" t="n">
        <f aca="false">H302*H$7</f>
        <v>357.3048</v>
      </c>
      <c r="I303" s="52" t="n">
        <f aca="false">I302*I$7</f>
        <v>397.6802424</v>
      </c>
      <c r="J303" s="52" t="n">
        <f aca="false">J302*J$7</f>
        <v>381.394289616</v>
      </c>
      <c r="K303" s="52" t="n">
        <f aca="false">K302*K$7</f>
        <v>425.5557336768</v>
      </c>
      <c r="L303" s="52" t="n">
        <f aca="false">L302*L$7</f>
        <v>428.534623812538</v>
      </c>
      <c r="M303" s="52" t="n">
        <f aca="false">M302*M$7</f>
        <v>406.431259005365</v>
      </c>
      <c r="N303" s="52" t="n">
        <f aca="false">N302*N$7</f>
        <v>430.817134545687</v>
      </c>
      <c r="O303" s="52" t="n">
        <f aca="false">O302*O$7</f>
        <v>500.761563448398</v>
      </c>
      <c r="P303" s="52" t="n">
        <f aca="false">P302*P$7</f>
        <v>712.662772402352</v>
      </c>
      <c r="Q303" s="52" t="n">
        <f aca="false">Q302*Q$7</f>
        <v>769.67579419454</v>
      </c>
      <c r="R303" s="52" t="n">
        <f aca="false">R302*R$7</f>
        <v>741.169283298446</v>
      </c>
      <c r="S303" s="52" t="n">
        <f aca="false">S302*S$7</f>
        <v>554.987559333876</v>
      </c>
      <c r="T303" s="52" t="n">
        <f aca="false">T302*T$7</f>
        <v>641.31895745248</v>
      </c>
      <c r="U303" s="52" t="n">
        <f aca="false">U302*U$7</f>
        <v>700.320301538108</v>
      </c>
      <c r="V303" s="52" t="n">
        <f aca="false">V302*V$7</f>
        <v>658.968055161572</v>
      </c>
      <c r="W303" s="52" t="n">
        <f aca="false">W302*W$7</f>
        <v>721.396607755826</v>
      </c>
      <c r="X303" s="52" t="n">
        <f aca="false">X302*X$7</f>
        <v>712.739848462756</v>
      </c>
      <c r="Y303" s="52" t="n">
        <f aca="false">Y302*Y$7</f>
        <v>663.223185306396</v>
      </c>
      <c r="Z303" s="52" t="n">
        <f aca="false">Z302*Z$7</f>
        <v>689.752112718652</v>
      </c>
      <c r="AA303" s="52" t="n">
        <f aca="false">AA302*AA$7</f>
        <v>786.317408499264</v>
      </c>
      <c r="AB303" s="52" t="n">
        <f aca="false">AB302*AB$7</f>
        <v>1097.53356175792</v>
      </c>
      <c r="AC303" s="52" t="n">
        <f aca="false">AC302*AC$7</f>
        <v>1162.54131887743</v>
      </c>
      <c r="AD303" s="52" t="n">
        <f aca="false">AD302*AD$7</f>
        <v>1097.9556900509</v>
      </c>
      <c r="AE303" s="52" t="n">
        <f aca="false">AE302*AE$7</f>
        <v>806.338658773383</v>
      </c>
      <c r="AF303" s="52" t="n">
        <f aca="false">AF302*AF$7</f>
        <v>913.850479943168</v>
      </c>
      <c r="AG303" s="52" t="n">
        <f aca="false">AG302*AG$7</f>
        <v>978.733864019133</v>
      </c>
      <c r="AH303" s="52" t="n">
        <f aca="false">AH302*AH$7</f>
        <v>903.231537366228</v>
      </c>
      <c r="AI303" s="52" t="n">
        <f aca="false">AI302*AI$7</f>
        <v>969.785440119529</v>
      </c>
      <c r="AJ303" s="52" t="n">
        <f aca="false">AJ302*AJ$7</f>
        <v>939.722091475824</v>
      </c>
      <c r="AK303" s="52" t="n">
        <f aca="false">AK302*AK$7</f>
        <v>857.620056115305</v>
      </c>
      <c r="AL303" s="52" t="n">
        <f aca="false">AL302*AL$7</f>
        <v>874.772457237611</v>
      </c>
      <c r="AM303" s="53" t="n">
        <f aca="false">SUMIF($C$6:$AL$6,1,C303:AL303)</f>
        <v>3933.59008305639</v>
      </c>
      <c r="AN303" s="53" t="n">
        <f aca="false">SUMIF($C$6:$AL$6,2,C303:AL303)</f>
        <v>8066.9760410734</v>
      </c>
      <c r="AO303" s="53" t="n">
        <f aca="false">SUMIF($C$6:$AL$6,3,C303:AL303)</f>
        <v>11388.4025642357</v>
      </c>
      <c r="AP303" s="53" t="n">
        <f aca="false">SUM(C303:AL303)</f>
        <v>23388.9686883655</v>
      </c>
    </row>
    <row r="304" customFormat="false" ht="15" hidden="false" customHeight="false" outlineLevel="0" collapsed="false">
      <c r="A304" s="7" t="s">
        <v>758</v>
      </c>
      <c r="B304" s="9" t="s">
        <v>96</v>
      </c>
      <c r="C304" s="54" t="n">
        <f aca="false">Assumptions!$E$132*MIN(1,(C$4-Assumptions!$E$127+1)/Assumptions!$C$10)*C301</f>
        <v>-0</v>
      </c>
      <c r="D304" s="54" t="n">
        <f aca="false">Assumptions!$E$132*MIN(1,(D$4-Assumptions!$E$127+1)/Assumptions!$C$10)*D301</f>
        <v>0</v>
      </c>
      <c r="E304" s="54" t="n">
        <f aca="false">Assumptions!$E$132*MIN(1,(E$4-Assumptions!$E$127+1)/Assumptions!$C$10)*E301</f>
        <v>0.00583333333333333</v>
      </c>
      <c r="F304" s="54" t="n">
        <f aca="false">Assumptions!$E$132*MIN(1,(F$4-Assumptions!$E$127+1)/Assumptions!$C$10)*F301</f>
        <v>0.0116666666666667</v>
      </c>
      <c r="G304" s="54" t="n">
        <f aca="false">Assumptions!$E$132*MIN(1,(G$4-Assumptions!$E$127+1)/Assumptions!$C$10)*G301</f>
        <v>0.0175</v>
      </c>
      <c r="H304" s="54" t="n">
        <f aca="false">Assumptions!$E$132*MIN(1,(H$4-Assumptions!$E$127+1)/Assumptions!$C$10)*H301</f>
        <v>0.0233333333333333</v>
      </c>
      <c r="I304" s="54" t="n">
        <f aca="false">Assumptions!$E$132*MIN(1,(I$4-Assumptions!$E$127+1)/Assumptions!$C$10)*I301</f>
        <v>0.0291666666666667</v>
      </c>
      <c r="J304" s="54" t="n">
        <f aca="false">Assumptions!$E$132*MIN(1,(J$4-Assumptions!$E$127+1)/Assumptions!$C$10)*J301</f>
        <v>0.035</v>
      </c>
      <c r="K304" s="54" t="n">
        <f aca="false">Assumptions!$E$132*MIN(1,(K$4-Assumptions!$E$127+1)/Assumptions!$C$10)*K301</f>
        <v>0.035</v>
      </c>
      <c r="L304" s="54" t="n">
        <f aca="false">Assumptions!$E$132*MIN(1,(L$4-Assumptions!$E$127+1)/Assumptions!$C$10)*L301</f>
        <v>0.035</v>
      </c>
      <c r="M304" s="54" t="n">
        <f aca="false">Assumptions!$E$132*MIN(1,(M$4-Assumptions!$E$127+1)/Assumptions!$C$10)*M301</f>
        <v>0.035</v>
      </c>
      <c r="N304" s="54" t="n">
        <f aca="false">Assumptions!$E$132*MIN(1,(N$4-Assumptions!$E$127+1)/Assumptions!$C$10)*N301</f>
        <v>0.035</v>
      </c>
      <c r="O304" s="54" t="n">
        <f aca="false">Assumptions!$E$132*MIN(1,(O$4-Assumptions!$E$127+1)/Assumptions!$C$10)*O301</f>
        <v>0.035</v>
      </c>
      <c r="P304" s="54" t="n">
        <f aca="false">Assumptions!$E$132*MIN(1,(P$4-Assumptions!$E$127+1)/Assumptions!$C$10)*P301</f>
        <v>0.035</v>
      </c>
      <c r="Q304" s="54" t="n">
        <f aca="false">Assumptions!$E$132*MIN(1,(Q$4-Assumptions!$E$127+1)/Assumptions!$C$10)*Q301</f>
        <v>0.035</v>
      </c>
      <c r="R304" s="54" t="n">
        <f aca="false">Assumptions!$E$132*MIN(1,(R$4-Assumptions!$E$127+1)/Assumptions!$C$10)*R301</f>
        <v>0.035</v>
      </c>
      <c r="S304" s="54" t="n">
        <f aca="false">Assumptions!$E$132*MIN(1,(S$4-Assumptions!$E$127+1)/Assumptions!$C$10)*S301</f>
        <v>0.035</v>
      </c>
      <c r="T304" s="54" t="n">
        <f aca="false">Assumptions!$E$132*MIN(1,(T$4-Assumptions!$E$127+1)/Assumptions!$C$10)*T301</f>
        <v>0.035</v>
      </c>
      <c r="U304" s="54" t="n">
        <f aca="false">Assumptions!$E$132*MIN(1,(U$4-Assumptions!$E$127+1)/Assumptions!$C$10)*U301</f>
        <v>0.035</v>
      </c>
      <c r="V304" s="54" t="n">
        <f aca="false">Assumptions!$E$132*MIN(1,(V$4-Assumptions!$E$127+1)/Assumptions!$C$10)*V301</f>
        <v>0.035</v>
      </c>
      <c r="W304" s="54" t="n">
        <f aca="false">Assumptions!$E$132*MIN(1,(W$4-Assumptions!$E$127+1)/Assumptions!$C$10)*W301</f>
        <v>0.035</v>
      </c>
      <c r="X304" s="54" t="n">
        <f aca="false">Assumptions!$E$132*MIN(1,(X$4-Assumptions!$E$127+1)/Assumptions!$C$10)*X301</f>
        <v>0.035</v>
      </c>
      <c r="Y304" s="54" t="n">
        <f aca="false">Assumptions!$E$132*MIN(1,(Y$4-Assumptions!$E$127+1)/Assumptions!$C$10)*Y301</f>
        <v>0.035</v>
      </c>
      <c r="Z304" s="54" t="n">
        <f aca="false">Assumptions!$E$132*MIN(1,(Z$4-Assumptions!$E$127+1)/Assumptions!$C$10)*Z301</f>
        <v>0.035</v>
      </c>
      <c r="AA304" s="54" t="n">
        <f aca="false">Assumptions!$E$132*MIN(1,(AA$4-Assumptions!$E$127+1)/Assumptions!$C$10)*AA301</f>
        <v>0.035</v>
      </c>
      <c r="AB304" s="54" t="n">
        <f aca="false">Assumptions!$E$132*MIN(1,(AB$4-Assumptions!$E$127+1)/Assumptions!$C$10)*AB301</f>
        <v>0.035</v>
      </c>
      <c r="AC304" s="54" t="n">
        <f aca="false">Assumptions!$E$132*MIN(1,(AC$4-Assumptions!$E$127+1)/Assumptions!$C$10)*AC301</f>
        <v>0.035</v>
      </c>
      <c r="AD304" s="54" t="n">
        <f aca="false">Assumptions!$E$132*MIN(1,(AD$4-Assumptions!$E$127+1)/Assumptions!$C$10)*AD301</f>
        <v>0.035</v>
      </c>
      <c r="AE304" s="54" t="n">
        <f aca="false">Assumptions!$E$132*MIN(1,(AE$4-Assumptions!$E$127+1)/Assumptions!$C$10)*AE301</f>
        <v>0.035</v>
      </c>
      <c r="AF304" s="54" t="n">
        <f aca="false">Assumptions!$E$132*MIN(1,(AF$4-Assumptions!$E$127+1)/Assumptions!$C$10)*AF301</f>
        <v>0.035</v>
      </c>
      <c r="AG304" s="54" t="n">
        <f aca="false">Assumptions!$E$132*MIN(1,(AG$4-Assumptions!$E$127+1)/Assumptions!$C$10)*AG301</f>
        <v>0.035</v>
      </c>
      <c r="AH304" s="54" t="n">
        <f aca="false">Assumptions!$E$132*MIN(1,(AH$4-Assumptions!$E$127+1)/Assumptions!$C$10)*AH301</f>
        <v>0.035</v>
      </c>
      <c r="AI304" s="54" t="n">
        <f aca="false">Assumptions!$E$132*MIN(1,(AI$4-Assumptions!$E$127+1)/Assumptions!$C$10)*AI301</f>
        <v>0.035</v>
      </c>
      <c r="AJ304" s="54" t="n">
        <f aca="false">Assumptions!$E$132*MIN(1,(AJ$4-Assumptions!$E$127+1)/Assumptions!$C$10)*AJ301</f>
        <v>0.035</v>
      </c>
      <c r="AK304" s="54" t="n">
        <f aca="false">Assumptions!$E$132*MIN(1,(AK$4-Assumptions!$E$127+1)/Assumptions!$C$10)*AK301</f>
        <v>0.035</v>
      </c>
      <c r="AL304" s="54" t="n">
        <f aca="false">Assumptions!$E$132*MIN(1,(AL$4-Assumptions!$E$127+1)/Assumptions!$C$10)*AL301</f>
        <v>0.035</v>
      </c>
    </row>
    <row r="305" customFormat="false" ht="15" hidden="false" customHeight="false" outlineLevel="0" collapsed="false">
      <c r="A305" s="7" t="s">
        <v>766</v>
      </c>
      <c r="B305" s="9" t="s">
        <v>760</v>
      </c>
      <c r="C305" s="55" t="n">
        <f aca="false">C303*C304</f>
        <v>-0</v>
      </c>
      <c r="D305" s="55" t="n">
        <f aca="false">D303*D304</f>
        <v>0</v>
      </c>
      <c r="E305" s="55" t="n">
        <f aca="false">E303*E304</f>
        <v>2.3625</v>
      </c>
      <c r="F305" s="55" t="n">
        <f aca="false">F303*F304</f>
        <v>4.6375</v>
      </c>
      <c r="G305" s="55" t="n">
        <f aca="false">G303*G304</f>
        <v>5.30901</v>
      </c>
      <c r="H305" s="55" t="n">
        <f aca="false">H303*H304</f>
        <v>8.337112</v>
      </c>
      <c r="I305" s="55" t="n">
        <f aca="false">I303*I304</f>
        <v>11.59900707</v>
      </c>
      <c r="J305" s="55" t="n">
        <f aca="false">J303*J304</f>
        <v>13.34880013656</v>
      </c>
      <c r="K305" s="55" t="n">
        <f aca="false">K303*K304</f>
        <v>14.894450678688</v>
      </c>
      <c r="L305" s="55" t="n">
        <f aca="false">L303*L304</f>
        <v>14.9987118334388</v>
      </c>
      <c r="M305" s="55" t="n">
        <f aca="false">M303*M304</f>
        <v>14.2250940651878</v>
      </c>
      <c r="N305" s="55" t="n">
        <f aca="false">N303*N304</f>
        <v>15.078599709099</v>
      </c>
      <c r="O305" s="55" t="n">
        <f aca="false">O303*O304</f>
        <v>17.5266547206939</v>
      </c>
      <c r="P305" s="55" t="n">
        <f aca="false">P303*P304</f>
        <v>24.9431970340823</v>
      </c>
      <c r="Q305" s="55" t="n">
        <f aca="false">Q303*Q304</f>
        <v>26.9386527968089</v>
      </c>
      <c r="R305" s="55" t="n">
        <f aca="false">R303*R304</f>
        <v>25.9409249154456</v>
      </c>
      <c r="S305" s="55" t="n">
        <f aca="false">S303*S304</f>
        <v>19.4245645766857</v>
      </c>
      <c r="T305" s="55" t="n">
        <f aca="false">T303*T304</f>
        <v>22.4461635108368</v>
      </c>
      <c r="U305" s="55" t="n">
        <f aca="false">U303*U304</f>
        <v>24.5112105538338</v>
      </c>
      <c r="V305" s="55" t="n">
        <f aca="false">V303*V304</f>
        <v>23.063881930655</v>
      </c>
      <c r="W305" s="55" t="n">
        <f aca="false">W303*W304</f>
        <v>25.2488812714539</v>
      </c>
      <c r="X305" s="55" t="n">
        <f aca="false">X303*X304</f>
        <v>24.9458946961965</v>
      </c>
      <c r="Y305" s="55" t="n">
        <f aca="false">Y303*Y304</f>
        <v>23.2128114857239</v>
      </c>
      <c r="Z305" s="55" t="n">
        <f aca="false">Z303*Z304</f>
        <v>24.1413239451528</v>
      </c>
      <c r="AA305" s="55" t="n">
        <f aca="false">AA303*AA304</f>
        <v>27.5211092974742</v>
      </c>
      <c r="AB305" s="55" t="n">
        <f aca="false">AB303*AB304</f>
        <v>38.4136746615272</v>
      </c>
      <c r="AC305" s="55" t="n">
        <f aca="false">AC303*AC304</f>
        <v>40.68894616071</v>
      </c>
      <c r="AD305" s="55" t="n">
        <f aca="false">AD303*AD304</f>
        <v>38.4284491517816</v>
      </c>
      <c r="AE305" s="55" t="n">
        <f aca="false">AE303*AE304</f>
        <v>28.2218530570684</v>
      </c>
      <c r="AF305" s="55" t="n">
        <f aca="false">AF303*AF304</f>
        <v>31.9847667980109</v>
      </c>
      <c r="AG305" s="55" t="n">
        <f aca="false">AG303*AG304</f>
        <v>34.2556852406697</v>
      </c>
      <c r="AH305" s="55" t="n">
        <f aca="false">AH303*AH304</f>
        <v>31.613103807818</v>
      </c>
      <c r="AI305" s="55" t="n">
        <f aca="false">AI303*AI304</f>
        <v>33.9424904041835</v>
      </c>
      <c r="AJ305" s="55" t="n">
        <f aca="false">AJ303*AJ304</f>
        <v>32.8902732016538</v>
      </c>
      <c r="AK305" s="55" t="n">
        <f aca="false">AK303*AK304</f>
        <v>30.0167019640357</v>
      </c>
      <c r="AL305" s="55" t="n">
        <f aca="false">AL303*AL304</f>
        <v>30.6170360033164</v>
      </c>
      <c r="AM305" s="53" t="n">
        <f aca="false">SUMIF($C$6:$AL$6,1,C305:AL305)</f>
        <v>104.790785492974</v>
      </c>
      <c r="AN305" s="53" t="n">
        <f aca="false">SUMIF($C$6:$AL$6,2,C305:AL305)</f>
        <v>282.344161437569</v>
      </c>
      <c r="AO305" s="53" t="n">
        <f aca="false">SUMIF($C$6:$AL$6,3,C305:AL305)</f>
        <v>398.594089748249</v>
      </c>
      <c r="AP305" s="53" t="n">
        <f aca="false">SUM(C305:AL305)</f>
        <v>785.729036678792</v>
      </c>
    </row>
    <row r="306" customFormat="false" ht="15" hidden="false" customHeight="false" outlineLevel="0" collapsed="false">
      <c r="A306" s="7" t="s">
        <v>761</v>
      </c>
      <c r="B306" s="9" t="s">
        <v>342</v>
      </c>
      <c r="C306" s="56" t="n">
        <f aca="false">C305*Assumptions!$E$133</f>
        <v>-0</v>
      </c>
      <c r="D306" s="56" t="n">
        <f aca="false">D305*Assumptions!$E$133</f>
        <v>0</v>
      </c>
      <c r="E306" s="56" t="n">
        <f aca="false">E305*Assumptions!$E$133</f>
        <v>2.480625</v>
      </c>
      <c r="F306" s="56" t="n">
        <f aca="false">F305*Assumptions!$E$133</f>
        <v>4.869375</v>
      </c>
      <c r="G306" s="56" t="n">
        <f aca="false">G305*Assumptions!$E$133</f>
        <v>5.5744605</v>
      </c>
      <c r="H306" s="56" t="n">
        <f aca="false">H305*Assumptions!$E$133</f>
        <v>8.7539676</v>
      </c>
      <c r="I306" s="56" t="n">
        <f aca="false">I305*Assumptions!$E$133</f>
        <v>12.1789574235</v>
      </c>
      <c r="J306" s="56" t="n">
        <f aca="false">J305*Assumptions!$E$133</f>
        <v>14.016240143388</v>
      </c>
      <c r="K306" s="56" t="n">
        <f aca="false">K305*Assumptions!$E$133</f>
        <v>15.6391732126224</v>
      </c>
      <c r="L306" s="56" t="n">
        <f aca="false">L305*Assumptions!$E$133</f>
        <v>15.7486474251108</v>
      </c>
      <c r="M306" s="56" t="n">
        <f aca="false">M305*Assumptions!$E$133</f>
        <v>14.9363487684472</v>
      </c>
      <c r="N306" s="56" t="n">
        <f aca="false">N305*Assumptions!$E$133</f>
        <v>15.832529694554</v>
      </c>
      <c r="O306" s="56" t="n">
        <f aca="false">O305*Assumptions!$E$133</f>
        <v>18.4029874567286</v>
      </c>
      <c r="P306" s="56" t="n">
        <f aca="false">P305*Assumptions!$E$133</f>
        <v>26.1903568857864</v>
      </c>
      <c r="Q306" s="56" t="n">
        <f aca="false">Q305*Assumptions!$E$133</f>
        <v>28.2855854366494</v>
      </c>
      <c r="R306" s="56" t="n">
        <f aca="false">R305*Assumptions!$E$133</f>
        <v>27.2379711612179</v>
      </c>
      <c r="S306" s="56" t="n">
        <f aca="false">S305*Assumptions!$E$133</f>
        <v>20.39579280552</v>
      </c>
      <c r="T306" s="56" t="n">
        <f aca="false">T305*Assumptions!$E$133</f>
        <v>23.5684716863786</v>
      </c>
      <c r="U306" s="56" t="n">
        <f aca="false">U305*Assumptions!$E$133</f>
        <v>25.7367710815255</v>
      </c>
      <c r="V306" s="56" t="n">
        <f aca="false">V305*Assumptions!$E$133</f>
        <v>24.2170760271878</v>
      </c>
      <c r="W306" s="56" t="n">
        <f aca="false">W305*Assumptions!$E$133</f>
        <v>26.5113253350266</v>
      </c>
      <c r="X306" s="56" t="n">
        <f aca="false">X305*Assumptions!$E$133</f>
        <v>26.1931894310063</v>
      </c>
      <c r="Y306" s="56" t="n">
        <f aca="false">Y305*Assumptions!$E$133</f>
        <v>24.3734520600101</v>
      </c>
      <c r="Z306" s="56" t="n">
        <f aca="false">Z305*Assumptions!$E$133</f>
        <v>25.3483901424105</v>
      </c>
      <c r="AA306" s="56" t="n">
        <f aca="false">AA305*Assumptions!$E$133</f>
        <v>28.8971647623479</v>
      </c>
      <c r="AB306" s="56" t="n">
        <f aca="false">AB305*Assumptions!$E$133</f>
        <v>40.3343583946035</v>
      </c>
      <c r="AC306" s="56" t="n">
        <f aca="false">AC305*Assumptions!$E$133</f>
        <v>42.7233934687455</v>
      </c>
      <c r="AD306" s="56" t="n">
        <f aca="false">AD305*Assumptions!$E$133</f>
        <v>40.3498716093707</v>
      </c>
      <c r="AE306" s="56" t="n">
        <f aca="false">AE305*Assumptions!$E$133</f>
        <v>29.6329457099218</v>
      </c>
      <c r="AF306" s="56" t="n">
        <f aca="false">AF305*Assumptions!$E$133</f>
        <v>33.5840051379114</v>
      </c>
      <c r="AG306" s="56" t="n">
        <f aca="false">AG305*Assumptions!$E$133</f>
        <v>35.9684695027031</v>
      </c>
      <c r="AH306" s="56" t="n">
        <f aca="false">AH305*Assumptions!$E$133</f>
        <v>33.1937589982089</v>
      </c>
      <c r="AI306" s="56" t="n">
        <f aca="false">AI305*Assumptions!$E$133</f>
        <v>35.6396149243927</v>
      </c>
      <c r="AJ306" s="56" t="n">
        <f aca="false">AJ305*Assumptions!$E$133</f>
        <v>34.5347868617365</v>
      </c>
      <c r="AK306" s="56" t="n">
        <f aca="false">AK305*Assumptions!$E$133</f>
        <v>31.5175370622374</v>
      </c>
      <c r="AL306" s="56" t="n">
        <f aca="false">AL305*Assumptions!$E$133</f>
        <v>32.1478878034822</v>
      </c>
      <c r="AM306" s="53" t="n">
        <f aca="false">SUMIF($C$6:$AL$6,1,C306:AL306)</f>
        <v>110.030324767622</v>
      </c>
      <c r="AN306" s="53" t="n">
        <f aca="false">SUMIF($C$6:$AL$6,2,C306:AL306)</f>
        <v>296.461369509448</v>
      </c>
      <c r="AO306" s="53" t="n">
        <f aca="false">SUMIF($C$6:$AL$6,3,C306:AL306)</f>
        <v>418.523794235662</v>
      </c>
      <c r="AP306" s="53" t="n">
        <f aca="false">SUM(C306:AL306)</f>
        <v>825.015488512732</v>
      </c>
    </row>
    <row r="307" customFormat="false" ht="15" hidden="false" customHeight="false" outlineLevel="0" collapsed="false">
      <c r="A307" s="7" t="s">
        <v>762</v>
      </c>
      <c r="B307" s="9" t="s">
        <v>101</v>
      </c>
      <c r="C307" s="15" t="n">
        <f aca="false">'Unit Economics'!$E$53*Assumptions!$E$133*C301</f>
        <v>0</v>
      </c>
      <c r="D307" s="15" t="n">
        <f aca="false">'Unit Economics'!$E$53*Assumptions!$E$133*D301</f>
        <v>0</v>
      </c>
      <c r="E307" s="15" t="n">
        <f aca="false">'Unit Economics'!$E$53*Assumptions!$E$133*E301</f>
        <v>18.6795</v>
      </c>
      <c r="F307" s="15" t="n">
        <f aca="false">'Unit Economics'!$E$53*Assumptions!$E$133*F301</f>
        <v>18.6795</v>
      </c>
      <c r="G307" s="15" t="n">
        <f aca="false">'Unit Economics'!$E$53*Assumptions!$E$133*G301</f>
        <v>18.6795</v>
      </c>
      <c r="H307" s="15" t="n">
        <f aca="false">'Unit Economics'!$E$53*Assumptions!$E$133*H301</f>
        <v>18.6795</v>
      </c>
      <c r="I307" s="15" t="n">
        <f aca="false">'Unit Economics'!$E$53*Assumptions!$E$133*I301</f>
        <v>18.6795</v>
      </c>
      <c r="J307" s="15" t="n">
        <f aca="false">'Unit Economics'!$E$53*Assumptions!$E$133*J301</f>
        <v>18.6795</v>
      </c>
      <c r="K307" s="15" t="n">
        <f aca="false">'Unit Economics'!$E$53*Assumptions!$E$133*K301</f>
        <v>18.6795</v>
      </c>
      <c r="L307" s="15" t="n">
        <f aca="false">'Unit Economics'!$E$53*Assumptions!$E$133*L301</f>
        <v>18.6795</v>
      </c>
      <c r="M307" s="15" t="n">
        <f aca="false">'Unit Economics'!$E$53*Assumptions!$E$133*M301</f>
        <v>18.6795</v>
      </c>
      <c r="N307" s="15" t="n">
        <f aca="false">'Unit Economics'!$E$53*Assumptions!$E$133*N301</f>
        <v>18.6795</v>
      </c>
      <c r="O307" s="15" t="n">
        <f aca="false">'Unit Economics'!$E$53*Assumptions!$E$133*O301</f>
        <v>18.6795</v>
      </c>
      <c r="P307" s="15" t="n">
        <f aca="false">'Unit Economics'!$E$53*Assumptions!$E$133*P301</f>
        <v>18.6795</v>
      </c>
      <c r="Q307" s="15" t="n">
        <f aca="false">'Unit Economics'!$E$53*Assumptions!$E$133*Q301</f>
        <v>18.6795</v>
      </c>
      <c r="R307" s="15" t="n">
        <f aca="false">'Unit Economics'!$E$53*Assumptions!$E$133*R301</f>
        <v>18.6795</v>
      </c>
      <c r="S307" s="15" t="n">
        <f aca="false">'Unit Economics'!$E$53*Assumptions!$E$133*S301</f>
        <v>18.6795</v>
      </c>
      <c r="T307" s="15" t="n">
        <f aca="false">'Unit Economics'!$E$53*Assumptions!$E$133*T301</f>
        <v>18.6795</v>
      </c>
      <c r="U307" s="15" t="n">
        <f aca="false">'Unit Economics'!$E$53*Assumptions!$E$133*U301</f>
        <v>18.6795</v>
      </c>
      <c r="V307" s="15" t="n">
        <f aca="false">'Unit Economics'!$E$53*Assumptions!$E$133*V301</f>
        <v>18.6795</v>
      </c>
      <c r="W307" s="15" t="n">
        <f aca="false">'Unit Economics'!$E$53*Assumptions!$E$133*W301</f>
        <v>18.6795</v>
      </c>
      <c r="X307" s="15" t="n">
        <f aca="false">'Unit Economics'!$E$53*Assumptions!$E$133*X301</f>
        <v>18.6795</v>
      </c>
      <c r="Y307" s="15" t="n">
        <f aca="false">'Unit Economics'!$E$53*Assumptions!$E$133*Y301</f>
        <v>18.6795</v>
      </c>
      <c r="Z307" s="15" t="n">
        <f aca="false">'Unit Economics'!$E$53*Assumptions!$E$133*Z301</f>
        <v>18.6795</v>
      </c>
      <c r="AA307" s="15" t="n">
        <f aca="false">'Unit Economics'!$E$53*Assumptions!$E$133*AA301</f>
        <v>18.6795</v>
      </c>
      <c r="AB307" s="15" t="n">
        <f aca="false">'Unit Economics'!$E$53*Assumptions!$E$133*AB301</f>
        <v>18.6795</v>
      </c>
      <c r="AC307" s="15" t="n">
        <f aca="false">'Unit Economics'!$E$53*Assumptions!$E$133*AC301</f>
        <v>18.6795</v>
      </c>
      <c r="AD307" s="15" t="n">
        <f aca="false">'Unit Economics'!$E$53*Assumptions!$E$133*AD301</f>
        <v>18.6795</v>
      </c>
      <c r="AE307" s="15" t="n">
        <f aca="false">'Unit Economics'!$E$53*Assumptions!$E$133*AE301</f>
        <v>18.6795</v>
      </c>
      <c r="AF307" s="15" t="n">
        <f aca="false">'Unit Economics'!$E$53*Assumptions!$E$133*AF301</f>
        <v>18.6795</v>
      </c>
      <c r="AG307" s="15" t="n">
        <f aca="false">'Unit Economics'!$E$53*Assumptions!$E$133*AG301</f>
        <v>18.6795</v>
      </c>
      <c r="AH307" s="15" t="n">
        <f aca="false">'Unit Economics'!$E$53*Assumptions!$E$133*AH301</f>
        <v>18.6795</v>
      </c>
      <c r="AI307" s="15" t="n">
        <f aca="false">'Unit Economics'!$E$53*Assumptions!$E$133*AI301</f>
        <v>18.6795</v>
      </c>
      <c r="AJ307" s="15" t="n">
        <f aca="false">'Unit Economics'!$E$53*Assumptions!$E$133*AJ301</f>
        <v>18.6795</v>
      </c>
      <c r="AK307" s="15" t="n">
        <f aca="false">'Unit Economics'!$E$53*Assumptions!$E$133*AK301</f>
        <v>18.6795</v>
      </c>
      <c r="AL307" s="15" t="n">
        <f aca="false">'Unit Economics'!$E$53*Assumptions!$E$133*AL301</f>
        <v>18.6795</v>
      </c>
    </row>
    <row r="308" customFormat="false" ht="15" hidden="false" customHeight="false" outlineLevel="0" collapsed="false">
      <c r="A308" s="7" t="s">
        <v>763</v>
      </c>
      <c r="B308" s="9" t="s">
        <v>101</v>
      </c>
      <c r="C308" s="8" t="n">
        <f aca="false">C306*'Unit Economics'!$E$53</f>
        <v>-0</v>
      </c>
      <c r="D308" s="8" t="n">
        <f aca="false">D306*'Unit Economics'!$E$53</f>
        <v>0</v>
      </c>
      <c r="E308" s="8" t="n">
        <f aca="false">E306*'Unit Economics'!$E$53</f>
        <v>44.13031875</v>
      </c>
      <c r="F308" s="8" t="n">
        <f aca="false">F306*'Unit Economics'!$E$53</f>
        <v>86.62618125</v>
      </c>
      <c r="G308" s="8" t="n">
        <f aca="false">G306*'Unit Economics'!$E$53</f>
        <v>99.169652295</v>
      </c>
      <c r="H308" s="8" t="n">
        <f aca="false">H306*'Unit Economics'!$E$53</f>
        <v>155.733083604</v>
      </c>
      <c r="I308" s="8" t="n">
        <f aca="false">I306*'Unit Economics'!$E$53</f>
        <v>216.663652564065</v>
      </c>
      <c r="J308" s="8" t="n">
        <f aca="false">J306*'Unit Economics'!$E$53</f>
        <v>249.348912150873</v>
      </c>
      <c r="K308" s="8" t="n">
        <f aca="false">K306*'Unit Economics'!$E$53</f>
        <v>278.220891452553</v>
      </c>
      <c r="L308" s="8" t="n">
        <f aca="false">L306*'Unit Economics'!$E$53</f>
        <v>280.16843769272</v>
      </c>
      <c r="M308" s="8" t="n">
        <f aca="false">M306*'Unit Economics'!$E$53</f>
        <v>265.717644590675</v>
      </c>
      <c r="N308" s="8" t="n">
        <f aca="false">N306*'Unit Economics'!$E$53</f>
        <v>281.660703266115</v>
      </c>
      <c r="O308" s="8" t="n">
        <f aca="false">O306*'Unit Economics'!$E$53</f>
        <v>327.389146855202</v>
      </c>
      <c r="P308" s="8" t="n">
        <f aca="false">P306*'Unit Economics'!$E$53</f>
        <v>465.926448998141</v>
      </c>
      <c r="Q308" s="8" t="n">
        <f aca="false">Q306*'Unit Economics'!$E$53</f>
        <v>503.200564917992</v>
      </c>
      <c r="R308" s="8" t="n">
        <f aca="false">R306*'Unit Economics'!$E$53</f>
        <v>484.563506958066</v>
      </c>
      <c r="S308" s="8" t="n">
        <f aca="false">S306*'Unit Economics'!$E$53</f>
        <v>362.8411540102</v>
      </c>
      <c r="T308" s="8" t="n">
        <f aca="false">T306*'Unit Economics'!$E$53</f>
        <v>419.283111300676</v>
      </c>
      <c r="U308" s="8" t="n">
        <f aca="false">U306*'Unit Economics'!$E$53</f>
        <v>457.857157540338</v>
      </c>
      <c r="V308" s="8" t="n">
        <f aca="false">V306*'Unit Economics'!$E$53</f>
        <v>430.82178252367</v>
      </c>
      <c r="W308" s="8" t="n">
        <f aca="false">W306*'Unit Economics'!$E$53</f>
        <v>471.636477710123</v>
      </c>
      <c r="X308" s="8" t="n">
        <f aca="false">X306*'Unit Economics'!$E$53</f>
        <v>465.976839977602</v>
      </c>
      <c r="Y308" s="8" t="n">
        <f aca="false">Y306*'Unit Economics'!$E$53</f>
        <v>433.603712147579</v>
      </c>
      <c r="Z308" s="8" t="n">
        <f aca="false">Z306*'Unit Economics'!$E$53</f>
        <v>450.947860633482</v>
      </c>
      <c r="AA308" s="8" t="n">
        <f aca="false">AA306*'Unit Economics'!$E$53</f>
        <v>514.08056112217</v>
      </c>
      <c r="AB308" s="8" t="n">
        <f aca="false">AB306*'Unit Economics'!$E$53</f>
        <v>717.548235839997</v>
      </c>
      <c r="AC308" s="8" t="n">
        <f aca="false">AC306*'Unit Economics'!$E$53</f>
        <v>760.049169808982</v>
      </c>
      <c r="AD308" s="8" t="n">
        <f aca="false">AD306*'Unit Economics'!$E$53</f>
        <v>717.824215930705</v>
      </c>
      <c r="AE308" s="8" t="n">
        <f aca="false">AE306*'Unit Economics'!$E$53</f>
        <v>527.17010417951</v>
      </c>
      <c r="AF308" s="8" t="n">
        <f aca="false">AF306*'Unit Economics'!$E$53</f>
        <v>597.459451403444</v>
      </c>
      <c r="AG308" s="8" t="n">
        <f aca="false">AG306*'Unit Economics'!$E$53</f>
        <v>639.879072453089</v>
      </c>
      <c r="AH308" s="8" t="n">
        <f aca="false">AH306*'Unit Economics'!$E$53</f>
        <v>590.516972578136</v>
      </c>
      <c r="AI308" s="8" t="n">
        <f aca="false">AI306*'Unit Economics'!$E$53</f>
        <v>634.028749504946</v>
      </c>
      <c r="AJ308" s="8" t="n">
        <f aca="false">AJ306*'Unit Economics'!$E$53</f>
        <v>614.373858270293</v>
      </c>
      <c r="AK308" s="8" t="n">
        <f aca="false">AK306*'Unit Economics'!$E$53</f>
        <v>560.696984337204</v>
      </c>
      <c r="AL308" s="8" t="n">
        <f aca="false">AL306*'Unit Economics'!$E$53</f>
        <v>571.910924023948</v>
      </c>
      <c r="AM308" s="45" t="n">
        <f aca="false">SUMIF($C$6:$AL$6,1,C308:AL308)</f>
        <v>1957.439477616</v>
      </c>
      <c r="AN308" s="45" t="n">
        <f aca="false">SUMIF($C$6:$AL$6,2,C308:AL308)</f>
        <v>5274.04776357307</v>
      </c>
      <c r="AO308" s="45" t="n">
        <f aca="false">SUMIF($C$6:$AL$6,3,C308:AL308)</f>
        <v>7445.53829945242</v>
      </c>
      <c r="AP308" s="45" t="n">
        <f aca="false">SUM(C308:AL308)</f>
        <v>14677.0255406415</v>
      </c>
    </row>
    <row r="309" customFormat="false" ht="15" hidden="false" customHeight="false" outlineLevel="0" collapsed="false">
      <c r="A309" s="7" t="s">
        <v>764</v>
      </c>
      <c r="B309" s="9" t="s">
        <v>101</v>
      </c>
      <c r="C309" s="8" t="n">
        <f aca="false">C306*'Unit Economics'!$F$53</f>
        <v>-0</v>
      </c>
      <c r="D309" s="8" t="n">
        <f aca="false">D306*'Unit Economics'!$F$53</f>
        <v>0</v>
      </c>
      <c r="E309" s="8" t="n">
        <f aca="false">E306*'Unit Economics'!$F$53</f>
        <v>4.6156989375</v>
      </c>
      <c r="F309" s="8" t="n">
        <f aca="false">F306*'Unit Economics'!$F$53</f>
        <v>9.06044606249999</v>
      </c>
      <c r="G309" s="8" t="n">
        <f aca="false">G306*'Unit Economics'!$F$53</f>
        <v>10.37239865235</v>
      </c>
      <c r="H309" s="8" t="n">
        <f aca="false">H306*'Unit Economics'!$F$53</f>
        <v>16.28850751332</v>
      </c>
      <c r="I309" s="8" t="n">
        <f aca="false">I306*'Unit Economics'!$F$53</f>
        <v>22.6613860779064</v>
      </c>
      <c r="J309" s="8" t="n">
        <f aca="false">J306*'Unit Economics'!$F$53</f>
        <v>26.080018034802</v>
      </c>
      <c r="K309" s="8" t="n">
        <f aca="false">K306*'Unit Economics'!$F$53</f>
        <v>29.0998095967265</v>
      </c>
      <c r="L309" s="8" t="n">
        <f aca="false">L306*'Unit Economics'!$F$53</f>
        <v>29.3035082639036</v>
      </c>
      <c r="M309" s="8" t="n">
        <f aca="false">M306*'Unit Economics'!$F$53</f>
        <v>27.7920641534496</v>
      </c>
      <c r="N309" s="8" t="n">
        <f aca="false">N306*'Unit Economics'!$F$53</f>
        <v>29.4595880026566</v>
      </c>
      <c r="O309" s="8" t="n">
        <f aca="false">O306*'Unit Economics'!$F$53</f>
        <v>34.2424387607349</v>
      </c>
      <c r="P309" s="8" t="n">
        <f aca="false">P306*'Unit Economics'!$F$53</f>
        <v>48.7323970573828</v>
      </c>
      <c r="Q309" s="8" t="n">
        <f aca="false">Q306*'Unit Economics'!$F$53</f>
        <v>52.6309888219734</v>
      </c>
      <c r="R309" s="8" t="n">
        <f aca="false">R306*'Unit Economics'!$F$53</f>
        <v>50.6816929396781</v>
      </c>
      <c r="S309" s="8" t="n">
        <f aca="false">S306*'Unit Economics'!$F$53</f>
        <v>37.950451673231</v>
      </c>
      <c r="T309" s="8" t="n">
        <f aca="false">T306*'Unit Economics'!$F$53</f>
        <v>43.8538552668447</v>
      </c>
      <c r="U309" s="8" t="n">
        <f aca="false">U306*'Unit Economics'!$F$53</f>
        <v>47.8884099513944</v>
      </c>
      <c r="V309" s="8" t="n">
        <f aca="false">V306*'Unit Economics'!$F$53</f>
        <v>45.0607133637882</v>
      </c>
      <c r="W309" s="8" t="n">
        <f aca="false">W306*'Unit Economics'!$F$53</f>
        <v>49.329623050884</v>
      </c>
      <c r="X309" s="8" t="n">
        <f aca="false">X306*'Unit Economics'!$F$53</f>
        <v>48.7376675742734</v>
      </c>
      <c r="Y309" s="8" t="n">
        <f aca="false">Y306*'Unit Economics'!$F$53</f>
        <v>45.3516822480607</v>
      </c>
      <c r="Z309" s="8" t="n">
        <f aca="false">Z306*'Unit Economics'!$F$53</f>
        <v>47.1657495379831</v>
      </c>
      <c r="AA309" s="8" t="n">
        <f aca="false">AA306*'Unit Economics'!$F$53</f>
        <v>53.7689544733008</v>
      </c>
      <c r="AB309" s="8" t="n">
        <f aca="false">AB306*'Unit Economics'!$F$53</f>
        <v>75.0501406648387</v>
      </c>
      <c r="AC309" s="8" t="n">
        <f aca="false">AC306*'Unit Economics'!$F$53</f>
        <v>79.4954182272946</v>
      </c>
      <c r="AD309" s="8" t="n">
        <f aca="false">AD306*'Unit Economics'!$F$53</f>
        <v>75.079006103556</v>
      </c>
      <c r="AE309" s="8" t="n">
        <f aca="false">AE306*'Unit Economics'!$F$53</f>
        <v>55.1380220824515</v>
      </c>
      <c r="AF309" s="8" t="n">
        <f aca="false">AF306*'Unit Economics'!$F$53</f>
        <v>62.4897583601117</v>
      </c>
      <c r="AG309" s="8" t="n">
        <f aca="false">AG306*'Unit Economics'!$F$53</f>
        <v>66.9265312036797</v>
      </c>
      <c r="AH309" s="8" t="n">
        <f aca="false">AH306*'Unit Economics'!$F$53</f>
        <v>61.7636273679672</v>
      </c>
      <c r="AI309" s="8" t="n">
        <f aca="false">AI306*'Unit Economics'!$F$53</f>
        <v>66.3146314898175</v>
      </c>
      <c r="AJ309" s="8" t="n">
        <f aca="false">AJ306*'Unit Economics'!$F$53</f>
        <v>64.2588779136331</v>
      </c>
      <c r="AK309" s="8" t="n">
        <f aca="false">AK306*'Unit Economics'!$F$53</f>
        <v>58.6446812117052</v>
      </c>
      <c r="AL309" s="8" t="n">
        <f aca="false">AL306*'Unit Economics'!$F$53</f>
        <v>59.8175748359393</v>
      </c>
      <c r="AM309" s="45" t="n">
        <f aca="false">SUMIF($C$6:$AL$6,1,C309:AL309)</f>
        <v>204.733425295115</v>
      </c>
      <c r="AN309" s="45" t="n">
        <f aca="false">SUMIF($C$6:$AL$6,2,C309:AL309)</f>
        <v>551.625670246229</v>
      </c>
      <c r="AO309" s="45" t="n">
        <f aca="false">SUMIF($C$6:$AL$6,3,C309:AL309)</f>
        <v>778.747223934295</v>
      </c>
      <c r="AP309" s="45" t="n">
        <f aca="false">SUM(C309:AL309)</f>
        <v>1535.10631947564</v>
      </c>
    </row>
    <row r="310" customFormat="false" ht="15" hidden="false" customHeight="false" outlineLevel="0" collapsed="false">
      <c r="A310" s="5" t="s">
        <v>575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</row>
    <row r="311" customFormat="false" ht="15" hidden="false" customHeight="false" outlineLevel="0" collapsed="false">
      <c r="A311" s="7" t="s">
        <v>755</v>
      </c>
      <c r="B311" s="9" t="s">
        <v>319</v>
      </c>
      <c r="C311" s="38" t="n">
        <f aca="false">IF(AND(Assumptions!$E$135=1,C$4&gt;=Assumptions!$E$136),1,0)</f>
        <v>0</v>
      </c>
      <c r="D311" s="38" t="n">
        <f aca="false">IF(AND(Assumptions!$E$135=1,D$4&gt;=Assumptions!$E$136),1,0)</f>
        <v>0</v>
      </c>
      <c r="E311" s="38" t="n">
        <f aca="false">IF(AND(Assumptions!$E$135=1,E$4&gt;=Assumptions!$E$136),1,0)</f>
        <v>0</v>
      </c>
      <c r="F311" s="38" t="n">
        <f aca="false">IF(AND(Assumptions!$E$135=1,F$4&gt;=Assumptions!$E$136),1,0)</f>
        <v>1</v>
      </c>
      <c r="G311" s="38" t="n">
        <f aca="false">IF(AND(Assumptions!$E$135=1,G$4&gt;=Assumptions!$E$136),1,0)</f>
        <v>1</v>
      </c>
      <c r="H311" s="38" t="n">
        <f aca="false">IF(AND(Assumptions!$E$135=1,H$4&gt;=Assumptions!$E$136),1,0)</f>
        <v>1</v>
      </c>
      <c r="I311" s="38" t="n">
        <f aca="false">IF(AND(Assumptions!$E$135=1,I$4&gt;=Assumptions!$E$136),1,0)</f>
        <v>1</v>
      </c>
      <c r="J311" s="38" t="n">
        <f aca="false">IF(AND(Assumptions!$E$135=1,J$4&gt;=Assumptions!$E$136),1,0)</f>
        <v>1</v>
      </c>
      <c r="K311" s="38" t="n">
        <f aca="false">IF(AND(Assumptions!$E$135=1,K$4&gt;=Assumptions!$E$136),1,0)</f>
        <v>1</v>
      </c>
      <c r="L311" s="38" t="n">
        <f aca="false">IF(AND(Assumptions!$E$135=1,L$4&gt;=Assumptions!$E$136),1,0)</f>
        <v>1</v>
      </c>
      <c r="M311" s="38" t="n">
        <f aca="false">IF(AND(Assumptions!$E$135=1,M$4&gt;=Assumptions!$E$136),1,0)</f>
        <v>1</v>
      </c>
      <c r="N311" s="38" t="n">
        <f aca="false">IF(AND(Assumptions!$E$135=1,N$4&gt;=Assumptions!$E$136),1,0)</f>
        <v>1</v>
      </c>
      <c r="O311" s="38" t="n">
        <f aca="false">IF(AND(Assumptions!$E$135=1,O$4&gt;=Assumptions!$E$136),1,0)</f>
        <v>1</v>
      </c>
      <c r="P311" s="38" t="n">
        <f aca="false">IF(AND(Assumptions!$E$135=1,P$4&gt;=Assumptions!$E$136),1,0)</f>
        <v>1</v>
      </c>
      <c r="Q311" s="38" t="n">
        <f aca="false">IF(AND(Assumptions!$E$135=1,Q$4&gt;=Assumptions!$E$136),1,0)</f>
        <v>1</v>
      </c>
      <c r="R311" s="38" t="n">
        <f aca="false">IF(AND(Assumptions!$E$135=1,R$4&gt;=Assumptions!$E$136),1,0)</f>
        <v>1</v>
      </c>
      <c r="S311" s="38" t="n">
        <f aca="false">IF(AND(Assumptions!$E$135=1,S$4&gt;=Assumptions!$E$136),1,0)</f>
        <v>1</v>
      </c>
      <c r="T311" s="38" t="n">
        <f aca="false">IF(AND(Assumptions!$E$135=1,T$4&gt;=Assumptions!$E$136),1,0)</f>
        <v>1</v>
      </c>
      <c r="U311" s="38" t="n">
        <f aca="false">IF(AND(Assumptions!$E$135=1,U$4&gt;=Assumptions!$E$136),1,0)</f>
        <v>1</v>
      </c>
      <c r="V311" s="38" t="n">
        <f aca="false">IF(AND(Assumptions!$E$135=1,V$4&gt;=Assumptions!$E$136),1,0)</f>
        <v>1</v>
      </c>
      <c r="W311" s="38" t="n">
        <f aca="false">IF(AND(Assumptions!$E$135=1,W$4&gt;=Assumptions!$E$136),1,0)</f>
        <v>1</v>
      </c>
      <c r="X311" s="38" t="n">
        <f aca="false">IF(AND(Assumptions!$E$135=1,X$4&gt;=Assumptions!$E$136),1,0)</f>
        <v>1</v>
      </c>
      <c r="Y311" s="38" t="n">
        <f aca="false">IF(AND(Assumptions!$E$135=1,Y$4&gt;=Assumptions!$E$136),1,0)</f>
        <v>1</v>
      </c>
      <c r="Z311" s="38" t="n">
        <f aca="false">IF(AND(Assumptions!$E$135=1,Z$4&gt;=Assumptions!$E$136),1,0)</f>
        <v>1</v>
      </c>
      <c r="AA311" s="38" t="n">
        <f aca="false">IF(AND(Assumptions!$E$135=1,AA$4&gt;=Assumptions!$E$136),1,0)</f>
        <v>1</v>
      </c>
      <c r="AB311" s="38" t="n">
        <f aca="false">IF(AND(Assumptions!$E$135=1,AB$4&gt;=Assumptions!$E$136),1,0)</f>
        <v>1</v>
      </c>
      <c r="AC311" s="38" t="n">
        <f aca="false">IF(AND(Assumptions!$E$135=1,AC$4&gt;=Assumptions!$E$136),1,0)</f>
        <v>1</v>
      </c>
      <c r="AD311" s="38" t="n">
        <f aca="false">IF(AND(Assumptions!$E$135=1,AD$4&gt;=Assumptions!$E$136),1,0)</f>
        <v>1</v>
      </c>
      <c r="AE311" s="38" t="n">
        <f aca="false">IF(AND(Assumptions!$E$135=1,AE$4&gt;=Assumptions!$E$136),1,0)</f>
        <v>1</v>
      </c>
      <c r="AF311" s="38" t="n">
        <f aca="false">IF(AND(Assumptions!$E$135=1,AF$4&gt;=Assumptions!$E$136),1,0)</f>
        <v>1</v>
      </c>
      <c r="AG311" s="38" t="n">
        <f aca="false">IF(AND(Assumptions!$E$135=1,AG$4&gt;=Assumptions!$E$136),1,0)</f>
        <v>1</v>
      </c>
      <c r="AH311" s="38" t="n">
        <f aca="false">IF(AND(Assumptions!$E$135=1,AH$4&gt;=Assumptions!$E$136),1,0)</f>
        <v>1</v>
      </c>
      <c r="AI311" s="38" t="n">
        <f aca="false">IF(AND(Assumptions!$E$135=1,AI$4&gt;=Assumptions!$E$136),1,0)</f>
        <v>1</v>
      </c>
      <c r="AJ311" s="38" t="n">
        <f aca="false">IF(AND(Assumptions!$E$135=1,AJ$4&gt;=Assumptions!$E$136),1,0)</f>
        <v>1</v>
      </c>
      <c r="AK311" s="38" t="n">
        <f aca="false">IF(AND(Assumptions!$E$135=1,AK$4&gt;=Assumptions!$E$136),1,0)</f>
        <v>1</v>
      </c>
      <c r="AL311" s="38" t="n">
        <f aca="false">IF(AND(Assumptions!$E$135=1,AL$4&gt;=Assumptions!$E$136),1,0)</f>
        <v>1</v>
      </c>
    </row>
    <row r="312" customFormat="false" ht="15" hidden="false" customHeight="false" outlineLevel="0" collapsed="false">
      <c r="A312" s="7" t="s">
        <v>756</v>
      </c>
      <c r="B312" s="9" t="s">
        <v>327</v>
      </c>
      <c r="C312" s="14" t="n">
        <f aca="false">IF(C311=0,0,C272*Assumptions!$E$106)</f>
        <v>0</v>
      </c>
      <c r="D312" s="14" t="n">
        <f aca="false">IF(D311=0,0,D272*Assumptions!$E$106)</f>
        <v>0</v>
      </c>
      <c r="E312" s="14" t="n">
        <f aca="false">IF(E311=0,0,E272*Assumptions!$E$106)</f>
        <v>0</v>
      </c>
      <c r="F312" s="14" t="n">
        <f aca="false">IF(F311=0,0,F272*Assumptions!$E$106)</f>
        <v>351.232</v>
      </c>
      <c r="G312" s="14" t="n">
        <f aca="false">IF(G311=0,0,G272*Assumptions!$E$106)</f>
        <v>393.37984</v>
      </c>
      <c r="H312" s="14" t="n">
        <f aca="false">IF(H311=0,0,H272*Assumptions!$E$106)</f>
        <v>440.5854208</v>
      </c>
      <c r="I312" s="14" t="n">
        <f aca="false">IF(I311=0,0,I272*Assumptions!$E$106)</f>
        <v>493.455671296</v>
      </c>
      <c r="J312" s="14" t="n">
        <f aca="false">IF(J311=0,0,J272*Assumptions!$E$106)</f>
        <v>552.67035185152</v>
      </c>
      <c r="K312" s="14" t="n">
        <f aca="false">IF(K311=0,0,K272*Assumptions!$E$106)</f>
        <v>618.990794073703</v>
      </c>
      <c r="L312" s="14" t="n">
        <f aca="false">IF(L311=0,0,L272*Assumptions!$E$106)</f>
        <v>693.269689362547</v>
      </c>
      <c r="M312" s="14" t="n">
        <f aca="false">IF(M311=0,0,M272*Assumptions!$E$106)</f>
        <v>776.462052086053</v>
      </c>
      <c r="N312" s="14" t="n">
        <f aca="false">IF(N311=0,0,N272*Assumptions!$E$106)</f>
        <v>869.637498336379</v>
      </c>
      <c r="O312" s="14" t="n">
        <f aca="false">IF(O311=0,0,O272*Assumptions!$E$106)</f>
        <v>930.512123219926</v>
      </c>
      <c r="P312" s="14" t="n">
        <f aca="false">IF(P311=0,0,P272*Assumptions!$E$106)</f>
        <v>995.647971845321</v>
      </c>
      <c r="Q312" s="14" t="n">
        <f aca="false">IF(Q311=0,0,Q272*Assumptions!$E$106)</f>
        <v>1065.34332987449</v>
      </c>
      <c r="R312" s="14" t="n">
        <f aca="false">IF(R311=0,0,R272*Assumptions!$E$106)</f>
        <v>1139.91736296571</v>
      </c>
      <c r="S312" s="14" t="n">
        <f aca="false">IF(S311=0,0,S272*Assumptions!$E$106)</f>
        <v>1219.71157837331</v>
      </c>
      <c r="T312" s="14" t="n">
        <f aca="false">IF(T311=0,0,T272*Assumptions!$E$106)</f>
        <v>1305.09138885944</v>
      </c>
      <c r="U312" s="14" t="n">
        <f aca="false">IF(U311=0,0,U272*Assumptions!$E$106)</f>
        <v>1396.4477860796</v>
      </c>
      <c r="V312" s="14" t="n">
        <f aca="false">IF(V311=0,0,V272*Assumptions!$E$106)</f>
        <v>1494.19913110517</v>
      </c>
      <c r="W312" s="14" t="n">
        <f aca="false">IF(W311=0,0,W272*Assumptions!$E$106)</f>
        <v>1598.79307028253</v>
      </c>
      <c r="X312" s="14" t="n">
        <f aca="false">IF(X311=0,0,X272*Assumptions!$E$106)</f>
        <v>1710.70858520231</v>
      </c>
      <c r="Y312" s="14" t="n">
        <f aca="false">IF(Y311=0,0,Y272*Assumptions!$E$106)</f>
        <v>1830.45818616647</v>
      </c>
      <c r="Z312" s="14" t="n">
        <f aca="false">IF(Z311=0,0,Z272*Assumptions!$E$106)</f>
        <v>1958.59025919813</v>
      </c>
      <c r="AA312" s="14" t="n">
        <f aca="false">IF(AA311=0,0,AA272*Assumptions!$E$106)</f>
        <v>2036.93386956605</v>
      </c>
      <c r="AB312" s="14" t="n">
        <f aca="false">IF(AB311=0,0,AB272*Assumptions!$E$106)</f>
        <v>2118.41122434869</v>
      </c>
      <c r="AC312" s="14" t="n">
        <f aca="false">IF(AC311=0,0,AC272*Assumptions!$E$106)</f>
        <v>2203.14767332264</v>
      </c>
      <c r="AD312" s="14" t="n">
        <f aca="false">IF(AD311=0,0,AD272*Assumptions!$E$106)</f>
        <v>2291.27358025555</v>
      </c>
      <c r="AE312" s="14" t="n">
        <f aca="false">IF(AE311=0,0,AE272*Assumptions!$E$106)</f>
        <v>2382.92452346577</v>
      </c>
      <c r="AF312" s="14" t="n">
        <f aca="false">IF(AF311=0,0,AF272*Assumptions!$E$106)</f>
        <v>2478.2415044044</v>
      </c>
      <c r="AG312" s="14" t="n">
        <f aca="false">IF(AG311=0,0,AG272*Assumptions!$E$106)</f>
        <v>2577.37116458058</v>
      </c>
      <c r="AH312" s="14" t="n">
        <f aca="false">IF(AH311=0,0,AH272*Assumptions!$E$106)</f>
        <v>2680.4660111638</v>
      </c>
      <c r="AI312" s="14" t="n">
        <f aca="false">IF(AI311=0,0,AI272*Assumptions!$E$106)</f>
        <v>2787.68465161035</v>
      </c>
      <c r="AJ312" s="14" t="n">
        <f aca="false">IF(AJ311=0,0,AJ272*Assumptions!$E$106)</f>
        <v>2899.19203767477</v>
      </c>
      <c r="AK312" s="14" t="n">
        <f aca="false">IF(AK311=0,0,AK272*Assumptions!$E$106)</f>
        <v>3015.15971918176</v>
      </c>
      <c r="AL312" s="14" t="n">
        <f aca="false">IF(AL311=0,0,AL272*Assumptions!$E$106)</f>
        <v>3135.76610794903</v>
      </c>
    </row>
    <row r="313" customFormat="false" ht="15" hidden="false" customHeight="false" outlineLevel="0" collapsed="false">
      <c r="A313" s="7" t="s">
        <v>769</v>
      </c>
      <c r="B313" s="9" t="s">
        <v>327</v>
      </c>
      <c r="C313" s="52" t="n">
        <f aca="false">C312*C$7</f>
        <v>0</v>
      </c>
      <c r="D313" s="52" t="n">
        <f aca="false">D312*D$7</f>
        <v>0</v>
      </c>
      <c r="E313" s="52" t="n">
        <f aca="false">E312*E$7</f>
        <v>0</v>
      </c>
      <c r="F313" s="52" t="n">
        <f aca="false">F312*F$7</f>
        <v>439.04</v>
      </c>
      <c r="G313" s="52" t="n">
        <f aca="false">G312*G$7</f>
        <v>354.041856</v>
      </c>
      <c r="H313" s="52" t="n">
        <f aca="false">H312*H$7</f>
        <v>440.5854208</v>
      </c>
      <c r="I313" s="52" t="n">
        <f aca="false">I312*I$7</f>
        <v>518.1284548608</v>
      </c>
      <c r="J313" s="52" t="n">
        <f aca="false">J312*J$7</f>
        <v>525.036834258944</v>
      </c>
      <c r="K313" s="52" t="n">
        <f aca="false">K312*K$7</f>
        <v>618.990794073703</v>
      </c>
      <c r="L313" s="52" t="n">
        <f aca="false">L312*L$7</f>
        <v>658.60620489442</v>
      </c>
      <c r="M313" s="52" t="n">
        <f aca="false">M312*M$7</f>
        <v>659.992744273145</v>
      </c>
      <c r="N313" s="52" t="n">
        <f aca="false">N312*N$7</f>
        <v>739.191873585923</v>
      </c>
      <c r="O313" s="52" t="n">
        <f aca="false">O312*O$7</f>
        <v>883.98651705893</v>
      </c>
      <c r="P313" s="52" t="n">
        <f aca="false">P312*P$7</f>
        <v>1294.34236339892</v>
      </c>
      <c r="Q313" s="52" t="n">
        <f aca="false">Q312*Q$7</f>
        <v>1438.21349533057</v>
      </c>
      <c r="R313" s="52" t="n">
        <f aca="false">R312*R$7</f>
        <v>1424.89670370714</v>
      </c>
      <c r="S313" s="52" t="n">
        <f aca="false">S312*S$7</f>
        <v>1097.74042053598</v>
      </c>
      <c r="T313" s="52" t="n">
        <f aca="false">T312*T$7</f>
        <v>1305.09138885944</v>
      </c>
      <c r="U313" s="52" t="n">
        <f aca="false">U312*U$7</f>
        <v>1466.27017538358</v>
      </c>
      <c r="V313" s="52" t="n">
        <f aca="false">V312*V$7</f>
        <v>1419.48917454991</v>
      </c>
      <c r="W313" s="52" t="n">
        <f aca="false">W312*W$7</f>
        <v>1598.79307028253</v>
      </c>
      <c r="X313" s="52" t="n">
        <f aca="false">X312*X$7</f>
        <v>1625.1731559422</v>
      </c>
      <c r="Y313" s="52" t="n">
        <f aca="false">Y312*Y$7</f>
        <v>1555.8894582415</v>
      </c>
      <c r="Z313" s="52" t="n">
        <f aca="false">Z312*Z$7</f>
        <v>1664.80172031841</v>
      </c>
      <c r="AA313" s="52" t="n">
        <f aca="false">AA312*AA$7</f>
        <v>1935.08717608775</v>
      </c>
      <c r="AB313" s="52" t="n">
        <f aca="false">AB312*AB$7</f>
        <v>2753.9345916533</v>
      </c>
      <c r="AC313" s="52" t="n">
        <f aca="false">AC312*AC$7</f>
        <v>2974.24935898557</v>
      </c>
      <c r="AD313" s="52" t="n">
        <f aca="false">AD312*AD$7</f>
        <v>2864.09197531944</v>
      </c>
      <c r="AE313" s="52" t="n">
        <f aca="false">AE312*AE$7</f>
        <v>2144.63207111919</v>
      </c>
      <c r="AF313" s="52" t="n">
        <f aca="false">AF312*AF$7</f>
        <v>2478.2415044044</v>
      </c>
      <c r="AG313" s="52" t="n">
        <f aca="false">AG312*AG$7</f>
        <v>2706.23972280961</v>
      </c>
      <c r="AH313" s="52" t="n">
        <f aca="false">AH312*AH$7</f>
        <v>2546.44271060561</v>
      </c>
      <c r="AI313" s="52" t="n">
        <f aca="false">AI312*AI$7</f>
        <v>2787.68465161035</v>
      </c>
      <c r="AJ313" s="52" t="n">
        <f aca="false">AJ312*AJ$7</f>
        <v>2754.23243579103</v>
      </c>
      <c r="AK313" s="52" t="n">
        <f aca="false">AK312*AK$7</f>
        <v>2562.88576130449</v>
      </c>
      <c r="AL313" s="52" t="n">
        <f aca="false">AL312*AL$7</f>
        <v>2665.40119175667</v>
      </c>
      <c r="AM313" s="53" t="n">
        <f aca="false">SUMIF($C$6:$AL$6,1,C313:AL313)</f>
        <v>4953.61418274694</v>
      </c>
      <c r="AN313" s="53" t="n">
        <f aca="false">SUMIF($C$6:$AL$6,2,C313:AL313)</f>
        <v>16774.6876436091</v>
      </c>
      <c r="AO313" s="53" t="n">
        <f aca="false">SUMIF($C$6:$AL$6,3,C313:AL313)</f>
        <v>31173.1231514474</v>
      </c>
      <c r="AP313" s="53" t="n">
        <f aca="false">SUM(C313:AL313)</f>
        <v>52901.4249778035</v>
      </c>
    </row>
    <row r="314" customFormat="false" ht="15" hidden="false" customHeight="false" outlineLevel="0" collapsed="false">
      <c r="A314" s="7" t="s">
        <v>758</v>
      </c>
      <c r="B314" s="9" t="s">
        <v>96</v>
      </c>
      <c r="C314" s="54" t="n">
        <f aca="false">Assumptions!$E$137*MIN(1,(C$4-Assumptions!$E$136+1)/Assumptions!$C$10)*C311</f>
        <v>-0</v>
      </c>
      <c r="D314" s="54" t="n">
        <f aca="false">Assumptions!$E$137*MIN(1,(D$4-Assumptions!$E$136+1)/Assumptions!$C$10)*D311</f>
        <v>-0</v>
      </c>
      <c r="E314" s="54" t="n">
        <f aca="false">Assumptions!$E$137*MIN(1,(E$4-Assumptions!$E$136+1)/Assumptions!$C$10)*E311</f>
        <v>0</v>
      </c>
      <c r="F314" s="54" t="n">
        <f aca="false">Assumptions!$E$137*MIN(1,(F$4-Assumptions!$E$136+1)/Assumptions!$C$10)*F311</f>
        <v>0.00266666666666667</v>
      </c>
      <c r="G314" s="54" t="n">
        <f aca="false">Assumptions!$E$137*MIN(1,(G$4-Assumptions!$E$136+1)/Assumptions!$C$10)*G311</f>
        <v>0.00533333333333333</v>
      </c>
      <c r="H314" s="54" t="n">
        <f aca="false">Assumptions!$E$137*MIN(1,(H$4-Assumptions!$E$136+1)/Assumptions!$C$10)*H311</f>
        <v>0.008</v>
      </c>
      <c r="I314" s="54" t="n">
        <f aca="false">Assumptions!$E$137*MIN(1,(I$4-Assumptions!$E$136+1)/Assumptions!$C$10)*I311</f>
        <v>0.0106666666666667</v>
      </c>
      <c r="J314" s="54" t="n">
        <f aca="false">Assumptions!$E$137*MIN(1,(J$4-Assumptions!$E$136+1)/Assumptions!$C$10)*J311</f>
        <v>0.0133333333333333</v>
      </c>
      <c r="K314" s="54" t="n">
        <f aca="false">Assumptions!$E$137*MIN(1,(K$4-Assumptions!$E$136+1)/Assumptions!$C$10)*K311</f>
        <v>0.016</v>
      </c>
      <c r="L314" s="54" t="n">
        <f aca="false">Assumptions!$E$137*MIN(1,(L$4-Assumptions!$E$136+1)/Assumptions!$C$10)*L311</f>
        <v>0.016</v>
      </c>
      <c r="M314" s="54" t="n">
        <f aca="false">Assumptions!$E$137*MIN(1,(M$4-Assumptions!$E$136+1)/Assumptions!$C$10)*M311</f>
        <v>0.016</v>
      </c>
      <c r="N314" s="54" t="n">
        <f aca="false">Assumptions!$E$137*MIN(1,(N$4-Assumptions!$E$136+1)/Assumptions!$C$10)*N311</f>
        <v>0.016</v>
      </c>
      <c r="O314" s="54" t="n">
        <f aca="false">Assumptions!$E$137*MIN(1,(O$4-Assumptions!$E$136+1)/Assumptions!$C$10)*O311</f>
        <v>0.016</v>
      </c>
      <c r="P314" s="54" t="n">
        <f aca="false">Assumptions!$E$137*MIN(1,(P$4-Assumptions!$E$136+1)/Assumptions!$C$10)*P311</f>
        <v>0.016</v>
      </c>
      <c r="Q314" s="54" t="n">
        <f aca="false">Assumptions!$E$137*MIN(1,(Q$4-Assumptions!$E$136+1)/Assumptions!$C$10)*Q311</f>
        <v>0.016</v>
      </c>
      <c r="R314" s="54" t="n">
        <f aca="false">Assumptions!$E$137*MIN(1,(R$4-Assumptions!$E$136+1)/Assumptions!$C$10)*R311</f>
        <v>0.016</v>
      </c>
      <c r="S314" s="54" t="n">
        <f aca="false">Assumptions!$E$137*MIN(1,(S$4-Assumptions!$E$136+1)/Assumptions!$C$10)*S311</f>
        <v>0.016</v>
      </c>
      <c r="T314" s="54" t="n">
        <f aca="false">Assumptions!$E$137*MIN(1,(T$4-Assumptions!$E$136+1)/Assumptions!$C$10)*T311</f>
        <v>0.016</v>
      </c>
      <c r="U314" s="54" t="n">
        <f aca="false">Assumptions!$E$137*MIN(1,(U$4-Assumptions!$E$136+1)/Assumptions!$C$10)*U311</f>
        <v>0.016</v>
      </c>
      <c r="V314" s="54" t="n">
        <f aca="false">Assumptions!$E$137*MIN(1,(V$4-Assumptions!$E$136+1)/Assumptions!$C$10)*V311</f>
        <v>0.016</v>
      </c>
      <c r="W314" s="54" t="n">
        <f aca="false">Assumptions!$E$137*MIN(1,(W$4-Assumptions!$E$136+1)/Assumptions!$C$10)*W311</f>
        <v>0.016</v>
      </c>
      <c r="X314" s="54" t="n">
        <f aca="false">Assumptions!$E$137*MIN(1,(X$4-Assumptions!$E$136+1)/Assumptions!$C$10)*X311</f>
        <v>0.016</v>
      </c>
      <c r="Y314" s="54" t="n">
        <f aca="false">Assumptions!$E$137*MIN(1,(Y$4-Assumptions!$E$136+1)/Assumptions!$C$10)*Y311</f>
        <v>0.016</v>
      </c>
      <c r="Z314" s="54" t="n">
        <f aca="false">Assumptions!$E$137*MIN(1,(Z$4-Assumptions!$E$136+1)/Assumptions!$C$10)*Z311</f>
        <v>0.016</v>
      </c>
      <c r="AA314" s="54" t="n">
        <f aca="false">Assumptions!$E$137*MIN(1,(AA$4-Assumptions!$E$136+1)/Assumptions!$C$10)*AA311</f>
        <v>0.016</v>
      </c>
      <c r="AB314" s="54" t="n">
        <f aca="false">Assumptions!$E$137*MIN(1,(AB$4-Assumptions!$E$136+1)/Assumptions!$C$10)*AB311</f>
        <v>0.016</v>
      </c>
      <c r="AC314" s="54" t="n">
        <f aca="false">Assumptions!$E$137*MIN(1,(AC$4-Assumptions!$E$136+1)/Assumptions!$C$10)*AC311</f>
        <v>0.016</v>
      </c>
      <c r="AD314" s="54" t="n">
        <f aca="false">Assumptions!$E$137*MIN(1,(AD$4-Assumptions!$E$136+1)/Assumptions!$C$10)*AD311</f>
        <v>0.016</v>
      </c>
      <c r="AE314" s="54" t="n">
        <f aca="false">Assumptions!$E$137*MIN(1,(AE$4-Assumptions!$E$136+1)/Assumptions!$C$10)*AE311</f>
        <v>0.016</v>
      </c>
      <c r="AF314" s="54" t="n">
        <f aca="false">Assumptions!$E$137*MIN(1,(AF$4-Assumptions!$E$136+1)/Assumptions!$C$10)*AF311</f>
        <v>0.016</v>
      </c>
      <c r="AG314" s="54" t="n">
        <f aca="false">Assumptions!$E$137*MIN(1,(AG$4-Assumptions!$E$136+1)/Assumptions!$C$10)*AG311</f>
        <v>0.016</v>
      </c>
      <c r="AH314" s="54" t="n">
        <f aca="false">Assumptions!$E$137*MIN(1,(AH$4-Assumptions!$E$136+1)/Assumptions!$C$10)*AH311</f>
        <v>0.016</v>
      </c>
      <c r="AI314" s="54" t="n">
        <f aca="false">Assumptions!$E$137*MIN(1,(AI$4-Assumptions!$E$136+1)/Assumptions!$C$10)*AI311</f>
        <v>0.016</v>
      </c>
      <c r="AJ314" s="54" t="n">
        <f aca="false">Assumptions!$E$137*MIN(1,(AJ$4-Assumptions!$E$136+1)/Assumptions!$C$10)*AJ311</f>
        <v>0.016</v>
      </c>
      <c r="AK314" s="54" t="n">
        <f aca="false">Assumptions!$E$137*MIN(1,(AK$4-Assumptions!$E$136+1)/Assumptions!$C$10)*AK311</f>
        <v>0.016</v>
      </c>
      <c r="AL314" s="54" t="n">
        <f aca="false">Assumptions!$E$137*MIN(1,(AL$4-Assumptions!$E$136+1)/Assumptions!$C$10)*AL311</f>
        <v>0.016</v>
      </c>
    </row>
    <row r="315" customFormat="false" ht="15" hidden="false" customHeight="false" outlineLevel="0" collapsed="false">
      <c r="A315" s="7" t="s">
        <v>766</v>
      </c>
      <c r="B315" s="9" t="s">
        <v>760</v>
      </c>
      <c r="C315" s="55" t="n">
        <f aca="false">C313*C314</f>
        <v>-0</v>
      </c>
      <c r="D315" s="55" t="n">
        <f aca="false">D313*D314</f>
        <v>-0</v>
      </c>
      <c r="E315" s="55" t="n">
        <f aca="false">E313*E314</f>
        <v>0</v>
      </c>
      <c r="F315" s="55" t="n">
        <f aca="false">F313*F314</f>
        <v>1.17077333333333</v>
      </c>
      <c r="G315" s="55" t="n">
        <f aca="false">G313*G314</f>
        <v>1.888223232</v>
      </c>
      <c r="H315" s="55" t="n">
        <f aca="false">H313*H314</f>
        <v>3.5246833664</v>
      </c>
      <c r="I315" s="55" t="n">
        <f aca="false">I313*I314</f>
        <v>5.5267035185152</v>
      </c>
      <c r="J315" s="55" t="n">
        <f aca="false">J313*J314</f>
        <v>7.00049112345259</v>
      </c>
      <c r="K315" s="55" t="n">
        <f aca="false">K313*K314</f>
        <v>9.90385270517925</v>
      </c>
      <c r="L315" s="55" t="n">
        <f aca="false">L313*L314</f>
        <v>10.5376992783107</v>
      </c>
      <c r="M315" s="55" t="n">
        <f aca="false">M313*M314</f>
        <v>10.5598839083703</v>
      </c>
      <c r="N315" s="55" t="n">
        <f aca="false">N313*N314</f>
        <v>11.8270699773748</v>
      </c>
      <c r="O315" s="55" t="n">
        <f aca="false">O313*O314</f>
        <v>14.1437842729429</v>
      </c>
      <c r="P315" s="55" t="n">
        <f aca="false">P313*P314</f>
        <v>20.7094778143827</v>
      </c>
      <c r="Q315" s="55" t="n">
        <f aca="false">Q313*Q314</f>
        <v>23.0114159252891</v>
      </c>
      <c r="R315" s="55" t="n">
        <f aca="false">R313*R314</f>
        <v>22.7983472593142</v>
      </c>
      <c r="S315" s="55" t="n">
        <f aca="false">S313*S314</f>
        <v>17.5638467285756</v>
      </c>
      <c r="T315" s="55" t="n">
        <f aca="false">T313*T314</f>
        <v>20.881462221751</v>
      </c>
      <c r="U315" s="55" t="n">
        <f aca="false">U313*U314</f>
        <v>23.4603228061373</v>
      </c>
      <c r="V315" s="55" t="n">
        <f aca="false">V313*V314</f>
        <v>22.7118267927986</v>
      </c>
      <c r="W315" s="55" t="n">
        <f aca="false">W313*W314</f>
        <v>25.5806891245206</v>
      </c>
      <c r="X315" s="55" t="n">
        <f aca="false">X313*X314</f>
        <v>26.0027704950751</v>
      </c>
      <c r="Y315" s="55" t="n">
        <f aca="false">Y313*Y314</f>
        <v>24.8942313318641</v>
      </c>
      <c r="Z315" s="55" t="n">
        <f aca="false">Z313*Z314</f>
        <v>26.6368275250945</v>
      </c>
      <c r="AA315" s="55" t="n">
        <f aca="false">AA313*AA314</f>
        <v>30.961394817404</v>
      </c>
      <c r="AB315" s="55" t="n">
        <f aca="false">AB313*AB314</f>
        <v>44.0629534664529</v>
      </c>
      <c r="AC315" s="55" t="n">
        <f aca="false">AC313*AC314</f>
        <v>47.5879897437691</v>
      </c>
      <c r="AD315" s="55" t="n">
        <f aca="false">AD313*AD314</f>
        <v>45.825471605111</v>
      </c>
      <c r="AE315" s="55" t="n">
        <f aca="false">AE313*AE314</f>
        <v>34.3141131379071</v>
      </c>
      <c r="AF315" s="55" t="n">
        <f aca="false">AF313*AF314</f>
        <v>39.6518640704704</v>
      </c>
      <c r="AG315" s="55" t="n">
        <f aca="false">AG313*AG314</f>
        <v>43.2998355649537</v>
      </c>
      <c r="AH315" s="55" t="n">
        <f aca="false">AH313*AH314</f>
        <v>40.7430833696898</v>
      </c>
      <c r="AI315" s="55" t="n">
        <f aca="false">AI313*AI314</f>
        <v>44.6029544257656</v>
      </c>
      <c r="AJ315" s="55" t="n">
        <f aca="false">AJ313*AJ314</f>
        <v>44.0677189726565</v>
      </c>
      <c r="AK315" s="55" t="n">
        <f aca="false">AK313*AK314</f>
        <v>41.0061721808719</v>
      </c>
      <c r="AL315" s="55" t="n">
        <f aca="false">AL313*AL314</f>
        <v>42.6464190681068</v>
      </c>
      <c r="AM315" s="53" t="n">
        <f aca="false">SUMIF($C$6:$AL$6,1,C315:AL315)</f>
        <v>61.9393804429362</v>
      </c>
      <c r="AN315" s="53" t="n">
        <f aca="false">SUMIF($C$6:$AL$6,2,C315:AL315)</f>
        <v>268.395002297746</v>
      </c>
      <c r="AO315" s="53" t="n">
        <f aca="false">SUMIF($C$6:$AL$6,3,C315:AL315)</f>
        <v>498.769970423159</v>
      </c>
      <c r="AP315" s="53" t="n">
        <f aca="false">SUM(C315:AL315)</f>
        <v>829.10435316384</v>
      </c>
    </row>
    <row r="316" customFormat="false" ht="15" hidden="false" customHeight="false" outlineLevel="0" collapsed="false">
      <c r="A316" s="7" t="s">
        <v>761</v>
      </c>
      <c r="B316" s="9" t="s">
        <v>342</v>
      </c>
      <c r="C316" s="56" t="n">
        <f aca="false">C315*Assumptions!$E$138</f>
        <v>-0</v>
      </c>
      <c r="D316" s="56" t="n">
        <f aca="false">D315*Assumptions!$E$138</f>
        <v>-0</v>
      </c>
      <c r="E316" s="56" t="n">
        <f aca="false">E315*Assumptions!$E$138</f>
        <v>0</v>
      </c>
      <c r="F316" s="56" t="n">
        <f aca="false">F315*Assumptions!$E$138</f>
        <v>1.52200533333333</v>
      </c>
      <c r="G316" s="56" t="n">
        <f aca="false">G315*Assumptions!$E$138</f>
        <v>2.4546902016</v>
      </c>
      <c r="H316" s="56" t="n">
        <f aca="false">H315*Assumptions!$E$138</f>
        <v>4.58208837632</v>
      </c>
      <c r="I316" s="56" t="n">
        <f aca="false">I315*Assumptions!$E$138</f>
        <v>7.18471457406976</v>
      </c>
      <c r="J316" s="56" t="n">
        <f aca="false">J315*Assumptions!$E$138</f>
        <v>9.10063846048837</v>
      </c>
      <c r="K316" s="56" t="n">
        <f aca="false">K315*Assumptions!$E$138</f>
        <v>12.875008516733</v>
      </c>
      <c r="L316" s="56" t="n">
        <f aca="false">L315*Assumptions!$E$138</f>
        <v>13.6990090618039</v>
      </c>
      <c r="M316" s="56" t="n">
        <f aca="false">M315*Assumptions!$E$138</f>
        <v>13.7278490808814</v>
      </c>
      <c r="N316" s="56" t="n">
        <f aca="false">N315*Assumptions!$E$138</f>
        <v>15.3751909705872</v>
      </c>
      <c r="O316" s="56" t="n">
        <f aca="false">O315*Assumptions!$E$138</f>
        <v>18.3869195548257</v>
      </c>
      <c r="P316" s="56" t="n">
        <f aca="false">P315*Assumptions!$E$138</f>
        <v>26.9223211586975</v>
      </c>
      <c r="Q316" s="56" t="n">
        <f aca="false">Q315*Assumptions!$E$138</f>
        <v>29.9148407028758</v>
      </c>
      <c r="R316" s="56" t="n">
        <f aca="false">R315*Assumptions!$E$138</f>
        <v>29.6378514371084</v>
      </c>
      <c r="S316" s="56" t="n">
        <f aca="false">S315*Assumptions!$E$138</f>
        <v>22.8330007471483</v>
      </c>
      <c r="T316" s="56" t="n">
        <f aca="false">T315*Assumptions!$E$138</f>
        <v>27.1459008882763</v>
      </c>
      <c r="U316" s="56" t="n">
        <f aca="false">U315*Assumptions!$E$138</f>
        <v>30.4984196479785</v>
      </c>
      <c r="V316" s="56" t="n">
        <f aca="false">V315*Assumptions!$E$138</f>
        <v>29.5253748306382</v>
      </c>
      <c r="W316" s="56" t="n">
        <f aca="false">W315*Assumptions!$E$138</f>
        <v>33.2548958618767</v>
      </c>
      <c r="X316" s="56" t="n">
        <f aca="false">X315*Assumptions!$E$138</f>
        <v>33.8036016435977</v>
      </c>
      <c r="Y316" s="56" t="n">
        <f aca="false">Y315*Assumptions!$E$138</f>
        <v>32.3625007314233</v>
      </c>
      <c r="Z316" s="56" t="n">
        <f aca="false">Z315*Assumptions!$E$138</f>
        <v>34.6278757826229</v>
      </c>
      <c r="AA316" s="56" t="n">
        <f aca="false">AA315*Assumptions!$E$138</f>
        <v>40.2498132626252</v>
      </c>
      <c r="AB316" s="56" t="n">
        <f aca="false">AB315*Assumptions!$E$138</f>
        <v>57.2818395063887</v>
      </c>
      <c r="AC316" s="56" t="n">
        <f aca="false">AC315*Assumptions!$E$138</f>
        <v>61.8643866668998</v>
      </c>
      <c r="AD316" s="56" t="n">
        <f aca="false">AD315*Assumptions!$E$138</f>
        <v>59.5731130866443</v>
      </c>
      <c r="AE316" s="56" t="n">
        <f aca="false">AE315*Assumptions!$E$138</f>
        <v>44.6083470792792</v>
      </c>
      <c r="AF316" s="56" t="n">
        <f aca="false">AF315*Assumptions!$E$138</f>
        <v>51.5474232916116</v>
      </c>
      <c r="AG316" s="56" t="n">
        <f aca="false">AG315*Assumptions!$E$138</f>
        <v>56.2897862344398</v>
      </c>
      <c r="AH316" s="56" t="n">
        <f aca="false">AH315*Assumptions!$E$138</f>
        <v>52.9660083805967</v>
      </c>
      <c r="AI316" s="56" t="n">
        <f aca="false">AI315*Assumptions!$E$138</f>
        <v>57.9838407534953</v>
      </c>
      <c r="AJ316" s="56" t="n">
        <f aca="false">AJ315*Assumptions!$E$138</f>
        <v>57.2880346644534</v>
      </c>
      <c r="AK316" s="56" t="n">
        <f aca="false">AK315*Assumptions!$E$138</f>
        <v>53.3080238351335</v>
      </c>
      <c r="AL316" s="56" t="n">
        <f aca="false">AL315*Assumptions!$E$138</f>
        <v>55.4403447885388</v>
      </c>
      <c r="AM316" s="53" t="n">
        <f aca="false">SUMIF($C$6:$AL$6,1,C316:AL316)</f>
        <v>80.521194575817</v>
      </c>
      <c r="AN316" s="53" t="n">
        <f aca="false">SUMIF($C$6:$AL$6,2,C316:AL316)</f>
        <v>348.913502987069</v>
      </c>
      <c r="AO316" s="53" t="n">
        <f aca="false">SUMIF($C$6:$AL$6,3,C316:AL316)</f>
        <v>648.400961550106</v>
      </c>
      <c r="AP316" s="53" t="n">
        <f aca="false">SUM(C316:AL316)</f>
        <v>1077.83565911299</v>
      </c>
    </row>
    <row r="317" customFormat="false" ht="15" hidden="false" customHeight="false" outlineLevel="0" collapsed="false">
      <c r="A317" s="7" t="s">
        <v>762</v>
      </c>
      <c r="B317" s="9" t="s">
        <v>101</v>
      </c>
      <c r="C317" s="15" t="n">
        <f aca="false">'Unit Economics'!$E$54*Assumptions!$E$138*C311</f>
        <v>0</v>
      </c>
      <c r="D317" s="15" t="n">
        <f aca="false">'Unit Economics'!$E$54*Assumptions!$E$138*D311</f>
        <v>0</v>
      </c>
      <c r="E317" s="15" t="n">
        <f aca="false">'Unit Economics'!$E$54*Assumptions!$E$138*E311</f>
        <v>0</v>
      </c>
      <c r="F317" s="15" t="n">
        <f aca="false">'Unit Economics'!$E$54*Assumptions!$E$138*F311</f>
        <v>11.7549545454545</v>
      </c>
      <c r="G317" s="15" t="n">
        <f aca="false">'Unit Economics'!$E$54*Assumptions!$E$138*G311</f>
        <v>11.7549545454545</v>
      </c>
      <c r="H317" s="15" t="n">
        <f aca="false">'Unit Economics'!$E$54*Assumptions!$E$138*H311</f>
        <v>11.7549545454545</v>
      </c>
      <c r="I317" s="15" t="n">
        <f aca="false">'Unit Economics'!$E$54*Assumptions!$E$138*I311</f>
        <v>11.7549545454545</v>
      </c>
      <c r="J317" s="15" t="n">
        <f aca="false">'Unit Economics'!$E$54*Assumptions!$E$138*J311</f>
        <v>11.7549545454545</v>
      </c>
      <c r="K317" s="15" t="n">
        <f aca="false">'Unit Economics'!$E$54*Assumptions!$E$138*K311</f>
        <v>11.7549545454545</v>
      </c>
      <c r="L317" s="15" t="n">
        <f aca="false">'Unit Economics'!$E$54*Assumptions!$E$138*L311</f>
        <v>11.7549545454545</v>
      </c>
      <c r="M317" s="15" t="n">
        <f aca="false">'Unit Economics'!$E$54*Assumptions!$E$138*M311</f>
        <v>11.7549545454545</v>
      </c>
      <c r="N317" s="15" t="n">
        <f aca="false">'Unit Economics'!$E$54*Assumptions!$E$138*N311</f>
        <v>11.7549545454545</v>
      </c>
      <c r="O317" s="15" t="n">
        <f aca="false">'Unit Economics'!$E$54*Assumptions!$E$138*O311</f>
        <v>11.7549545454545</v>
      </c>
      <c r="P317" s="15" t="n">
        <f aca="false">'Unit Economics'!$E$54*Assumptions!$E$138*P311</f>
        <v>11.7549545454545</v>
      </c>
      <c r="Q317" s="15" t="n">
        <f aca="false">'Unit Economics'!$E$54*Assumptions!$E$138*Q311</f>
        <v>11.7549545454545</v>
      </c>
      <c r="R317" s="15" t="n">
        <f aca="false">'Unit Economics'!$E$54*Assumptions!$E$138*R311</f>
        <v>11.7549545454545</v>
      </c>
      <c r="S317" s="15" t="n">
        <f aca="false">'Unit Economics'!$E$54*Assumptions!$E$138*S311</f>
        <v>11.7549545454545</v>
      </c>
      <c r="T317" s="15" t="n">
        <f aca="false">'Unit Economics'!$E$54*Assumptions!$E$138*T311</f>
        <v>11.7549545454545</v>
      </c>
      <c r="U317" s="15" t="n">
        <f aca="false">'Unit Economics'!$E$54*Assumptions!$E$138*U311</f>
        <v>11.7549545454545</v>
      </c>
      <c r="V317" s="15" t="n">
        <f aca="false">'Unit Economics'!$E$54*Assumptions!$E$138*V311</f>
        <v>11.7549545454545</v>
      </c>
      <c r="W317" s="15" t="n">
        <f aca="false">'Unit Economics'!$E$54*Assumptions!$E$138*W311</f>
        <v>11.7549545454545</v>
      </c>
      <c r="X317" s="15" t="n">
        <f aca="false">'Unit Economics'!$E$54*Assumptions!$E$138*X311</f>
        <v>11.7549545454545</v>
      </c>
      <c r="Y317" s="15" t="n">
        <f aca="false">'Unit Economics'!$E$54*Assumptions!$E$138*Y311</f>
        <v>11.7549545454545</v>
      </c>
      <c r="Z317" s="15" t="n">
        <f aca="false">'Unit Economics'!$E$54*Assumptions!$E$138*Z311</f>
        <v>11.7549545454545</v>
      </c>
      <c r="AA317" s="15" t="n">
        <f aca="false">'Unit Economics'!$E$54*Assumptions!$E$138*AA311</f>
        <v>11.7549545454545</v>
      </c>
      <c r="AB317" s="15" t="n">
        <f aca="false">'Unit Economics'!$E$54*Assumptions!$E$138*AB311</f>
        <v>11.7549545454545</v>
      </c>
      <c r="AC317" s="15" t="n">
        <f aca="false">'Unit Economics'!$E$54*Assumptions!$E$138*AC311</f>
        <v>11.7549545454545</v>
      </c>
      <c r="AD317" s="15" t="n">
        <f aca="false">'Unit Economics'!$E$54*Assumptions!$E$138*AD311</f>
        <v>11.7549545454545</v>
      </c>
      <c r="AE317" s="15" t="n">
        <f aca="false">'Unit Economics'!$E$54*Assumptions!$E$138*AE311</f>
        <v>11.7549545454545</v>
      </c>
      <c r="AF317" s="15" t="n">
        <f aca="false">'Unit Economics'!$E$54*Assumptions!$E$138*AF311</f>
        <v>11.7549545454545</v>
      </c>
      <c r="AG317" s="15" t="n">
        <f aca="false">'Unit Economics'!$E$54*Assumptions!$E$138*AG311</f>
        <v>11.7549545454545</v>
      </c>
      <c r="AH317" s="15" t="n">
        <f aca="false">'Unit Economics'!$E$54*Assumptions!$E$138*AH311</f>
        <v>11.7549545454545</v>
      </c>
      <c r="AI317" s="15" t="n">
        <f aca="false">'Unit Economics'!$E$54*Assumptions!$E$138*AI311</f>
        <v>11.7549545454545</v>
      </c>
      <c r="AJ317" s="15" t="n">
        <f aca="false">'Unit Economics'!$E$54*Assumptions!$E$138*AJ311</f>
        <v>11.7549545454545</v>
      </c>
      <c r="AK317" s="15" t="n">
        <f aca="false">'Unit Economics'!$E$54*Assumptions!$E$138*AK311</f>
        <v>11.7549545454545</v>
      </c>
      <c r="AL317" s="15" t="n">
        <f aca="false">'Unit Economics'!$E$54*Assumptions!$E$138*AL311</f>
        <v>11.7549545454545</v>
      </c>
    </row>
    <row r="318" customFormat="false" ht="15" hidden="false" customHeight="false" outlineLevel="0" collapsed="false">
      <c r="A318" s="7" t="s">
        <v>763</v>
      </c>
      <c r="B318" s="9" t="s">
        <v>101</v>
      </c>
      <c r="C318" s="8" t="n">
        <f aca="false">C316*'Unit Economics'!$E$54</f>
        <v>-0</v>
      </c>
      <c r="D318" s="8" t="n">
        <f aca="false">D316*'Unit Economics'!$E$54</f>
        <v>-0</v>
      </c>
      <c r="E318" s="8" t="n">
        <f aca="false">E316*'Unit Economics'!$E$54</f>
        <v>0</v>
      </c>
      <c r="F318" s="8" t="n">
        <f aca="false">F316*'Unit Economics'!$E$54</f>
        <v>13.7623873163636</v>
      </c>
      <c r="G318" s="8" t="n">
        <f aca="false">G316*'Unit Economics'!$E$54</f>
        <v>22.1959782638313</v>
      </c>
      <c r="H318" s="8" t="n">
        <f aca="false">H316*'Unit Economics'!$E$54</f>
        <v>41.4324927591517</v>
      </c>
      <c r="I318" s="8" t="n">
        <f aca="false">I316*'Unit Economics'!$E$54</f>
        <v>64.9661486463499</v>
      </c>
      <c r="J318" s="8" t="n">
        <f aca="false">J316*'Unit Economics'!$E$54</f>
        <v>82.2904549520432</v>
      </c>
      <c r="K318" s="8" t="n">
        <f aca="false">K316*'Unit Economics'!$E$54</f>
        <v>116.419338374259</v>
      </c>
      <c r="L318" s="8" t="n">
        <f aca="false">L316*'Unit Economics'!$E$54</f>
        <v>123.870176030212</v>
      </c>
      <c r="M318" s="8" t="n">
        <f aca="false">M316*'Unit Economics'!$E$54</f>
        <v>124.13095534817</v>
      </c>
      <c r="N318" s="8" t="n">
        <f aca="false">N316*'Unit Economics'!$E$54</f>
        <v>139.02666998995</v>
      </c>
      <c r="O318" s="8" t="n">
        <f aca="false">O316*'Unit Economics'!$E$54</f>
        <v>166.259541229158</v>
      </c>
      <c r="P318" s="8" t="n">
        <f aca="false">P316*'Unit Economics'!$E$54</f>
        <v>243.438970368168</v>
      </c>
      <c r="Q318" s="8" t="n">
        <f aca="false">Q316*'Unit Economics'!$E$54</f>
        <v>270.498148228322</v>
      </c>
      <c r="R318" s="8" t="n">
        <f aca="false">R316*'Unit Economics'!$E$54</f>
        <v>267.993535744726</v>
      </c>
      <c r="S318" s="8" t="n">
        <f aca="false">S316*'Unit Economics'!$E$54</f>
        <v>206.462219937737</v>
      </c>
      <c r="T318" s="8" t="n">
        <f aca="false">T316*'Unit Economics'!$E$54</f>
        <v>245.46063925931</v>
      </c>
      <c r="U318" s="8" t="n">
        <f aca="false">U316*'Unit Economics'!$E$54</f>
        <v>275.775028207835</v>
      </c>
      <c r="V318" s="8" t="n">
        <f aca="false">V316*'Unit Economics'!$E$54</f>
        <v>266.976491593585</v>
      </c>
      <c r="W318" s="8" t="n">
        <f aca="false">W316*'Unit Economics'!$E$54</f>
        <v>300.699837900143</v>
      </c>
      <c r="X318" s="8" t="n">
        <f aca="false">X316*'Unit Economics'!$E$54</f>
        <v>305.661385225495</v>
      </c>
      <c r="Y318" s="8" t="n">
        <f aca="false">Y316*'Unit Economics'!$E$54</f>
        <v>292.630557750092</v>
      </c>
      <c r="Z318" s="8" t="n">
        <f aca="false">Z316*'Unit Economics'!$E$54</f>
        <v>313.114696792599</v>
      </c>
      <c r="AA318" s="8" t="n">
        <f aca="false">AA316*'Unit Economics'!$E$54</f>
        <v>363.949788742456</v>
      </c>
      <c r="AB318" s="8" t="n">
        <f aca="false">AB316*'Unit Economics'!$E$54</f>
        <v>517.958015136632</v>
      </c>
      <c r="AC318" s="8" t="n">
        <f aca="false">AC316*'Unit Economics'!$E$54</f>
        <v>559.394656347563</v>
      </c>
      <c r="AD318" s="8" t="n">
        <f aca="false">AD316*'Unit Economics'!$E$54</f>
        <v>538.676335742097</v>
      </c>
      <c r="AE318" s="8" t="n">
        <f aca="false">AE316*'Unit Economics'!$E$54</f>
        <v>403.360840203683</v>
      </c>
      <c r="AF318" s="8" t="n">
        <f aca="false">AF316*'Unit Economics'!$E$54</f>
        <v>466.105859790922</v>
      </c>
      <c r="AG318" s="8" t="n">
        <f aca="false">AG316*'Unit Economics'!$E$54</f>
        <v>508.987598891687</v>
      </c>
      <c r="AH318" s="8" t="n">
        <f aca="false">AH316*'Unit Economics'!$E$54</f>
        <v>478.933093052368</v>
      </c>
      <c r="AI318" s="8" t="n">
        <f aca="false">AI316*'Unit Economics'!$E$54</f>
        <v>524.305701867856</v>
      </c>
      <c r="AJ318" s="8" t="n">
        <f aca="false">AJ316*'Unit Economics'!$E$54</f>
        <v>518.014033445442</v>
      </c>
      <c r="AK318" s="8" t="n">
        <f aca="false">AK316*'Unit Economics'!$E$54</f>
        <v>482.025690069232</v>
      </c>
      <c r="AL318" s="8" t="n">
        <f aca="false">AL316*'Unit Economics'!$E$54</f>
        <v>501.306717672001</v>
      </c>
      <c r="AM318" s="45" t="n">
        <f aca="false">SUMIF($C$6:$AL$6,1,C318:AL318)</f>
        <v>728.094601680331</v>
      </c>
      <c r="AN318" s="45" t="n">
        <f aca="false">SUMIF($C$6:$AL$6,2,C318:AL318)</f>
        <v>3154.97105223717</v>
      </c>
      <c r="AO318" s="45" t="n">
        <f aca="false">SUMIF($C$6:$AL$6,3,C318:AL318)</f>
        <v>5863.01833096194</v>
      </c>
      <c r="AP318" s="45" t="n">
        <f aca="false">SUM(C318:AL318)</f>
        <v>9746.08398487944</v>
      </c>
    </row>
    <row r="319" customFormat="false" ht="15" hidden="false" customHeight="false" outlineLevel="0" collapsed="false">
      <c r="A319" s="7" t="s">
        <v>764</v>
      </c>
      <c r="B319" s="9" t="s">
        <v>101</v>
      </c>
      <c r="C319" s="8" t="n">
        <f aca="false">C316*'Unit Economics'!$F$54</f>
        <v>-0</v>
      </c>
      <c r="D319" s="8" t="n">
        <f aca="false">D316*'Unit Economics'!$F$54</f>
        <v>-0</v>
      </c>
      <c r="E319" s="8" t="n">
        <f aca="false">E316*'Unit Economics'!$F$54</f>
        <v>0</v>
      </c>
      <c r="F319" s="8" t="n">
        <f aca="false">F316*'Unit Economics'!$F$54</f>
        <v>11.3498981717333</v>
      </c>
      <c r="G319" s="8" t="n">
        <f aca="false">G316*'Unit Economics'!$F$54</f>
        <v>18.3051157713715</v>
      </c>
      <c r="H319" s="8" t="n">
        <f aca="false">H316*'Unit Economics'!$F$54</f>
        <v>34.1695494398935</v>
      </c>
      <c r="I319" s="8" t="n">
        <f aca="false">I316*'Unit Economics'!$F$54</f>
        <v>53.577853521753</v>
      </c>
      <c r="J319" s="8" t="n">
        <f aca="false">J316*'Unit Economics'!$F$54</f>
        <v>67.8652811275539</v>
      </c>
      <c r="K319" s="8" t="n">
        <f aca="false">K316*'Unit Economics'!$F$54</f>
        <v>96.0115135109815</v>
      </c>
      <c r="L319" s="8" t="n">
        <f aca="false">L316*'Unit Economics'!$F$54</f>
        <v>102.156250375684</v>
      </c>
      <c r="M319" s="8" t="n">
        <f aca="false">M316*'Unit Economics'!$F$54</f>
        <v>102.371316165949</v>
      </c>
      <c r="N319" s="8" t="n">
        <f aca="false">N316*'Unit Economics'!$F$54</f>
        <v>114.655874105863</v>
      </c>
      <c r="O319" s="8" t="n">
        <f aca="false">O316*'Unit Economics'!$F$54</f>
        <v>137.114936504247</v>
      </c>
      <c r="P319" s="8" t="n">
        <f aca="false">P316*'Unit Economics'!$F$54</f>
        <v>200.765133344639</v>
      </c>
      <c r="Q319" s="8" t="n">
        <f aca="false">Q316*'Unit Economics'!$F$54</f>
        <v>223.080950089485</v>
      </c>
      <c r="R319" s="8" t="n">
        <f aca="false">R316*'Unit Economics'!$F$54</f>
        <v>221.015385736805</v>
      </c>
      <c r="S319" s="8" t="n">
        <f aca="false">S316*'Unit Economics'!$F$54</f>
        <v>170.270253171634</v>
      </c>
      <c r="T319" s="8" t="n">
        <f aca="false">T316*'Unit Economics'!$F$54</f>
        <v>202.432412104054</v>
      </c>
      <c r="U319" s="8" t="n">
        <f aca="false">U316*'Unit Economics'!$F$54</f>
        <v>227.432814998905</v>
      </c>
      <c r="V319" s="8" t="n">
        <f aca="false">V316*'Unit Economics'!$F$54</f>
        <v>220.176625187035</v>
      </c>
      <c r="W319" s="8" t="n">
        <f aca="false">W316*'Unit Economics'!$F$54</f>
        <v>247.988409421187</v>
      </c>
      <c r="X319" s="8" t="n">
        <f aca="false">X316*'Unit Economics'!$F$54</f>
        <v>252.080218176637</v>
      </c>
      <c r="Y319" s="8" t="n">
        <f aca="false">Y316*'Unit Economics'!$F$54</f>
        <v>241.33364045437</v>
      </c>
      <c r="Z319" s="8" t="n">
        <f aca="false">Z316*'Unit Economics'!$F$54</f>
        <v>258.226995286175</v>
      </c>
      <c r="AA319" s="8" t="n">
        <f aca="false">AA316*'Unit Economics'!$F$54</f>
        <v>300.150907462049</v>
      </c>
      <c r="AB319" s="8" t="n">
        <f aca="false">AB316*'Unit Economics'!$F$54</f>
        <v>427.162133567042</v>
      </c>
      <c r="AC319" s="8" t="n">
        <f aca="false">AC316*'Unit Economics'!$F$54</f>
        <v>461.335104252405</v>
      </c>
      <c r="AD319" s="8" t="n">
        <f aca="false">AD316*'Unit Economics'!$F$54</f>
        <v>444.248618909724</v>
      </c>
      <c r="AE319" s="8" t="n">
        <f aca="false">AE316*'Unit Economics'!$F$54</f>
        <v>332.653365839601</v>
      </c>
      <c r="AF319" s="8" t="n">
        <f aca="false">AF316*'Unit Economics'!$F$54</f>
        <v>384.399444970206</v>
      </c>
      <c r="AG319" s="8" t="n">
        <f aca="false">AG316*'Unit Economics'!$F$54</f>
        <v>419.764193907465</v>
      </c>
      <c r="AH319" s="8" t="n">
        <f aca="false">AH316*'Unit Economics'!$F$54</f>
        <v>394.978117695786</v>
      </c>
      <c r="AI319" s="8" t="n">
        <f aca="false">AI316*'Unit Economics'!$F$54</f>
        <v>432.397097266965</v>
      </c>
      <c r="AJ319" s="8" t="n">
        <f aca="false">AJ316*'Unit Economics'!$F$54</f>
        <v>427.208332099762</v>
      </c>
      <c r="AK319" s="8" t="n">
        <f aca="false">AK316*'Unit Economics'!$F$54</f>
        <v>397.528595343357</v>
      </c>
      <c r="AL319" s="8" t="n">
        <f aca="false">AL316*'Unit Economics'!$F$54</f>
        <v>413.429739157092</v>
      </c>
      <c r="AM319" s="45" t="n">
        <f aca="false">SUMIF($C$6:$AL$6,1,C319:AL319)</f>
        <v>600.462652190783</v>
      </c>
      <c r="AN319" s="45" t="n">
        <f aca="false">SUMIF($C$6:$AL$6,2,C319:AL319)</f>
        <v>2601.91777447517</v>
      </c>
      <c r="AO319" s="45" t="n">
        <f aca="false">SUMIF($C$6:$AL$6,3,C319:AL319)</f>
        <v>4835.25565047145</v>
      </c>
      <c r="AP319" s="45" t="n">
        <f aca="false">SUM(C319:AL319)</f>
        <v>8037.63607713741</v>
      </c>
    </row>
    <row r="320" customFormat="false" ht="15" hidden="false" customHeight="false" outlineLevel="0" collapsed="false">
      <c r="A320" s="5" t="s">
        <v>576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</row>
    <row r="321" customFormat="false" ht="15" hidden="false" customHeight="false" outlineLevel="0" collapsed="false">
      <c r="A321" s="7" t="s">
        <v>755</v>
      </c>
      <c r="B321" s="9" t="s">
        <v>319</v>
      </c>
      <c r="C321" s="38" t="n">
        <f aca="false">IF(AND(Assumptions!$E$140=1,C$4&gt;=Assumptions!$E$141),1,0)</f>
        <v>0</v>
      </c>
      <c r="D321" s="38" t="n">
        <f aca="false">IF(AND(Assumptions!$E$140=1,D$4&gt;=Assumptions!$E$141),1,0)</f>
        <v>0</v>
      </c>
      <c r="E321" s="38" t="n">
        <f aca="false">IF(AND(Assumptions!$E$140=1,E$4&gt;=Assumptions!$E$141),1,0)</f>
        <v>0</v>
      </c>
      <c r="F321" s="38" t="n">
        <f aca="false">IF(AND(Assumptions!$E$140=1,F$4&gt;=Assumptions!$E$141),1,0)</f>
        <v>1</v>
      </c>
      <c r="G321" s="38" t="n">
        <f aca="false">IF(AND(Assumptions!$E$140=1,G$4&gt;=Assumptions!$E$141),1,0)</f>
        <v>1</v>
      </c>
      <c r="H321" s="38" t="n">
        <f aca="false">IF(AND(Assumptions!$E$140=1,H$4&gt;=Assumptions!$E$141),1,0)</f>
        <v>1</v>
      </c>
      <c r="I321" s="38" t="n">
        <f aca="false">IF(AND(Assumptions!$E$140=1,I$4&gt;=Assumptions!$E$141),1,0)</f>
        <v>1</v>
      </c>
      <c r="J321" s="38" t="n">
        <f aca="false">IF(AND(Assumptions!$E$140=1,J$4&gt;=Assumptions!$E$141),1,0)</f>
        <v>1</v>
      </c>
      <c r="K321" s="38" t="n">
        <f aca="false">IF(AND(Assumptions!$E$140=1,K$4&gt;=Assumptions!$E$141),1,0)</f>
        <v>1</v>
      </c>
      <c r="L321" s="38" t="n">
        <f aca="false">IF(AND(Assumptions!$E$140=1,L$4&gt;=Assumptions!$E$141),1,0)</f>
        <v>1</v>
      </c>
      <c r="M321" s="38" t="n">
        <f aca="false">IF(AND(Assumptions!$E$140=1,M$4&gt;=Assumptions!$E$141),1,0)</f>
        <v>1</v>
      </c>
      <c r="N321" s="38" t="n">
        <f aca="false">IF(AND(Assumptions!$E$140=1,N$4&gt;=Assumptions!$E$141),1,0)</f>
        <v>1</v>
      </c>
      <c r="O321" s="38" t="n">
        <f aca="false">IF(AND(Assumptions!$E$140=1,O$4&gt;=Assumptions!$E$141),1,0)</f>
        <v>1</v>
      </c>
      <c r="P321" s="38" t="n">
        <f aca="false">IF(AND(Assumptions!$E$140=1,P$4&gt;=Assumptions!$E$141),1,0)</f>
        <v>1</v>
      </c>
      <c r="Q321" s="38" t="n">
        <f aca="false">IF(AND(Assumptions!$E$140=1,Q$4&gt;=Assumptions!$E$141),1,0)</f>
        <v>1</v>
      </c>
      <c r="R321" s="38" t="n">
        <f aca="false">IF(AND(Assumptions!$E$140=1,R$4&gt;=Assumptions!$E$141),1,0)</f>
        <v>1</v>
      </c>
      <c r="S321" s="38" t="n">
        <f aca="false">IF(AND(Assumptions!$E$140=1,S$4&gt;=Assumptions!$E$141),1,0)</f>
        <v>1</v>
      </c>
      <c r="T321" s="38" t="n">
        <f aca="false">IF(AND(Assumptions!$E$140=1,T$4&gt;=Assumptions!$E$141),1,0)</f>
        <v>1</v>
      </c>
      <c r="U321" s="38" t="n">
        <f aca="false">IF(AND(Assumptions!$E$140=1,U$4&gt;=Assumptions!$E$141),1,0)</f>
        <v>1</v>
      </c>
      <c r="V321" s="38" t="n">
        <f aca="false">IF(AND(Assumptions!$E$140=1,V$4&gt;=Assumptions!$E$141),1,0)</f>
        <v>1</v>
      </c>
      <c r="W321" s="38" t="n">
        <f aca="false">IF(AND(Assumptions!$E$140=1,W$4&gt;=Assumptions!$E$141),1,0)</f>
        <v>1</v>
      </c>
      <c r="X321" s="38" t="n">
        <f aca="false">IF(AND(Assumptions!$E$140=1,X$4&gt;=Assumptions!$E$141),1,0)</f>
        <v>1</v>
      </c>
      <c r="Y321" s="38" t="n">
        <f aca="false">IF(AND(Assumptions!$E$140=1,Y$4&gt;=Assumptions!$E$141),1,0)</f>
        <v>1</v>
      </c>
      <c r="Z321" s="38" t="n">
        <f aca="false">IF(AND(Assumptions!$E$140=1,Z$4&gt;=Assumptions!$E$141),1,0)</f>
        <v>1</v>
      </c>
      <c r="AA321" s="38" t="n">
        <f aca="false">IF(AND(Assumptions!$E$140=1,AA$4&gt;=Assumptions!$E$141),1,0)</f>
        <v>1</v>
      </c>
      <c r="AB321" s="38" t="n">
        <f aca="false">IF(AND(Assumptions!$E$140=1,AB$4&gt;=Assumptions!$E$141),1,0)</f>
        <v>1</v>
      </c>
      <c r="AC321" s="38" t="n">
        <f aca="false">IF(AND(Assumptions!$E$140=1,AC$4&gt;=Assumptions!$E$141),1,0)</f>
        <v>1</v>
      </c>
      <c r="AD321" s="38" t="n">
        <f aca="false">IF(AND(Assumptions!$E$140=1,AD$4&gt;=Assumptions!$E$141),1,0)</f>
        <v>1</v>
      </c>
      <c r="AE321" s="38" t="n">
        <f aca="false">IF(AND(Assumptions!$E$140=1,AE$4&gt;=Assumptions!$E$141),1,0)</f>
        <v>1</v>
      </c>
      <c r="AF321" s="38" t="n">
        <f aca="false">IF(AND(Assumptions!$E$140=1,AF$4&gt;=Assumptions!$E$141),1,0)</f>
        <v>1</v>
      </c>
      <c r="AG321" s="38" t="n">
        <f aca="false">IF(AND(Assumptions!$E$140=1,AG$4&gt;=Assumptions!$E$141),1,0)</f>
        <v>1</v>
      </c>
      <c r="AH321" s="38" t="n">
        <f aca="false">IF(AND(Assumptions!$E$140=1,AH$4&gt;=Assumptions!$E$141),1,0)</f>
        <v>1</v>
      </c>
      <c r="AI321" s="38" t="n">
        <f aca="false">IF(AND(Assumptions!$E$140=1,AI$4&gt;=Assumptions!$E$141),1,0)</f>
        <v>1</v>
      </c>
      <c r="AJ321" s="38" t="n">
        <f aca="false">IF(AND(Assumptions!$E$140=1,AJ$4&gt;=Assumptions!$E$141),1,0)</f>
        <v>1</v>
      </c>
      <c r="AK321" s="38" t="n">
        <f aca="false">IF(AND(Assumptions!$E$140=1,AK$4&gt;=Assumptions!$E$141),1,0)</f>
        <v>1</v>
      </c>
      <c r="AL321" s="38" t="n">
        <f aca="false">IF(AND(Assumptions!$E$140=1,AL$4&gt;=Assumptions!$E$141),1,0)</f>
        <v>1</v>
      </c>
    </row>
    <row r="322" customFormat="false" ht="15" hidden="false" customHeight="false" outlineLevel="0" collapsed="false">
      <c r="A322" s="7" t="s">
        <v>770</v>
      </c>
      <c r="B322" s="9" t="s">
        <v>771</v>
      </c>
      <c r="C322" s="14" t="n">
        <f aca="false">IF(C321=0,0,0*Assumptions!$E$144)</f>
        <v>0</v>
      </c>
      <c r="D322" s="14" t="n">
        <f aca="false">IF(D321=0,0,C363*Assumptions!$E$144)</f>
        <v>0</v>
      </c>
      <c r="E322" s="14" t="n">
        <f aca="false">IF(E321=0,0,D363*Assumptions!$E$144)</f>
        <v>0</v>
      </c>
      <c r="F322" s="14" t="n">
        <f aca="false">IF(F321=0,0,E363*Assumptions!$E$144)</f>
        <v>37.119585</v>
      </c>
      <c r="G322" s="14" t="n">
        <f aca="false">IF(G321=0,0,F363*Assumptions!$E$144)</f>
        <v>54.7708920833333</v>
      </c>
      <c r="H322" s="14" t="n">
        <f aca="false">IF(H321=0,0,G363*Assumptions!$E$144)</f>
        <v>69.77963901978</v>
      </c>
      <c r="I322" s="14" t="n">
        <f aca="false">IF(I321=0,0,H363*Assumptions!$E$144)</f>
        <v>89.6746429395982</v>
      </c>
      <c r="J322" s="14" t="n">
        <f aca="false">IF(J321=0,0,I363*Assumptions!$E$144)</f>
        <v>113.780131044286</v>
      </c>
      <c r="K322" s="14" t="n">
        <f aca="false">IF(K321=0,0,J363*Assumptions!$E$144)</f>
        <v>138.125574539195</v>
      </c>
      <c r="L322" s="14" t="n">
        <f aca="false">IF(L321=0,0,K363*Assumptions!$E$144)</f>
        <v>166.841157472846</v>
      </c>
      <c r="M322" s="14" t="n">
        <f aca="false">IF(M321=0,0,L363*Assumptions!$E$144)</f>
        <v>197.172998391801</v>
      </c>
      <c r="N322" s="14" t="n">
        <f aca="false">IF(N321=0,0,M363*Assumptions!$E$144)</f>
        <v>227.117019810259</v>
      </c>
      <c r="O322" s="14" t="n">
        <f aca="false">IF(O321=0,0,N363*Assumptions!$E$144)</f>
        <v>260.427360433013</v>
      </c>
      <c r="P322" s="14" t="n">
        <f aca="false">IF(P321=0,0,O363*Assumptions!$E$144)</f>
        <v>300.190920601752</v>
      </c>
      <c r="Q322" s="14" t="n">
        <f aca="false">IF(Q321=0,0,P363*Assumptions!$E$144)</f>
        <v>358.960560399778</v>
      </c>
      <c r="R322" s="14" t="n">
        <f aca="false">IF(R321=0,0,Q363*Assumptions!$E$144)</f>
        <v>423.720620791278</v>
      </c>
      <c r="S322" s="14" t="n">
        <f aca="false">IF(S321=0,0,R363*Assumptions!$E$144)</f>
        <v>486.919887354295</v>
      </c>
      <c r="T322" s="14" t="n">
        <f aca="false">IF(T321=0,0,S363*Assumptions!$E$144)</f>
        <v>533.791588751953</v>
      </c>
      <c r="U322" s="14" t="n">
        <f aca="false">IF(U321=0,0,T363*Assumptions!$E$144)</f>
        <v>589.720058263369</v>
      </c>
      <c r="V322" s="14" t="n">
        <f aca="false">IF(V321=0,0,U363*Assumptions!$E$144)</f>
        <v>652.382131951537</v>
      </c>
      <c r="W322" s="14" t="n">
        <f aca="false">IF(W321=0,0,V363*Assumptions!$E$144)</f>
        <v>711.970076708036</v>
      </c>
      <c r="X322" s="14" t="n">
        <f aca="false">IF(X321=0,0,W363*Assumptions!$E$144)</f>
        <v>779.025230293536</v>
      </c>
      <c r="Y322" s="14" t="n">
        <f aca="false">IF(Y321=0,0,X363*Assumptions!$E$144)</f>
        <v>846.346210188933</v>
      </c>
      <c r="Z322" s="14" t="n">
        <f aca="false">IF(Z321=0,0,Y363*Assumptions!$E$144)</f>
        <v>909.521422454697</v>
      </c>
      <c r="AA322" s="14" t="n">
        <f aca="false">IF(AA321=0,0,Z363*Assumptions!$E$144)</f>
        <v>976.79525245359</v>
      </c>
      <c r="AB322" s="14" t="n">
        <f aca="false">IF(AB321=0,0,AA363*Assumptions!$E$144)</f>
        <v>1055.58272965399</v>
      </c>
      <c r="AC322" s="14" t="n">
        <f aca="false">IF(AC321=0,0,AB363*Assumptions!$E$144)</f>
        <v>1170.75625007883</v>
      </c>
      <c r="AD322" s="14" t="n">
        <f aca="false">IF(AD321=0,0,AC363*Assumptions!$E$144)</f>
        <v>1294.51686899457</v>
      </c>
      <c r="AE322" s="14" t="n">
        <f aca="false">IF(AE321=0,0,AD363*Assumptions!$E$144)</f>
        <v>1411.71811535643</v>
      </c>
      <c r="AF322" s="14" t="n">
        <f aca="false">IF(AF321=0,0,AE363*Assumptions!$E$144)</f>
        <v>1494.8290242482</v>
      </c>
      <c r="AG322" s="14" t="n">
        <f aca="false">IF(AG321=0,0,AF363*Assumptions!$E$144)</f>
        <v>1591.97531520926</v>
      </c>
      <c r="AH322" s="14" t="n">
        <f aca="false">IF(AH321=0,0,AG363*Assumptions!$E$144)</f>
        <v>1698.18421264105</v>
      </c>
      <c r="AI322" s="14" t="n">
        <f aca="false">IF(AI321=0,0,AH363*Assumptions!$E$144)</f>
        <v>1795.86019957642</v>
      </c>
      <c r="AJ322" s="14" t="n">
        <f aca="false">IF(AJ321=0,0,AI363*Assumptions!$E$144)</f>
        <v>1903.14074728371</v>
      </c>
      <c r="AK322" s="14" t="n">
        <f aca="false">IF(AK321=0,0,AJ363*Assumptions!$E$144)</f>
        <v>2007.57091411578</v>
      </c>
      <c r="AL322" s="14" t="n">
        <f aca="false">IF(AL321=0,0,AK363*Assumptions!$E$144)</f>
        <v>2102.12651676382</v>
      </c>
    </row>
    <row r="323" customFormat="false" ht="15" hidden="false" customHeight="false" outlineLevel="0" collapsed="false">
      <c r="A323" s="7" t="s">
        <v>772</v>
      </c>
      <c r="B323" s="9" t="s">
        <v>327</v>
      </c>
      <c r="C323" s="52" t="n">
        <f aca="false">C322*C$7</f>
        <v>0</v>
      </c>
      <c r="D323" s="52" t="n">
        <f aca="false">D322*D$7</f>
        <v>0</v>
      </c>
      <c r="E323" s="52" t="n">
        <f aca="false">E322*E$7</f>
        <v>0</v>
      </c>
      <c r="F323" s="52" t="n">
        <f aca="false">F322*F$7</f>
        <v>46.39948125</v>
      </c>
      <c r="G323" s="52" t="n">
        <f aca="false">G322*G$7</f>
        <v>49.293802875</v>
      </c>
      <c r="H323" s="52" t="n">
        <f aca="false">H322*H$7</f>
        <v>69.77963901978</v>
      </c>
      <c r="I323" s="52" t="n">
        <f aca="false">I322*I$7</f>
        <v>94.1583750865782</v>
      </c>
      <c r="J323" s="52" t="n">
        <f aca="false">J322*J$7</f>
        <v>108.091124492072</v>
      </c>
      <c r="K323" s="52" t="n">
        <f aca="false">K322*K$7</f>
        <v>138.125574539195</v>
      </c>
      <c r="L323" s="52" t="n">
        <f aca="false">L322*L$7</f>
        <v>158.499099599204</v>
      </c>
      <c r="M323" s="52" t="n">
        <f aca="false">M322*M$7</f>
        <v>167.597048633031</v>
      </c>
      <c r="N323" s="52" t="n">
        <f aca="false">N322*N$7</f>
        <v>193.04946683872</v>
      </c>
      <c r="O323" s="52" t="n">
        <f aca="false">O322*O$7</f>
        <v>247.405992411362</v>
      </c>
      <c r="P323" s="52" t="n">
        <f aca="false">P322*P$7</f>
        <v>390.248196782278</v>
      </c>
      <c r="Q323" s="52" t="n">
        <f aca="false">Q322*Q$7</f>
        <v>484.596756539701</v>
      </c>
      <c r="R323" s="52" t="n">
        <f aca="false">R322*R$7</f>
        <v>529.650775989098</v>
      </c>
      <c r="S323" s="52" t="n">
        <f aca="false">S322*S$7</f>
        <v>438.227898618865</v>
      </c>
      <c r="T323" s="52" t="n">
        <f aca="false">T322*T$7</f>
        <v>533.791588751953</v>
      </c>
      <c r="U323" s="52" t="n">
        <f aca="false">U322*U$7</f>
        <v>619.206061176538</v>
      </c>
      <c r="V323" s="52" t="n">
        <f aca="false">V322*V$7</f>
        <v>619.76302535396</v>
      </c>
      <c r="W323" s="52" t="n">
        <f aca="false">W322*W$7</f>
        <v>711.970076708036</v>
      </c>
      <c r="X323" s="52" t="n">
        <f aca="false">X322*X$7</f>
        <v>740.073968778859</v>
      </c>
      <c r="Y323" s="52" t="n">
        <f aca="false">Y322*Y$7</f>
        <v>719.394278660593</v>
      </c>
      <c r="Z323" s="52" t="n">
        <f aca="false">Z322*Z$7</f>
        <v>773.093209086493</v>
      </c>
      <c r="AA323" s="52" t="n">
        <f aca="false">AA322*AA$7</f>
        <v>927.95548983091</v>
      </c>
      <c r="AB323" s="52" t="n">
        <f aca="false">AB322*AB$7</f>
        <v>1372.25754855019</v>
      </c>
      <c r="AC323" s="52" t="n">
        <f aca="false">AC322*AC$7</f>
        <v>1580.52093760641</v>
      </c>
      <c r="AD323" s="52" t="n">
        <f aca="false">AD322*AD$7</f>
        <v>1618.14608624321</v>
      </c>
      <c r="AE323" s="52" t="n">
        <f aca="false">AE322*AE$7</f>
        <v>1270.54630382079</v>
      </c>
      <c r="AF323" s="52" t="n">
        <f aca="false">AF322*AF$7</f>
        <v>1494.8290242482</v>
      </c>
      <c r="AG323" s="52" t="n">
        <f aca="false">AG322*AG$7</f>
        <v>1671.57408096973</v>
      </c>
      <c r="AH323" s="52" t="n">
        <f aca="false">AH322*AH$7</f>
        <v>1613.275002009</v>
      </c>
      <c r="AI323" s="52" t="n">
        <f aca="false">AI322*AI$7</f>
        <v>1795.86019957642</v>
      </c>
      <c r="AJ323" s="52" t="n">
        <f aca="false">AJ322*AJ$7</f>
        <v>1807.98370991952</v>
      </c>
      <c r="AK323" s="52" t="n">
        <f aca="false">AK322*AK$7</f>
        <v>1706.43527699842</v>
      </c>
      <c r="AL323" s="52" t="n">
        <f aca="false">AL322*AL$7</f>
        <v>1786.80753924925</v>
      </c>
      <c r="AM323" s="53" t="n">
        <f aca="false">SUMIF($C$6:$AL$6,1,C323:AL323)</f>
        <v>1024.99361233358</v>
      </c>
      <c r="AN323" s="53" t="n">
        <f aca="false">SUMIF($C$6:$AL$6,2,C323:AL323)</f>
        <v>6807.42182885774</v>
      </c>
      <c r="AO323" s="53" t="n">
        <f aca="false">SUMIF($C$6:$AL$6,3,C323:AL323)</f>
        <v>18646.191199022</v>
      </c>
      <c r="AP323" s="53" t="n">
        <f aca="false">SUM(C323:AL323)</f>
        <v>26478.6066402134</v>
      </c>
    </row>
    <row r="324" customFormat="false" ht="15" hidden="false" customHeight="false" outlineLevel="0" collapsed="false">
      <c r="A324" s="7" t="s">
        <v>758</v>
      </c>
      <c r="B324" s="9" t="s">
        <v>96</v>
      </c>
      <c r="C324" s="54" t="n">
        <f aca="false">Assumptions!$E$142*MIN(1,(C$4-Assumptions!$E$141+1)/Assumptions!$C$10)*C321</f>
        <v>-0</v>
      </c>
      <c r="D324" s="54" t="n">
        <f aca="false">Assumptions!$E$142*MIN(1,(D$4-Assumptions!$E$141+1)/Assumptions!$C$10)*D321</f>
        <v>-0</v>
      </c>
      <c r="E324" s="54" t="n">
        <f aca="false">Assumptions!$E$142*MIN(1,(E$4-Assumptions!$E$141+1)/Assumptions!$C$10)*E321</f>
        <v>0</v>
      </c>
      <c r="F324" s="54" t="n">
        <f aca="false">Assumptions!$E$142*MIN(1,(F$4-Assumptions!$E$141+1)/Assumptions!$C$10)*F321</f>
        <v>0.00333333333333333</v>
      </c>
      <c r="G324" s="54" t="n">
        <f aca="false">Assumptions!$E$142*MIN(1,(G$4-Assumptions!$E$141+1)/Assumptions!$C$10)*G321</f>
        <v>0.00666666666666667</v>
      </c>
      <c r="H324" s="54" t="n">
        <f aca="false">Assumptions!$E$142*MIN(1,(H$4-Assumptions!$E$141+1)/Assumptions!$C$10)*H321</f>
        <v>0.01</v>
      </c>
      <c r="I324" s="54" t="n">
        <f aca="false">Assumptions!$E$142*MIN(1,(I$4-Assumptions!$E$141+1)/Assumptions!$C$10)*I321</f>
        <v>0.0133333333333333</v>
      </c>
      <c r="J324" s="54" t="n">
        <f aca="false">Assumptions!$E$142*MIN(1,(J$4-Assumptions!$E$141+1)/Assumptions!$C$10)*J321</f>
        <v>0.0166666666666667</v>
      </c>
      <c r="K324" s="54" t="n">
        <f aca="false">Assumptions!$E$142*MIN(1,(K$4-Assumptions!$E$141+1)/Assumptions!$C$10)*K321</f>
        <v>0.02</v>
      </c>
      <c r="L324" s="54" t="n">
        <f aca="false">Assumptions!$E$142*MIN(1,(L$4-Assumptions!$E$141+1)/Assumptions!$C$10)*L321</f>
        <v>0.02</v>
      </c>
      <c r="M324" s="54" t="n">
        <f aca="false">Assumptions!$E$142*MIN(1,(M$4-Assumptions!$E$141+1)/Assumptions!$C$10)*M321</f>
        <v>0.02</v>
      </c>
      <c r="N324" s="54" t="n">
        <f aca="false">Assumptions!$E$142*MIN(1,(N$4-Assumptions!$E$141+1)/Assumptions!$C$10)*N321</f>
        <v>0.02</v>
      </c>
      <c r="O324" s="54" t="n">
        <f aca="false">Assumptions!$E$142*MIN(1,(O$4-Assumptions!$E$141+1)/Assumptions!$C$10)*O321</f>
        <v>0.02</v>
      </c>
      <c r="P324" s="54" t="n">
        <f aca="false">Assumptions!$E$142*MIN(1,(P$4-Assumptions!$E$141+1)/Assumptions!$C$10)*P321</f>
        <v>0.02</v>
      </c>
      <c r="Q324" s="54" t="n">
        <f aca="false">Assumptions!$E$142*MIN(1,(Q$4-Assumptions!$E$141+1)/Assumptions!$C$10)*Q321</f>
        <v>0.02</v>
      </c>
      <c r="R324" s="54" t="n">
        <f aca="false">Assumptions!$E$142*MIN(1,(R$4-Assumptions!$E$141+1)/Assumptions!$C$10)*R321</f>
        <v>0.02</v>
      </c>
      <c r="S324" s="54" t="n">
        <f aca="false">Assumptions!$E$142*MIN(1,(S$4-Assumptions!$E$141+1)/Assumptions!$C$10)*S321</f>
        <v>0.02</v>
      </c>
      <c r="T324" s="54" t="n">
        <f aca="false">Assumptions!$E$142*MIN(1,(T$4-Assumptions!$E$141+1)/Assumptions!$C$10)*T321</f>
        <v>0.02</v>
      </c>
      <c r="U324" s="54" t="n">
        <f aca="false">Assumptions!$E$142*MIN(1,(U$4-Assumptions!$E$141+1)/Assumptions!$C$10)*U321</f>
        <v>0.02</v>
      </c>
      <c r="V324" s="54" t="n">
        <f aca="false">Assumptions!$E$142*MIN(1,(V$4-Assumptions!$E$141+1)/Assumptions!$C$10)*V321</f>
        <v>0.02</v>
      </c>
      <c r="W324" s="54" t="n">
        <f aca="false">Assumptions!$E$142*MIN(1,(W$4-Assumptions!$E$141+1)/Assumptions!$C$10)*W321</f>
        <v>0.02</v>
      </c>
      <c r="X324" s="54" t="n">
        <f aca="false">Assumptions!$E$142*MIN(1,(X$4-Assumptions!$E$141+1)/Assumptions!$C$10)*X321</f>
        <v>0.02</v>
      </c>
      <c r="Y324" s="54" t="n">
        <f aca="false">Assumptions!$E$142*MIN(1,(Y$4-Assumptions!$E$141+1)/Assumptions!$C$10)*Y321</f>
        <v>0.02</v>
      </c>
      <c r="Z324" s="54" t="n">
        <f aca="false">Assumptions!$E$142*MIN(1,(Z$4-Assumptions!$E$141+1)/Assumptions!$C$10)*Z321</f>
        <v>0.02</v>
      </c>
      <c r="AA324" s="54" t="n">
        <f aca="false">Assumptions!$E$142*MIN(1,(AA$4-Assumptions!$E$141+1)/Assumptions!$C$10)*AA321</f>
        <v>0.02</v>
      </c>
      <c r="AB324" s="54" t="n">
        <f aca="false">Assumptions!$E$142*MIN(1,(AB$4-Assumptions!$E$141+1)/Assumptions!$C$10)*AB321</f>
        <v>0.02</v>
      </c>
      <c r="AC324" s="54" t="n">
        <f aca="false">Assumptions!$E$142*MIN(1,(AC$4-Assumptions!$E$141+1)/Assumptions!$C$10)*AC321</f>
        <v>0.02</v>
      </c>
      <c r="AD324" s="54" t="n">
        <f aca="false">Assumptions!$E$142*MIN(1,(AD$4-Assumptions!$E$141+1)/Assumptions!$C$10)*AD321</f>
        <v>0.02</v>
      </c>
      <c r="AE324" s="54" t="n">
        <f aca="false">Assumptions!$E$142*MIN(1,(AE$4-Assumptions!$E$141+1)/Assumptions!$C$10)*AE321</f>
        <v>0.02</v>
      </c>
      <c r="AF324" s="54" t="n">
        <f aca="false">Assumptions!$E$142*MIN(1,(AF$4-Assumptions!$E$141+1)/Assumptions!$C$10)*AF321</f>
        <v>0.02</v>
      </c>
      <c r="AG324" s="54" t="n">
        <f aca="false">Assumptions!$E$142*MIN(1,(AG$4-Assumptions!$E$141+1)/Assumptions!$C$10)*AG321</f>
        <v>0.02</v>
      </c>
      <c r="AH324" s="54" t="n">
        <f aca="false">Assumptions!$E$142*MIN(1,(AH$4-Assumptions!$E$141+1)/Assumptions!$C$10)*AH321</f>
        <v>0.02</v>
      </c>
      <c r="AI324" s="54" t="n">
        <f aca="false">Assumptions!$E$142*MIN(1,(AI$4-Assumptions!$E$141+1)/Assumptions!$C$10)*AI321</f>
        <v>0.02</v>
      </c>
      <c r="AJ324" s="54" t="n">
        <f aca="false">Assumptions!$E$142*MIN(1,(AJ$4-Assumptions!$E$141+1)/Assumptions!$C$10)*AJ321</f>
        <v>0.02</v>
      </c>
      <c r="AK324" s="54" t="n">
        <f aca="false">Assumptions!$E$142*MIN(1,(AK$4-Assumptions!$E$141+1)/Assumptions!$C$10)*AK321</f>
        <v>0.02</v>
      </c>
      <c r="AL324" s="54" t="n">
        <f aca="false">Assumptions!$E$142*MIN(1,(AL$4-Assumptions!$E$141+1)/Assumptions!$C$10)*AL321</f>
        <v>0.02</v>
      </c>
    </row>
    <row r="325" customFormat="false" ht="15" hidden="false" customHeight="false" outlineLevel="0" collapsed="false">
      <c r="A325" s="7" t="s">
        <v>766</v>
      </c>
      <c r="B325" s="9" t="s">
        <v>760</v>
      </c>
      <c r="C325" s="55" t="n">
        <f aca="false">C323*C324</f>
        <v>-0</v>
      </c>
      <c r="D325" s="55" t="n">
        <f aca="false">D323*D324</f>
        <v>-0</v>
      </c>
      <c r="E325" s="55" t="n">
        <f aca="false">E323*E324</f>
        <v>0</v>
      </c>
      <c r="F325" s="55" t="n">
        <f aca="false">F323*F324</f>
        <v>0.1546649375</v>
      </c>
      <c r="G325" s="55" t="n">
        <f aca="false">G323*G324</f>
        <v>0.3286253525</v>
      </c>
      <c r="H325" s="55" t="n">
        <f aca="false">H323*H324</f>
        <v>0.6977963901978</v>
      </c>
      <c r="I325" s="55" t="n">
        <f aca="false">I323*I324</f>
        <v>1.25544500115438</v>
      </c>
      <c r="J325" s="55" t="n">
        <f aca="false">J323*J324</f>
        <v>1.80151874153453</v>
      </c>
      <c r="K325" s="55" t="n">
        <f aca="false">K323*K324</f>
        <v>2.76251149078389</v>
      </c>
      <c r="L325" s="55" t="n">
        <f aca="false">L323*L324</f>
        <v>3.16998199198408</v>
      </c>
      <c r="M325" s="55" t="n">
        <f aca="false">M323*M324</f>
        <v>3.35194097266062</v>
      </c>
      <c r="N325" s="55" t="n">
        <f aca="false">N323*N324</f>
        <v>3.86098933677441</v>
      </c>
      <c r="O325" s="55" t="n">
        <f aca="false">O323*O324</f>
        <v>4.94811984822725</v>
      </c>
      <c r="P325" s="55" t="n">
        <f aca="false">P323*P324</f>
        <v>7.80496393564556</v>
      </c>
      <c r="Q325" s="55" t="n">
        <f aca="false">Q323*Q324</f>
        <v>9.69193513079402</v>
      </c>
      <c r="R325" s="55" t="n">
        <f aca="false">R323*R324</f>
        <v>10.593015519782</v>
      </c>
      <c r="S325" s="55" t="n">
        <f aca="false">S323*S324</f>
        <v>8.76455797237731</v>
      </c>
      <c r="T325" s="55" t="n">
        <f aca="false">T323*T324</f>
        <v>10.6758317750391</v>
      </c>
      <c r="U325" s="55" t="n">
        <f aca="false">U323*U324</f>
        <v>12.3841212235308</v>
      </c>
      <c r="V325" s="55" t="n">
        <f aca="false">V323*V324</f>
        <v>12.3952605070792</v>
      </c>
      <c r="W325" s="55" t="n">
        <f aca="false">W323*W324</f>
        <v>14.2394015341607</v>
      </c>
      <c r="X325" s="55" t="n">
        <f aca="false">X323*X324</f>
        <v>14.8014793755772</v>
      </c>
      <c r="Y325" s="55" t="n">
        <f aca="false">Y323*Y324</f>
        <v>14.3878855732119</v>
      </c>
      <c r="Z325" s="55" t="n">
        <f aca="false">Z323*Z324</f>
        <v>15.4618641817299</v>
      </c>
      <c r="AA325" s="55" t="n">
        <f aca="false">AA323*AA324</f>
        <v>18.5591097966182</v>
      </c>
      <c r="AB325" s="55" t="n">
        <f aca="false">AB323*AB324</f>
        <v>27.4451509710037</v>
      </c>
      <c r="AC325" s="55" t="n">
        <f aca="false">AC323*AC324</f>
        <v>31.6104187521283</v>
      </c>
      <c r="AD325" s="55" t="n">
        <f aca="false">AD323*AD324</f>
        <v>32.3629217248642</v>
      </c>
      <c r="AE325" s="55" t="n">
        <f aca="false">AE323*AE324</f>
        <v>25.4109260764158</v>
      </c>
      <c r="AF325" s="55" t="n">
        <f aca="false">AF323*AF324</f>
        <v>29.896580484964</v>
      </c>
      <c r="AG325" s="55" t="n">
        <f aca="false">AG323*AG324</f>
        <v>33.4314816193945</v>
      </c>
      <c r="AH325" s="55" t="n">
        <f aca="false">AH323*AH324</f>
        <v>32.26550004018</v>
      </c>
      <c r="AI325" s="55" t="n">
        <f aca="false">AI323*AI324</f>
        <v>35.9172039915283</v>
      </c>
      <c r="AJ325" s="55" t="n">
        <f aca="false">AJ323*AJ324</f>
        <v>36.1596741983904</v>
      </c>
      <c r="AK325" s="55" t="n">
        <f aca="false">AK323*AK324</f>
        <v>34.1287055399683</v>
      </c>
      <c r="AL325" s="55" t="n">
        <f aca="false">AL323*AL324</f>
        <v>35.736150784985</v>
      </c>
      <c r="AM325" s="53" t="n">
        <f aca="false">SUMIF($C$6:$AL$6,1,C325:AL325)</f>
        <v>17.3834742150897</v>
      </c>
      <c r="AN325" s="53" t="n">
        <f aca="false">SUMIF($C$6:$AL$6,2,C325:AL325)</f>
        <v>136.148436577155</v>
      </c>
      <c r="AO325" s="53" t="n">
        <f aca="false">SUMIF($C$6:$AL$6,3,C325:AL325)</f>
        <v>372.923823980441</v>
      </c>
      <c r="AP325" s="53" t="n">
        <f aca="false">SUM(C325:AL325)</f>
        <v>526.455734772685</v>
      </c>
    </row>
    <row r="326" customFormat="false" ht="15" hidden="false" customHeight="false" outlineLevel="0" collapsed="false">
      <c r="A326" s="7" t="s">
        <v>761</v>
      </c>
      <c r="B326" s="9" t="s">
        <v>342</v>
      </c>
      <c r="C326" s="56" t="n">
        <f aca="false">C325*Assumptions!$E$143</f>
        <v>-0</v>
      </c>
      <c r="D326" s="56" t="n">
        <f aca="false">D325*Assumptions!$E$143</f>
        <v>-0</v>
      </c>
      <c r="E326" s="56" t="n">
        <f aca="false">E325*Assumptions!$E$143</f>
        <v>0</v>
      </c>
      <c r="F326" s="56" t="n">
        <f aca="false">F325*Assumptions!$E$143</f>
        <v>0.1546649375</v>
      </c>
      <c r="G326" s="56" t="n">
        <f aca="false">G325*Assumptions!$E$143</f>
        <v>0.3286253525</v>
      </c>
      <c r="H326" s="56" t="n">
        <f aca="false">H325*Assumptions!$E$143</f>
        <v>0.6977963901978</v>
      </c>
      <c r="I326" s="56" t="n">
        <f aca="false">I325*Assumptions!$E$143</f>
        <v>1.25544500115438</v>
      </c>
      <c r="J326" s="56" t="n">
        <f aca="false">J325*Assumptions!$E$143</f>
        <v>1.80151874153453</v>
      </c>
      <c r="K326" s="56" t="n">
        <f aca="false">K325*Assumptions!$E$143</f>
        <v>2.76251149078389</v>
      </c>
      <c r="L326" s="56" t="n">
        <f aca="false">L325*Assumptions!$E$143</f>
        <v>3.16998199198408</v>
      </c>
      <c r="M326" s="56" t="n">
        <f aca="false">M325*Assumptions!$E$143</f>
        <v>3.35194097266062</v>
      </c>
      <c r="N326" s="56" t="n">
        <f aca="false">N325*Assumptions!$E$143</f>
        <v>3.86098933677441</v>
      </c>
      <c r="O326" s="56" t="n">
        <f aca="false">O325*Assumptions!$E$143</f>
        <v>4.94811984822725</v>
      </c>
      <c r="P326" s="56" t="n">
        <f aca="false">P325*Assumptions!$E$143</f>
        <v>7.80496393564556</v>
      </c>
      <c r="Q326" s="56" t="n">
        <f aca="false">Q325*Assumptions!$E$143</f>
        <v>9.69193513079402</v>
      </c>
      <c r="R326" s="56" t="n">
        <f aca="false">R325*Assumptions!$E$143</f>
        <v>10.593015519782</v>
      </c>
      <c r="S326" s="56" t="n">
        <f aca="false">S325*Assumptions!$E$143</f>
        <v>8.76455797237731</v>
      </c>
      <c r="T326" s="56" t="n">
        <f aca="false">T325*Assumptions!$E$143</f>
        <v>10.6758317750391</v>
      </c>
      <c r="U326" s="56" t="n">
        <f aca="false">U325*Assumptions!$E$143</f>
        <v>12.3841212235308</v>
      </c>
      <c r="V326" s="56" t="n">
        <f aca="false">V325*Assumptions!$E$143</f>
        <v>12.3952605070792</v>
      </c>
      <c r="W326" s="56" t="n">
        <f aca="false">W325*Assumptions!$E$143</f>
        <v>14.2394015341607</v>
      </c>
      <c r="X326" s="56" t="n">
        <f aca="false">X325*Assumptions!$E$143</f>
        <v>14.8014793755772</v>
      </c>
      <c r="Y326" s="56" t="n">
        <f aca="false">Y325*Assumptions!$E$143</f>
        <v>14.3878855732119</v>
      </c>
      <c r="Z326" s="56" t="n">
        <f aca="false">Z325*Assumptions!$E$143</f>
        <v>15.4618641817299</v>
      </c>
      <c r="AA326" s="56" t="n">
        <f aca="false">AA325*Assumptions!$E$143</f>
        <v>18.5591097966182</v>
      </c>
      <c r="AB326" s="56" t="n">
        <f aca="false">AB325*Assumptions!$E$143</f>
        <v>27.4451509710037</v>
      </c>
      <c r="AC326" s="56" t="n">
        <f aca="false">AC325*Assumptions!$E$143</f>
        <v>31.6104187521283</v>
      </c>
      <c r="AD326" s="56" t="n">
        <f aca="false">AD325*Assumptions!$E$143</f>
        <v>32.3629217248642</v>
      </c>
      <c r="AE326" s="56" t="n">
        <f aca="false">AE325*Assumptions!$E$143</f>
        <v>25.4109260764158</v>
      </c>
      <c r="AF326" s="56" t="n">
        <f aca="false">AF325*Assumptions!$E$143</f>
        <v>29.896580484964</v>
      </c>
      <c r="AG326" s="56" t="n">
        <f aca="false">AG325*Assumptions!$E$143</f>
        <v>33.4314816193945</v>
      </c>
      <c r="AH326" s="56" t="n">
        <f aca="false">AH325*Assumptions!$E$143</f>
        <v>32.26550004018</v>
      </c>
      <c r="AI326" s="56" t="n">
        <f aca="false">AI325*Assumptions!$E$143</f>
        <v>35.9172039915283</v>
      </c>
      <c r="AJ326" s="56" t="n">
        <f aca="false">AJ325*Assumptions!$E$143</f>
        <v>36.1596741983904</v>
      </c>
      <c r="AK326" s="56" t="n">
        <f aca="false">AK325*Assumptions!$E$143</f>
        <v>34.1287055399683</v>
      </c>
      <c r="AL326" s="56" t="n">
        <f aca="false">AL325*Assumptions!$E$143</f>
        <v>35.736150784985</v>
      </c>
      <c r="AM326" s="53" t="n">
        <f aca="false">SUMIF($C$6:$AL$6,1,C326:AL326)</f>
        <v>17.3834742150897</v>
      </c>
      <c r="AN326" s="53" t="n">
        <f aca="false">SUMIF($C$6:$AL$6,2,C326:AL326)</f>
        <v>136.148436577155</v>
      </c>
      <c r="AO326" s="53" t="n">
        <f aca="false">SUMIF($C$6:$AL$6,3,C326:AL326)</f>
        <v>372.923823980441</v>
      </c>
      <c r="AP326" s="53" t="n">
        <f aca="false">SUM(C326:AL326)</f>
        <v>526.455734772685</v>
      </c>
    </row>
    <row r="327" customFormat="false" ht="15" hidden="false" customHeight="false" outlineLevel="0" collapsed="false">
      <c r="A327" s="7" t="s">
        <v>762</v>
      </c>
      <c r="B327" s="9" t="s">
        <v>101</v>
      </c>
      <c r="C327" s="15" t="n">
        <f aca="false">'Unit Economics'!$E$55*Assumptions!$E$143*C321</f>
        <v>0</v>
      </c>
      <c r="D327" s="15" t="n">
        <f aca="false">'Unit Economics'!$E$55*Assumptions!$E$143*D321</f>
        <v>0</v>
      </c>
      <c r="E327" s="15" t="n">
        <f aca="false">'Unit Economics'!$E$55*Assumptions!$E$143*E321</f>
        <v>0</v>
      </c>
      <c r="F327" s="15" t="n">
        <f aca="false">'Unit Economics'!$E$55*Assumptions!$E$143*F321</f>
        <v>33.6</v>
      </c>
      <c r="G327" s="15" t="n">
        <f aca="false">'Unit Economics'!$E$55*Assumptions!$E$143*G321</f>
        <v>33.6</v>
      </c>
      <c r="H327" s="15" t="n">
        <f aca="false">'Unit Economics'!$E$55*Assumptions!$E$143*H321</f>
        <v>33.6</v>
      </c>
      <c r="I327" s="15" t="n">
        <f aca="false">'Unit Economics'!$E$55*Assumptions!$E$143*I321</f>
        <v>33.6</v>
      </c>
      <c r="J327" s="15" t="n">
        <f aca="false">'Unit Economics'!$E$55*Assumptions!$E$143*J321</f>
        <v>33.6</v>
      </c>
      <c r="K327" s="15" t="n">
        <f aca="false">'Unit Economics'!$E$55*Assumptions!$E$143*K321</f>
        <v>33.6</v>
      </c>
      <c r="L327" s="15" t="n">
        <f aca="false">'Unit Economics'!$E$55*Assumptions!$E$143*L321</f>
        <v>33.6</v>
      </c>
      <c r="M327" s="15" t="n">
        <f aca="false">'Unit Economics'!$E$55*Assumptions!$E$143*M321</f>
        <v>33.6</v>
      </c>
      <c r="N327" s="15" t="n">
        <f aca="false">'Unit Economics'!$E$55*Assumptions!$E$143*N321</f>
        <v>33.6</v>
      </c>
      <c r="O327" s="15" t="n">
        <f aca="false">'Unit Economics'!$E$55*Assumptions!$E$143*O321</f>
        <v>33.6</v>
      </c>
      <c r="P327" s="15" t="n">
        <f aca="false">'Unit Economics'!$E$55*Assumptions!$E$143*P321</f>
        <v>33.6</v>
      </c>
      <c r="Q327" s="15" t="n">
        <f aca="false">'Unit Economics'!$E$55*Assumptions!$E$143*Q321</f>
        <v>33.6</v>
      </c>
      <c r="R327" s="15" t="n">
        <f aca="false">'Unit Economics'!$E$55*Assumptions!$E$143*R321</f>
        <v>33.6</v>
      </c>
      <c r="S327" s="15" t="n">
        <f aca="false">'Unit Economics'!$E$55*Assumptions!$E$143*S321</f>
        <v>33.6</v>
      </c>
      <c r="T327" s="15" t="n">
        <f aca="false">'Unit Economics'!$E$55*Assumptions!$E$143*T321</f>
        <v>33.6</v>
      </c>
      <c r="U327" s="15" t="n">
        <f aca="false">'Unit Economics'!$E$55*Assumptions!$E$143*U321</f>
        <v>33.6</v>
      </c>
      <c r="V327" s="15" t="n">
        <f aca="false">'Unit Economics'!$E$55*Assumptions!$E$143*V321</f>
        <v>33.6</v>
      </c>
      <c r="W327" s="15" t="n">
        <f aca="false">'Unit Economics'!$E$55*Assumptions!$E$143*W321</f>
        <v>33.6</v>
      </c>
      <c r="X327" s="15" t="n">
        <f aca="false">'Unit Economics'!$E$55*Assumptions!$E$143*X321</f>
        <v>33.6</v>
      </c>
      <c r="Y327" s="15" t="n">
        <f aca="false">'Unit Economics'!$E$55*Assumptions!$E$143*Y321</f>
        <v>33.6</v>
      </c>
      <c r="Z327" s="15" t="n">
        <f aca="false">'Unit Economics'!$E$55*Assumptions!$E$143*Z321</f>
        <v>33.6</v>
      </c>
      <c r="AA327" s="15" t="n">
        <f aca="false">'Unit Economics'!$E$55*Assumptions!$E$143*AA321</f>
        <v>33.6</v>
      </c>
      <c r="AB327" s="15" t="n">
        <f aca="false">'Unit Economics'!$E$55*Assumptions!$E$143*AB321</f>
        <v>33.6</v>
      </c>
      <c r="AC327" s="15" t="n">
        <f aca="false">'Unit Economics'!$E$55*Assumptions!$E$143*AC321</f>
        <v>33.6</v>
      </c>
      <c r="AD327" s="15" t="n">
        <f aca="false">'Unit Economics'!$E$55*Assumptions!$E$143*AD321</f>
        <v>33.6</v>
      </c>
      <c r="AE327" s="15" t="n">
        <f aca="false">'Unit Economics'!$E$55*Assumptions!$E$143*AE321</f>
        <v>33.6</v>
      </c>
      <c r="AF327" s="15" t="n">
        <f aca="false">'Unit Economics'!$E$55*Assumptions!$E$143*AF321</f>
        <v>33.6</v>
      </c>
      <c r="AG327" s="15" t="n">
        <f aca="false">'Unit Economics'!$E$55*Assumptions!$E$143*AG321</f>
        <v>33.6</v>
      </c>
      <c r="AH327" s="15" t="n">
        <f aca="false">'Unit Economics'!$E$55*Assumptions!$E$143*AH321</f>
        <v>33.6</v>
      </c>
      <c r="AI327" s="15" t="n">
        <f aca="false">'Unit Economics'!$E$55*Assumptions!$E$143*AI321</f>
        <v>33.6</v>
      </c>
      <c r="AJ327" s="15" t="n">
        <f aca="false">'Unit Economics'!$E$55*Assumptions!$E$143*AJ321</f>
        <v>33.6</v>
      </c>
      <c r="AK327" s="15" t="n">
        <f aca="false">'Unit Economics'!$E$55*Assumptions!$E$143*AK321</f>
        <v>33.6</v>
      </c>
      <c r="AL327" s="15" t="n">
        <f aca="false">'Unit Economics'!$E$55*Assumptions!$E$143*AL321</f>
        <v>33.6</v>
      </c>
    </row>
    <row r="328" customFormat="false" ht="15" hidden="false" customHeight="false" outlineLevel="0" collapsed="false">
      <c r="A328" s="7" t="s">
        <v>763</v>
      </c>
      <c r="B328" s="9" t="s">
        <v>101</v>
      </c>
      <c r="C328" s="8" t="n">
        <f aca="false">C326*'Unit Economics'!$E$55</f>
        <v>-0</v>
      </c>
      <c r="D328" s="8" t="n">
        <f aca="false">D326*'Unit Economics'!$E$55</f>
        <v>-0</v>
      </c>
      <c r="E328" s="8" t="n">
        <f aca="false">E326*'Unit Economics'!$E$55</f>
        <v>0</v>
      </c>
      <c r="F328" s="8" t="n">
        <f aca="false">F326*'Unit Economics'!$E$55</f>
        <v>5.1967419</v>
      </c>
      <c r="G328" s="8" t="n">
        <f aca="false">G326*'Unit Economics'!$E$55</f>
        <v>11.041811844</v>
      </c>
      <c r="H328" s="8" t="n">
        <f aca="false">H326*'Unit Economics'!$E$55</f>
        <v>23.4459587106461</v>
      </c>
      <c r="I328" s="8" t="n">
        <f aca="false">I326*'Unit Economics'!$E$55</f>
        <v>42.182952038787</v>
      </c>
      <c r="J328" s="8" t="n">
        <f aca="false">J326*'Unit Economics'!$E$55</f>
        <v>60.5310297155603</v>
      </c>
      <c r="K328" s="8" t="n">
        <f aca="false">K326*'Unit Economics'!$E$55</f>
        <v>92.8203860903387</v>
      </c>
      <c r="L328" s="8" t="n">
        <f aca="false">L326*'Unit Economics'!$E$55</f>
        <v>106.511394930665</v>
      </c>
      <c r="M328" s="8" t="n">
        <f aca="false">M326*'Unit Economics'!$E$55</f>
        <v>112.625216681397</v>
      </c>
      <c r="N328" s="8" t="n">
        <f aca="false">N326*'Unit Economics'!$E$55</f>
        <v>129.72924171562</v>
      </c>
      <c r="O328" s="8" t="n">
        <f aca="false">O326*'Unit Economics'!$E$55</f>
        <v>166.256826900436</v>
      </c>
      <c r="P328" s="8" t="n">
        <f aca="false">P326*'Unit Economics'!$E$55</f>
        <v>262.246788237691</v>
      </c>
      <c r="Q328" s="8" t="n">
        <f aca="false">Q326*'Unit Economics'!$E$55</f>
        <v>325.649020394679</v>
      </c>
      <c r="R328" s="8" t="n">
        <f aca="false">R326*'Unit Economics'!$E$55</f>
        <v>355.925321464674</v>
      </c>
      <c r="S328" s="8" t="n">
        <f aca="false">S326*'Unit Economics'!$E$55</f>
        <v>294.489147871878</v>
      </c>
      <c r="T328" s="8" t="n">
        <f aca="false">T326*'Unit Economics'!$E$55</f>
        <v>358.707947641313</v>
      </c>
      <c r="U328" s="8" t="n">
        <f aca="false">U326*'Unit Economics'!$E$55</f>
        <v>416.106473110633</v>
      </c>
      <c r="V328" s="8" t="n">
        <f aca="false">V326*'Unit Economics'!$E$55</f>
        <v>416.480753037861</v>
      </c>
      <c r="W328" s="8" t="n">
        <f aca="false">W326*'Unit Economics'!$E$55</f>
        <v>478.4438915478</v>
      </c>
      <c r="X328" s="8" t="n">
        <f aca="false">X326*'Unit Economics'!$E$55</f>
        <v>497.329707019393</v>
      </c>
      <c r="Y328" s="8" t="n">
        <f aca="false">Y326*'Unit Economics'!$E$55</f>
        <v>483.432955259919</v>
      </c>
      <c r="Z328" s="8" t="n">
        <f aca="false">Z326*'Unit Economics'!$E$55</f>
        <v>519.518636506123</v>
      </c>
      <c r="AA328" s="8" t="n">
        <f aca="false">AA326*'Unit Economics'!$E$55</f>
        <v>623.586089166372</v>
      </c>
      <c r="AB328" s="8" t="n">
        <f aca="false">AB326*'Unit Economics'!$E$55</f>
        <v>922.157072625726</v>
      </c>
      <c r="AC328" s="8" t="n">
        <f aca="false">AC326*'Unit Economics'!$E$55</f>
        <v>1062.11007007151</v>
      </c>
      <c r="AD328" s="8" t="n">
        <f aca="false">AD326*'Unit Economics'!$E$55</f>
        <v>1087.39416995544</v>
      </c>
      <c r="AE328" s="8" t="n">
        <f aca="false">AE326*'Unit Economics'!$E$55</f>
        <v>853.807116167569</v>
      </c>
      <c r="AF328" s="8" t="n">
        <f aca="false">AF326*'Unit Economics'!$E$55</f>
        <v>1004.52510429479</v>
      </c>
      <c r="AG328" s="8" t="n">
        <f aca="false">AG326*'Unit Economics'!$E$55</f>
        <v>1123.29778241166</v>
      </c>
      <c r="AH328" s="8" t="n">
        <f aca="false">AH326*'Unit Economics'!$E$55</f>
        <v>1084.12080135005</v>
      </c>
      <c r="AI328" s="8" t="n">
        <f aca="false">AI326*'Unit Economics'!$E$55</f>
        <v>1206.81805411535</v>
      </c>
      <c r="AJ328" s="8" t="n">
        <f aca="false">AJ326*'Unit Economics'!$E$55</f>
        <v>1214.96505306592</v>
      </c>
      <c r="AK328" s="8" t="n">
        <f aca="false">AK326*'Unit Economics'!$E$55</f>
        <v>1146.72450614294</v>
      </c>
      <c r="AL328" s="8" t="n">
        <f aca="false">AL326*'Unit Economics'!$E$55</f>
        <v>1200.7346663755</v>
      </c>
      <c r="AM328" s="45" t="n">
        <f aca="false">SUMIF($C$6:$AL$6,1,C328:AL328)</f>
        <v>584.084733627014</v>
      </c>
      <c r="AN328" s="45" t="n">
        <f aca="false">SUMIF($C$6:$AL$6,2,C328:AL328)</f>
        <v>4574.5874689924</v>
      </c>
      <c r="AO328" s="45" t="n">
        <f aca="false">SUMIF($C$6:$AL$6,3,C328:AL328)</f>
        <v>12530.2404857428</v>
      </c>
      <c r="AP328" s="45" t="n">
        <f aca="false">SUM(C328:AL328)</f>
        <v>17688.9126883622</v>
      </c>
    </row>
    <row r="329" customFormat="false" ht="15" hidden="false" customHeight="false" outlineLevel="0" collapsed="false">
      <c r="A329" s="7" t="s">
        <v>764</v>
      </c>
      <c r="B329" s="9" t="s">
        <v>101</v>
      </c>
      <c r="C329" s="8" t="n">
        <f aca="false">C326*'Unit Economics'!$F$55</f>
        <v>-0</v>
      </c>
      <c r="D329" s="8" t="n">
        <f aca="false">D326*'Unit Economics'!$F$55</f>
        <v>-0</v>
      </c>
      <c r="E329" s="8" t="n">
        <f aca="false">E326*'Unit Economics'!$F$55</f>
        <v>0</v>
      </c>
      <c r="F329" s="8" t="n">
        <f aca="false">F326*'Unit Economics'!$F$55</f>
        <v>4.73979980865</v>
      </c>
      <c r="G329" s="8" t="n">
        <f aca="false">G326*'Unit Economics'!$F$55</f>
        <v>10.070921102574</v>
      </c>
      <c r="H329" s="8" t="n">
        <f aca="false">H326*'Unit Economics'!$F$55</f>
        <v>21.3843890554457</v>
      </c>
      <c r="I329" s="8" t="n">
        <f aca="false">I326*'Unit Economics'!$F$55</f>
        <v>38.4738653273765</v>
      </c>
      <c r="J329" s="8" t="n">
        <f aca="false">J326*'Unit Economics'!$F$55</f>
        <v>55.2086227455706</v>
      </c>
      <c r="K329" s="8" t="n">
        <f aca="false">K326*'Unit Economics'!$F$55</f>
        <v>84.6588221419668</v>
      </c>
      <c r="L329" s="8" t="n">
        <f aca="false">L326*'Unit Economics'!$F$55</f>
        <v>97.1460001335474</v>
      </c>
      <c r="M329" s="8" t="n">
        <f aca="false">M326*'Unit Economics'!$F$55</f>
        <v>102.722242271768</v>
      </c>
      <c r="N329" s="8" t="n">
        <f aca="false">N326*'Unit Economics'!$F$55</f>
        <v>118.322334819054</v>
      </c>
      <c r="O329" s="8" t="n">
        <f aca="false">O326*'Unit Economics'!$F$55</f>
        <v>151.638101620833</v>
      </c>
      <c r="P329" s="8" t="n">
        <f aca="false">P326*'Unit Economics'!$F$55</f>
        <v>239.187802786219</v>
      </c>
      <c r="Q329" s="8" t="n">
        <f aca="false">Q326*'Unit Economics'!$F$55</f>
        <v>297.015167244261</v>
      </c>
      <c r="R329" s="8" t="n">
        <f aca="false">R326*'Unit Economics'!$F$55</f>
        <v>324.62931641303</v>
      </c>
      <c r="S329" s="8" t="n">
        <f aca="false">S326*'Unit Economics'!$F$55</f>
        <v>268.595137798286</v>
      </c>
      <c r="T329" s="8" t="n">
        <f aca="false">T326*'Unit Economics'!$F$55</f>
        <v>327.167270245137</v>
      </c>
      <c r="U329" s="8" t="n">
        <f aca="false">U326*'Unit Economics'!$F$55</f>
        <v>379.518825367834</v>
      </c>
      <c r="V329" s="8" t="n">
        <f aca="false">V326*'Unit Economics'!$F$55</f>
        <v>379.860195395746</v>
      </c>
      <c r="W329" s="8" t="n">
        <f aca="false">W326*'Unit Economics'!$F$55</f>
        <v>436.375003655276</v>
      </c>
      <c r="X329" s="8" t="n">
        <f aca="false">X326*'Unit Economics'!$F$55</f>
        <v>453.600216352188</v>
      </c>
      <c r="Y329" s="8" t="n">
        <f aca="false">Y326*'Unit Economics'!$F$55</f>
        <v>440.925386122422</v>
      </c>
      <c r="Z329" s="8" t="n">
        <f aca="false">Z326*'Unit Economics'!$F$55</f>
        <v>473.83810496762</v>
      </c>
      <c r="AA329" s="8" t="n">
        <f aca="false">AA326*'Unit Economics'!$F$55</f>
        <v>568.755055183243</v>
      </c>
      <c r="AB329" s="8" t="n">
        <f aca="false">AB326*'Unit Economics'!$F$55</f>
        <v>841.073118596992</v>
      </c>
      <c r="AC329" s="8" t="n">
        <f aca="false">AC326*'Unit Economics'!$F$55</f>
        <v>968.720248910223</v>
      </c>
      <c r="AD329" s="8" t="n">
        <f aca="false">AD326*'Unit Economics'!$F$55</f>
        <v>991.781154011499</v>
      </c>
      <c r="AE329" s="8" t="n">
        <f aca="false">AE326*'Unit Economics'!$F$55</f>
        <v>778.733076167407</v>
      </c>
      <c r="AF329" s="8" t="n">
        <f aca="false">AF326*'Unit Economics'!$F$55</f>
        <v>916.198646910013</v>
      </c>
      <c r="AG329" s="8" t="n">
        <f aca="false">AG326*'Unit Economics'!$F$55</f>
        <v>1024.52781311532</v>
      </c>
      <c r="AH329" s="8" t="n">
        <f aca="false">AH326*'Unit Economics'!$F$55</f>
        <v>988.795608031339</v>
      </c>
      <c r="AI329" s="8" t="n">
        <f aca="false">AI326*'Unit Economics'!$F$55</f>
        <v>1100.70426664278</v>
      </c>
      <c r="AJ329" s="8" t="n">
        <f aca="false">AJ326*'Unit Economics'!$F$55</f>
        <v>1108.13491161419</v>
      </c>
      <c r="AK329" s="8" t="n">
        <f aca="false">AK326*'Unit Economics'!$F$55</f>
        <v>1045.89465849565</v>
      </c>
      <c r="AL329" s="8" t="n">
        <f aca="false">AL326*'Unit Economics'!$F$55</f>
        <v>1095.15578249634</v>
      </c>
      <c r="AM329" s="45" t="n">
        <f aca="false">SUMIF($C$6:$AL$6,1,C329:AL329)</f>
        <v>532.726997405953</v>
      </c>
      <c r="AN329" s="45" t="n">
        <f aca="false">SUMIF($C$6:$AL$6,2,C329:AL329)</f>
        <v>4172.35052796885</v>
      </c>
      <c r="AO329" s="45" t="n">
        <f aca="false">SUMIF($C$6:$AL$6,3,C329:AL329)</f>
        <v>11428.474340175</v>
      </c>
      <c r="AP329" s="45" t="n">
        <f aca="false">SUM(C329:AL329)</f>
        <v>16133.5518655498</v>
      </c>
    </row>
    <row r="330" customFormat="false" ht="15" hidden="false" customHeight="false" outlineLevel="0" collapsed="false">
      <c r="A330" s="5" t="s">
        <v>577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</row>
    <row r="331" customFormat="false" ht="15" hidden="false" customHeight="false" outlineLevel="0" collapsed="false">
      <c r="A331" s="7" t="s">
        <v>755</v>
      </c>
      <c r="B331" s="9" t="s">
        <v>319</v>
      </c>
      <c r="C331" s="38" t="n">
        <f aca="false">IF(AND(Assumptions!$E$146=1,C$4&gt;=Assumptions!$E$147),1,0)</f>
        <v>0</v>
      </c>
      <c r="D331" s="38" t="n">
        <f aca="false">IF(AND(Assumptions!$E$146=1,D$4&gt;=Assumptions!$E$147),1,0)</f>
        <v>0</v>
      </c>
      <c r="E331" s="38" t="n">
        <f aca="false">IF(AND(Assumptions!$E$146=1,E$4&gt;=Assumptions!$E$147),1,0)</f>
        <v>0</v>
      </c>
      <c r="F331" s="38" t="n">
        <f aca="false">IF(AND(Assumptions!$E$146=1,F$4&gt;=Assumptions!$E$147),1,0)</f>
        <v>0</v>
      </c>
      <c r="G331" s="38" t="n">
        <f aca="false">IF(AND(Assumptions!$E$146=1,G$4&gt;=Assumptions!$E$147),1,0)</f>
        <v>1</v>
      </c>
      <c r="H331" s="38" t="n">
        <f aca="false">IF(AND(Assumptions!$E$146=1,H$4&gt;=Assumptions!$E$147),1,0)</f>
        <v>1</v>
      </c>
      <c r="I331" s="38" t="n">
        <f aca="false">IF(AND(Assumptions!$E$146=1,I$4&gt;=Assumptions!$E$147),1,0)</f>
        <v>1</v>
      </c>
      <c r="J331" s="38" t="n">
        <f aca="false">IF(AND(Assumptions!$E$146=1,J$4&gt;=Assumptions!$E$147),1,0)</f>
        <v>1</v>
      </c>
      <c r="K331" s="38" t="n">
        <f aca="false">IF(AND(Assumptions!$E$146=1,K$4&gt;=Assumptions!$E$147),1,0)</f>
        <v>1</v>
      </c>
      <c r="L331" s="38" t="n">
        <f aca="false">IF(AND(Assumptions!$E$146=1,L$4&gt;=Assumptions!$E$147),1,0)</f>
        <v>1</v>
      </c>
      <c r="M331" s="38" t="n">
        <f aca="false">IF(AND(Assumptions!$E$146=1,M$4&gt;=Assumptions!$E$147),1,0)</f>
        <v>1</v>
      </c>
      <c r="N331" s="38" t="n">
        <f aca="false">IF(AND(Assumptions!$E$146=1,N$4&gt;=Assumptions!$E$147),1,0)</f>
        <v>1</v>
      </c>
      <c r="O331" s="38" t="n">
        <f aca="false">IF(AND(Assumptions!$E$146=1,O$4&gt;=Assumptions!$E$147),1,0)</f>
        <v>1</v>
      </c>
      <c r="P331" s="38" t="n">
        <f aca="false">IF(AND(Assumptions!$E$146=1,P$4&gt;=Assumptions!$E$147),1,0)</f>
        <v>1</v>
      </c>
      <c r="Q331" s="38" t="n">
        <f aca="false">IF(AND(Assumptions!$E$146=1,Q$4&gt;=Assumptions!$E$147),1,0)</f>
        <v>1</v>
      </c>
      <c r="R331" s="38" t="n">
        <f aca="false">IF(AND(Assumptions!$E$146=1,R$4&gt;=Assumptions!$E$147),1,0)</f>
        <v>1</v>
      </c>
      <c r="S331" s="38" t="n">
        <f aca="false">IF(AND(Assumptions!$E$146=1,S$4&gt;=Assumptions!$E$147),1,0)</f>
        <v>1</v>
      </c>
      <c r="T331" s="38" t="n">
        <f aca="false">IF(AND(Assumptions!$E$146=1,T$4&gt;=Assumptions!$E$147),1,0)</f>
        <v>1</v>
      </c>
      <c r="U331" s="38" t="n">
        <f aca="false">IF(AND(Assumptions!$E$146=1,U$4&gt;=Assumptions!$E$147),1,0)</f>
        <v>1</v>
      </c>
      <c r="V331" s="38" t="n">
        <f aca="false">IF(AND(Assumptions!$E$146=1,V$4&gt;=Assumptions!$E$147),1,0)</f>
        <v>1</v>
      </c>
      <c r="W331" s="38" t="n">
        <f aca="false">IF(AND(Assumptions!$E$146=1,W$4&gt;=Assumptions!$E$147),1,0)</f>
        <v>1</v>
      </c>
      <c r="X331" s="38" t="n">
        <f aca="false">IF(AND(Assumptions!$E$146=1,X$4&gt;=Assumptions!$E$147),1,0)</f>
        <v>1</v>
      </c>
      <c r="Y331" s="38" t="n">
        <f aca="false">IF(AND(Assumptions!$E$146=1,Y$4&gt;=Assumptions!$E$147),1,0)</f>
        <v>1</v>
      </c>
      <c r="Z331" s="38" t="n">
        <f aca="false">IF(AND(Assumptions!$E$146=1,Z$4&gt;=Assumptions!$E$147),1,0)</f>
        <v>1</v>
      </c>
      <c r="AA331" s="38" t="n">
        <f aca="false">IF(AND(Assumptions!$E$146=1,AA$4&gt;=Assumptions!$E$147),1,0)</f>
        <v>1</v>
      </c>
      <c r="AB331" s="38" t="n">
        <f aca="false">IF(AND(Assumptions!$E$146=1,AB$4&gt;=Assumptions!$E$147),1,0)</f>
        <v>1</v>
      </c>
      <c r="AC331" s="38" t="n">
        <f aca="false">IF(AND(Assumptions!$E$146=1,AC$4&gt;=Assumptions!$E$147),1,0)</f>
        <v>1</v>
      </c>
      <c r="AD331" s="38" t="n">
        <f aca="false">IF(AND(Assumptions!$E$146=1,AD$4&gt;=Assumptions!$E$147),1,0)</f>
        <v>1</v>
      </c>
      <c r="AE331" s="38" t="n">
        <f aca="false">IF(AND(Assumptions!$E$146=1,AE$4&gt;=Assumptions!$E$147),1,0)</f>
        <v>1</v>
      </c>
      <c r="AF331" s="38" t="n">
        <f aca="false">IF(AND(Assumptions!$E$146=1,AF$4&gt;=Assumptions!$E$147),1,0)</f>
        <v>1</v>
      </c>
      <c r="AG331" s="38" t="n">
        <f aca="false">IF(AND(Assumptions!$E$146=1,AG$4&gt;=Assumptions!$E$147),1,0)</f>
        <v>1</v>
      </c>
      <c r="AH331" s="38" t="n">
        <f aca="false">IF(AND(Assumptions!$E$146=1,AH$4&gt;=Assumptions!$E$147),1,0)</f>
        <v>1</v>
      </c>
      <c r="AI331" s="38" t="n">
        <f aca="false">IF(AND(Assumptions!$E$146=1,AI$4&gt;=Assumptions!$E$147),1,0)</f>
        <v>1</v>
      </c>
      <c r="AJ331" s="38" t="n">
        <f aca="false">IF(AND(Assumptions!$E$146=1,AJ$4&gt;=Assumptions!$E$147),1,0)</f>
        <v>1</v>
      </c>
      <c r="AK331" s="38" t="n">
        <f aca="false">IF(AND(Assumptions!$E$146=1,AK$4&gt;=Assumptions!$E$147),1,0)</f>
        <v>1</v>
      </c>
      <c r="AL331" s="38" t="n">
        <f aca="false">IF(AND(Assumptions!$E$146=1,AL$4&gt;=Assumptions!$E$147),1,0)</f>
        <v>1</v>
      </c>
    </row>
    <row r="332" customFormat="false" ht="15" hidden="false" customHeight="false" outlineLevel="0" collapsed="false">
      <c r="A332" s="7" t="s">
        <v>756</v>
      </c>
      <c r="B332" s="9" t="s">
        <v>327</v>
      </c>
      <c r="C332" s="14" t="n">
        <f aca="false">IF(C331=0,0,Assumptions!$E$148)</f>
        <v>0</v>
      </c>
      <c r="D332" s="14" t="n">
        <f aca="false">IF(D331=0,0,IF(D$4=Assumptions!$E$147,Assumptions!$E$148,C332*(1+CHOOSE(D$6,Assumptions!$E$149,Assumptions!$E$150,Assumptions!$E$151))))</f>
        <v>0</v>
      </c>
      <c r="E332" s="14" t="n">
        <f aca="false">IF(E331=0,0,IF(E$4=Assumptions!$E$147,Assumptions!$E$148,D332*(1+CHOOSE(E$6,Assumptions!$E$149,Assumptions!$E$150,Assumptions!$E$151))))</f>
        <v>0</v>
      </c>
      <c r="F332" s="14" t="n">
        <f aca="false">IF(F331=0,0,IF(F$4=Assumptions!$E$147,Assumptions!$E$148,E332*(1+CHOOSE(F$6,Assumptions!$E$149,Assumptions!$E$150,Assumptions!$E$151))))</f>
        <v>0</v>
      </c>
      <c r="G332" s="14" t="n">
        <f aca="false">IF(G331=0,0,IF(G$4=Assumptions!$E$147,Assumptions!$E$148,F332*(1+CHOOSE(G$6,Assumptions!$E$149,Assumptions!$E$150,Assumptions!$E$151))))</f>
        <v>500</v>
      </c>
      <c r="H332" s="14" t="n">
        <f aca="false">IF(H331=0,0,IF(H$4=Assumptions!$E$147,Assumptions!$E$148,G332*(1+CHOOSE(H$6,Assumptions!$E$149,Assumptions!$E$150,Assumptions!$E$151))))</f>
        <v>530</v>
      </c>
      <c r="I332" s="14" t="n">
        <f aca="false">IF(I331=0,0,IF(I$4=Assumptions!$E$147,Assumptions!$E$148,H332*(1+CHOOSE(I$6,Assumptions!$E$149,Assumptions!$E$150,Assumptions!$E$151))))</f>
        <v>561.8</v>
      </c>
      <c r="J332" s="14" t="n">
        <f aca="false">IF(J331=0,0,IF(J$4=Assumptions!$E$147,Assumptions!$E$148,I332*(1+CHOOSE(J$6,Assumptions!$E$149,Assumptions!$E$150,Assumptions!$E$151))))</f>
        <v>595.508</v>
      </c>
      <c r="K332" s="14" t="n">
        <f aca="false">IF(K331=0,0,IF(K$4=Assumptions!$E$147,Assumptions!$E$148,J332*(1+CHOOSE(K$6,Assumptions!$E$149,Assumptions!$E$150,Assumptions!$E$151))))</f>
        <v>631.23848</v>
      </c>
      <c r="L332" s="14" t="n">
        <f aca="false">IF(L331=0,0,IF(L$4=Assumptions!$E$147,Assumptions!$E$148,K332*(1+CHOOSE(L$6,Assumptions!$E$149,Assumptions!$E$150,Assumptions!$E$151))))</f>
        <v>669.1127888</v>
      </c>
      <c r="M332" s="14" t="n">
        <f aca="false">IF(M331=0,0,IF(M$4=Assumptions!$E$147,Assumptions!$E$148,L332*(1+CHOOSE(M$6,Assumptions!$E$149,Assumptions!$E$150,Assumptions!$E$151))))</f>
        <v>709.259556128</v>
      </c>
      <c r="N332" s="14" t="n">
        <f aca="false">IF(N331=0,0,IF(N$4=Assumptions!$E$147,Assumptions!$E$148,M332*(1+CHOOSE(N$6,Assumptions!$E$149,Assumptions!$E$150,Assumptions!$E$151))))</f>
        <v>751.81512949568</v>
      </c>
      <c r="O332" s="14" t="n">
        <f aca="false">IF(O331=0,0,IF(O$4=Assumptions!$E$147,Assumptions!$E$148,N332*(1+CHOOSE(O$6,Assumptions!$E$149,Assumptions!$E$150,Assumptions!$E$151))))</f>
        <v>789.405885970464</v>
      </c>
      <c r="P332" s="14" t="n">
        <f aca="false">IF(P331=0,0,IF(P$4=Assumptions!$E$147,Assumptions!$E$148,O332*(1+CHOOSE(P$6,Assumptions!$E$149,Assumptions!$E$150,Assumptions!$E$151))))</f>
        <v>828.876180268988</v>
      </c>
      <c r="Q332" s="14" t="n">
        <f aca="false">IF(Q331=0,0,IF(Q$4=Assumptions!$E$147,Assumptions!$E$148,P332*(1+CHOOSE(Q$6,Assumptions!$E$149,Assumptions!$E$150,Assumptions!$E$151))))</f>
        <v>870.319989282437</v>
      </c>
      <c r="R332" s="14" t="n">
        <f aca="false">IF(R331=0,0,IF(R$4=Assumptions!$E$147,Assumptions!$E$148,Q332*(1+CHOOSE(R$6,Assumptions!$E$149,Assumptions!$E$150,Assumptions!$E$151))))</f>
        <v>913.835988746559</v>
      </c>
      <c r="S332" s="14" t="n">
        <f aca="false">IF(S331=0,0,IF(S$4=Assumptions!$E$147,Assumptions!$E$148,R332*(1+CHOOSE(S$6,Assumptions!$E$149,Assumptions!$E$150,Assumptions!$E$151))))</f>
        <v>959.527788183887</v>
      </c>
      <c r="T332" s="14" t="n">
        <f aca="false">IF(T331=0,0,IF(T$4=Assumptions!$E$147,Assumptions!$E$148,S332*(1+CHOOSE(T$6,Assumptions!$E$149,Assumptions!$E$150,Assumptions!$E$151))))</f>
        <v>1007.50417759308</v>
      </c>
      <c r="U332" s="14" t="n">
        <f aca="false">IF(U331=0,0,IF(U$4=Assumptions!$E$147,Assumptions!$E$148,T332*(1+CHOOSE(U$6,Assumptions!$E$149,Assumptions!$E$150,Assumptions!$E$151))))</f>
        <v>1057.87938647274</v>
      </c>
      <c r="V332" s="14" t="n">
        <f aca="false">IF(V331=0,0,IF(V$4=Assumptions!$E$147,Assumptions!$E$148,U332*(1+CHOOSE(V$6,Assumptions!$E$149,Assumptions!$E$150,Assumptions!$E$151))))</f>
        <v>1110.77335579637</v>
      </c>
      <c r="W332" s="14" t="n">
        <f aca="false">IF(W331=0,0,IF(W$4=Assumptions!$E$147,Assumptions!$E$148,V332*(1+CHOOSE(W$6,Assumptions!$E$149,Assumptions!$E$150,Assumptions!$E$151))))</f>
        <v>1166.31202358619</v>
      </c>
      <c r="X332" s="14" t="n">
        <f aca="false">IF(X331=0,0,IF(X$4=Assumptions!$E$147,Assumptions!$E$148,W332*(1+CHOOSE(X$6,Assumptions!$E$149,Assumptions!$E$150,Assumptions!$E$151))))</f>
        <v>1224.6276247655</v>
      </c>
      <c r="Y332" s="14" t="n">
        <f aca="false">IF(Y331=0,0,IF(Y$4=Assumptions!$E$147,Assumptions!$E$148,X332*(1+CHOOSE(Y$6,Assumptions!$E$149,Assumptions!$E$150,Assumptions!$E$151))))</f>
        <v>1285.85900600378</v>
      </c>
      <c r="Z332" s="14" t="n">
        <f aca="false">IF(Z331=0,0,IF(Z$4=Assumptions!$E$147,Assumptions!$E$148,Y332*(1+CHOOSE(Z$6,Assumptions!$E$149,Assumptions!$E$150,Assumptions!$E$151))))</f>
        <v>1350.15195630396</v>
      </c>
      <c r="AA332" s="14" t="n">
        <f aca="false">IF(AA331=0,0,IF(AA$4=Assumptions!$E$147,Assumptions!$E$148,Z332*(1+CHOOSE(AA$6,Assumptions!$E$149,Assumptions!$E$150,Assumptions!$E$151))))</f>
        <v>1390.65651499308</v>
      </c>
      <c r="AB332" s="14" t="n">
        <f aca="false">IF(AB331=0,0,IF(AB$4=Assumptions!$E$147,Assumptions!$E$148,AA332*(1+CHOOSE(AB$6,Assumptions!$E$149,Assumptions!$E$150,Assumptions!$E$151))))</f>
        <v>1432.37621044288</v>
      </c>
      <c r="AC332" s="14" t="n">
        <f aca="false">IF(AC331=0,0,IF(AC$4=Assumptions!$E$147,Assumptions!$E$148,AB332*(1+CHOOSE(AC$6,Assumptions!$E$149,Assumptions!$E$150,Assumptions!$E$151))))</f>
        <v>1475.34749675616</v>
      </c>
      <c r="AD332" s="14" t="n">
        <f aca="false">IF(AD331=0,0,IF(AD$4=Assumptions!$E$147,Assumptions!$E$148,AC332*(1+CHOOSE(AD$6,Assumptions!$E$149,Assumptions!$E$150,Assumptions!$E$151))))</f>
        <v>1519.60792165885</v>
      </c>
      <c r="AE332" s="14" t="n">
        <f aca="false">IF(AE331=0,0,IF(AE$4=Assumptions!$E$147,Assumptions!$E$148,AD332*(1+CHOOSE(AE$6,Assumptions!$E$149,Assumptions!$E$150,Assumptions!$E$151))))</f>
        <v>1565.19615930861</v>
      </c>
      <c r="AF332" s="14" t="n">
        <f aca="false">IF(AF331=0,0,IF(AF$4=Assumptions!$E$147,Assumptions!$E$148,AE332*(1+CHOOSE(AF$6,Assumptions!$E$149,Assumptions!$E$150,Assumptions!$E$151))))</f>
        <v>1612.15204408787</v>
      </c>
      <c r="AG332" s="14" t="n">
        <f aca="false">IF(AG331=0,0,IF(AG$4=Assumptions!$E$147,Assumptions!$E$148,AF332*(1+CHOOSE(AG$6,Assumptions!$E$149,Assumptions!$E$150,Assumptions!$E$151))))</f>
        <v>1660.51660541051</v>
      </c>
      <c r="AH332" s="14" t="n">
        <f aca="false">IF(AH331=0,0,IF(AH$4=Assumptions!$E$147,Assumptions!$E$148,AG332*(1+CHOOSE(AH$6,Assumptions!$E$149,Assumptions!$E$150,Assumptions!$E$151))))</f>
        <v>1710.33210357282</v>
      </c>
      <c r="AI332" s="14" t="n">
        <f aca="false">IF(AI331=0,0,IF(AI$4=Assumptions!$E$147,Assumptions!$E$148,AH332*(1+CHOOSE(AI$6,Assumptions!$E$149,Assumptions!$E$150,Assumptions!$E$151))))</f>
        <v>1761.64206668001</v>
      </c>
      <c r="AJ332" s="14" t="n">
        <f aca="false">IF(AJ331=0,0,IF(AJ$4=Assumptions!$E$147,Assumptions!$E$148,AI332*(1+CHOOSE(AJ$6,Assumptions!$E$149,Assumptions!$E$150,Assumptions!$E$151))))</f>
        <v>1814.49132868041</v>
      </c>
      <c r="AK332" s="14" t="n">
        <f aca="false">IF(AK331=0,0,IF(AK$4=Assumptions!$E$147,Assumptions!$E$148,AJ332*(1+CHOOSE(AK$6,Assumptions!$E$149,Assumptions!$E$150,Assumptions!$E$151))))</f>
        <v>1868.92606854082</v>
      </c>
      <c r="AL332" s="14" t="n">
        <f aca="false">IF(AL331=0,0,IF(AL$4=Assumptions!$E$147,Assumptions!$E$148,AK332*(1+CHOOSE(AL$6,Assumptions!$E$149,Assumptions!$E$150,Assumptions!$E$151))))</f>
        <v>1924.99385059704</v>
      </c>
    </row>
    <row r="333" customFormat="false" ht="15" hidden="false" customHeight="false" outlineLevel="0" collapsed="false">
      <c r="A333" s="7" t="s">
        <v>773</v>
      </c>
      <c r="B333" s="9" t="s">
        <v>327</v>
      </c>
      <c r="C333" s="52" t="n">
        <f aca="false">C332*C$7</f>
        <v>0</v>
      </c>
      <c r="D333" s="52" t="n">
        <f aca="false">D332*D$7</f>
        <v>0</v>
      </c>
      <c r="E333" s="52" t="n">
        <f aca="false">E332*E$7</f>
        <v>0</v>
      </c>
      <c r="F333" s="52" t="n">
        <f aca="false">F332*F$7</f>
        <v>0</v>
      </c>
      <c r="G333" s="52" t="n">
        <f aca="false">G332*G$7</f>
        <v>450</v>
      </c>
      <c r="H333" s="52" t="n">
        <f aca="false">H332*H$7</f>
        <v>530</v>
      </c>
      <c r="I333" s="52" t="n">
        <f aca="false">I332*I$7</f>
        <v>589.89</v>
      </c>
      <c r="J333" s="52" t="n">
        <f aca="false">J332*J$7</f>
        <v>565.7326</v>
      </c>
      <c r="K333" s="52" t="n">
        <f aca="false">K332*K$7</f>
        <v>631.23848</v>
      </c>
      <c r="L333" s="52" t="n">
        <f aca="false">L332*L$7</f>
        <v>635.65714936</v>
      </c>
      <c r="M333" s="52" t="n">
        <f aca="false">M332*M$7</f>
        <v>602.8706227088</v>
      </c>
      <c r="N333" s="52" t="n">
        <f aca="false">N332*N$7</f>
        <v>639.042860071328</v>
      </c>
      <c r="O333" s="52" t="n">
        <f aca="false">O332*O$7</f>
        <v>749.935591671941</v>
      </c>
      <c r="P333" s="52" t="n">
        <f aca="false">P332*P$7</f>
        <v>1077.53903434968</v>
      </c>
      <c r="Q333" s="52" t="n">
        <f aca="false">Q332*Q$7</f>
        <v>1174.93198553129</v>
      </c>
      <c r="R333" s="52" t="n">
        <f aca="false">R332*R$7</f>
        <v>1142.2949859332</v>
      </c>
      <c r="S333" s="52" t="n">
        <f aca="false">S332*S$7</f>
        <v>863.575009365498</v>
      </c>
      <c r="T333" s="52" t="n">
        <f aca="false">T332*T$7</f>
        <v>1007.50417759308</v>
      </c>
      <c r="U333" s="52" t="n">
        <f aca="false">U332*U$7</f>
        <v>1110.77335579637</v>
      </c>
      <c r="V333" s="52" t="n">
        <f aca="false">V332*V$7</f>
        <v>1055.23468800655</v>
      </c>
      <c r="W333" s="52" t="n">
        <f aca="false">W332*W$7</f>
        <v>1166.31202358619</v>
      </c>
      <c r="X333" s="52" t="n">
        <f aca="false">X332*X$7</f>
        <v>1163.39624352723</v>
      </c>
      <c r="Y333" s="52" t="n">
        <f aca="false">Y332*Y$7</f>
        <v>1092.98015510321</v>
      </c>
      <c r="Z333" s="52" t="n">
        <f aca="false">Z332*Z$7</f>
        <v>1147.62916285837</v>
      </c>
      <c r="AA333" s="52" t="n">
        <f aca="false">AA332*AA$7</f>
        <v>1321.12368924343</v>
      </c>
      <c r="AB333" s="52" t="n">
        <f aca="false">AB332*AB$7</f>
        <v>1862.08907357574</v>
      </c>
      <c r="AC333" s="52" t="n">
        <f aca="false">AC332*AC$7</f>
        <v>1991.71912062082</v>
      </c>
      <c r="AD333" s="52" t="n">
        <f aca="false">AD332*AD$7</f>
        <v>1899.50990207356</v>
      </c>
      <c r="AE333" s="52" t="n">
        <f aca="false">AE332*AE$7</f>
        <v>1408.67654337775</v>
      </c>
      <c r="AF333" s="52" t="n">
        <f aca="false">AF332*AF$7</f>
        <v>1612.15204408787</v>
      </c>
      <c r="AG333" s="52" t="n">
        <f aca="false">AG332*AG$7</f>
        <v>1743.54243568103</v>
      </c>
      <c r="AH333" s="52" t="n">
        <f aca="false">AH332*AH$7</f>
        <v>1624.81549839418</v>
      </c>
      <c r="AI333" s="52" t="n">
        <f aca="false">AI332*AI$7</f>
        <v>1761.64206668001</v>
      </c>
      <c r="AJ333" s="52" t="n">
        <f aca="false">AJ332*AJ$7</f>
        <v>1723.76676224639</v>
      </c>
      <c r="AK333" s="52" t="n">
        <f aca="false">AK332*AK$7</f>
        <v>1588.5871582597</v>
      </c>
      <c r="AL333" s="52" t="n">
        <f aca="false">AL332*AL$7</f>
        <v>1636.24477300749</v>
      </c>
      <c r="AM333" s="53" t="n">
        <f aca="false">SUMIF($C$6:$AL$6,1,C333:AL333)</f>
        <v>4644.43171214013</v>
      </c>
      <c r="AN333" s="53" t="n">
        <f aca="false">SUMIF($C$6:$AL$6,2,C333:AL333)</f>
        <v>12752.1064133226</v>
      </c>
      <c r="AO333" s="53" t="n">
        <f aca="false">SUMIF($C$6:$AL$6,3,C333:AL333)</f>
        <v>20173.869067248</v>
      </c>
      <c r="AP333" s="53" t="n">
        <f aca="false">SUM(C333:AL333)</f>
        <v>37570.4071927107</v>
      </c>
    </row>
    <row r="334" customFormat="false" ht="15" hidden="false" customHeight="false" outlineLevel="0" collapsed="false">
      <c r="A334" s="7" t="s">
        <v>758</v>
      </c>
      <c r="B334" s="9" t="s">
        <v>96</v>
      </c>
      <c r="C334" s="54" t="n">
        <f aca="false">Assumptions!$E$152*MIN(1,(C$4-Assumptions!$E$147+1)/Assumptions!$C$10)*C331</f>
        <v>-0</v>
      </c>
      <c r="D334" s="54" t="n">
        <f aca="false">Assumptions!$E$152*MIN(1,(D$4-Assumptions!$E$147+1)/Assumptions!$C$10)*D331</f>
        <v>-0</v>
      </c>
      <c r="E334" s="54" t="n">
        <f aca="false">Assumptions!$E$152*MIN(1,(E$4-Assumptions!$E$147+1)/Assumptions!$C$10)*E331</f>
        <v>-0</v>
      </c>
      <c r="F334" s="54" t="n">
        <f aca="false">Assumptions!$E$152*MIN(1,(F$4-Assumptions!$E$147+1)/Assumptions!$C$10)*F331</f>
        <v>0</v>
      </c>
      <c r="G334" s="54" t="n">
        <f aca="false">Assumptions!$E$152*MIN(1,(G$4-Assumptions!$E$147+1)/Assumptions!$C$10)*G331</f>
        <v>0.005</v>
      </c>
      <c r="H334" s="54" t="n">
        <f aca="false">Assumptions!$E$152*MIN(1,(H$4-Assumptions!$E$147+1)/Assumptions!$C$10)*H331</f>
        <v>0.01</v>
      </c>
      <c r="I334" s="54" t="n">
        <f aca="false">Assumptions!$E$152*MIN(1,(I$4-Assumptions!$E$147+1)/Assumptions!$C$10)*I331</f>
        <v>0.015</v>
      </c>
      <c r="J334" s="54" t="n">
        <f aca="false">Assumptions!$E$152*MIN(1,(J$4-Assumptions!$E$147+1)/Assumptions!$C$10)*J331</f>
        <v>0.02</v>
      </c>
      <c r="K334" s="54" t="n">
        <f aca="false">Assumptions!$E$152*MIN(1,(K$4-Assumptions!$E$147+1)/Assumptions!$C$10)*K331</f>
        <v>0.025</v>
      </c>
      <c r="L334" s="54" t="n">
        <f aca="false">Assumptions!$E$152*MIN(1,(L$4-Assumptions!$E$147+1)/Assumptions!$C$10)*L331</f>
        <v>0.03</v>
      </c>
      <c r="M334" s="54" t="n">
        <f aca="false">Assumptions!$E$152*MIN(1,(M$4-Assumptions!$E$147+1)/Assumptions!$C$10)*M331</f>
        <v>0.03</v>
      </c>
      <c r="N334" s="54" t="n">
        <f aca="false">Assumptions!$E$152*MIN(1,(N$4-Assumptions!$E$147+1)/Assumptions!$C$10)*N331</f>
        <v>0.03</v>
      </c>
      <c r="O334" s="54" t="n">
        <f aca="false">Assumptions!$E$152*MIN(1,(O$4-Assumptions!$E$147+1)/Assumptions!$C$10)*O331</f>
        <v>0.03</v>
      </c>
      <c r="P334" s="54" t="n">
        <f aca="false">Assumptions!$E$152*MIN(1,(P$4-Assumptions!$E$147+1)/Assumptions!$C$10)*P331</f>
        <v>0.03</v>
      </c>
      <c r="Q334" s="54" t="n">
        <f aca="false">Assumptions!$E$152*MIN(1,(Q$4-Assumptions!$E$147+1)/Assumptions!$C$10)*Q331</f>
        <v>0.03</v>
      </c>
      <c r="R334" s="54" t="n">
        <f aca="false">Assumptions!$E$152*MIN(1,(R$4-Assumptions!$E$147+1)/Assumptions!$C$10)*R331</f>
        <v>0.03</v>
      </c>
      <c r="S334" s="54" t="n">
        <f aca="false">Assumptions!$E$152*MIN(1,(S$4-Assumptions!$E$147+1)/Assumptions!$C$10)*S331</f>
        <v>0.03</v>
      </c>
      <c r="T334" s="54" t="n">
        <f aca="false">Assumptions!$E$152*MIN(1,(T$4-Assumptions!$E$147+1)/Assumptions!$C$10)*T331</f>
        <v>0.03</v>
      </c>
      <c r="U334" s="54" t="n">
        <f aca="false">Assumptions!$E$152*MIN(1,(U$4-Assumptions!$E$147+1)/Assumptions!$C$10)*U331</f>
        <v>0.03</v>
      </c>
      <c r="V334" s="54" t="n">
        <f aca="false">Assumptions!$E$152*MIN(1,(V$4-Assumptions!$E$147+1)/Assumptions!$C$10)*V331</f>
        <v>0.03</v>
      </c>
      <c r="W334" s="54" t="n">
        <f aca="false">Assumptions!$E$152*MIN(1,(W$4-Assumptions!$E$147+1)/Assumptions!$C$10)*W331</f>
        <v>0.03</v>
      </c>
      <c r="X334" s="54" t="n">
        <f aca="false">Assumptions!$E$152*MIN(1,(X$4-Assumptions!$E$147+1)/Assumptions!$C$10)*X331</f>
        <v>0.03</v>
      </c>
      <c r="Y334" s="54" t="n">
        <f aca="false">Assumptions!$E$152*MIN(1,(Y$4-Assumptions!$E$147+1)/Assumptions!$C$10)*Y331</f>
        <v>0.03</v>
      </c>
      <c r="Z334" s="54" t="n">
        <f aca="false">Assumptions!$E$152*MIN(1,(Z$4-Assumptions!$E$147+1)/Assumptions!$C$10)*Z331</f>
        <v>0.03</v>
      </c>
      <c r="AA334" s="54" t="n">
        <f aca="false">Assumptions!$E$152*MIN(1,(AA$4-Assumptions!$E$147+1)/Assumptions!$C$10)*AA331</f>
        <v>0.03</v>
      </c>
      <c r="AB334" s="54" t="n">
        <f aca="false">Assumptions!$E$152*MIN(1,(AB$4-Assumptions!$E$147+1)/Assumptions!$C$10)*AB331</f>
        <v>0.03</v>
      </c>
      <c r="AC334" s="54" t="n">
        <f aca="false">Assumptions!$E$152*MIN(1,(AC$4-Assumptions!$E$147+1)/Assumptions!$C$10)*AC331</f>
        <v>0.03</v>
      </c>
      <c r="AD334" s="54" t="n">
        <f aca="false">Assumptions!$E$152*MIN(1,(AD$4-Assumptions!$E$147+1)/Assumptions!$C$10)*AD331</f>
        <v>0.03</v>
      </c>
      <c r="AE334" s="54" t="n">
        <f aca="false">Assumptions!$E$152*MIN(1,(AE$4-Assumptions!$E$147+1)/Assumptions!$C$10)*AE331</f>
        <v>0.03</v>
      </c>
      <c r="AF334" s="54" t="n">
        <f aca="false">Assumptions!$E$152*MIN(1,(AF$4-Assumptions!$E$147+1)/Assumptions!$C$10)*AF331</f>
        <v>0.03</v>
      </c>
      <c r="AG334" s="54" t="n">
        <f aca="false">Assumptions!$E$152*MIN(1,(AG$4-Assumptions!$E$147+1)/Assumptions!$C$10)*AG331</f>
        <v>0.03</v>
      </c>
      <c r="AH334" s="54" t="n">
        <f aca="false">Assumptions!$E$152*MIN(1,(AH$4-Assumptions!$E$147+1)/Assumptions!$C$10)*AH331</f>
        <v>0.03</v>
      </c>
      <c r="AI334" s="54" t="n">
        <f aca="false">Assumptions!$E$152*MIN(1,(AI$4-Assumptions!$E$147+1)/Assumptions!$C$10)*AI331</f>
        <v>0.03</v>
      </c>
      <c r="AJ334" s="54" t="n">
        <f aca="false">Assumptions!$E$152*MIN(1,(AJ$4-Assumptions!$E$147+1)/Assumptions!$C$10)*AJ331</f>
        <v>0.03</v>
      </c>
      <c r="AK334" s="54" t="n">
        <f aca="false">Assumptions!$E$152*MIN(1,(AK$4-Assumptions!$E$147+1)/Assumptions!$C$10)*AK331</f>
        <v>0.03</v>
      </c>
      <c r="AL334" s="54" t="n">
        <f aca="false">Assumptions!$E$152*MIN(1,(AL$4-Assumptions!$E$147+1)/Assumptions!$C$10)*AL331</f>
        <v>0.03</v>
      </c>
    </row>
    <row r="335" customFormat="false" ht="15" hidden="false" customHeight="false" outlineLevel="0" collapsed="false">
      <c r="A335" s="7" t="s">
        <v>766</v>
      </c>
      <c r="B335" s="9" t="s">
        <v>760</v>
      </c>
      <c r="C335" s="55" t="n">
        <f aca="false">C333*C334</f>
        <v>-0</v>
      </c>
      <c r="D335" s="55" t="n">
        <f aca="false">D333*D334</f>
        <v>-0</v>
      </c>
      <c r="E335" s="55" t="n">
        <f aca="false">E333*E334</f>
        <v>-0</v>
      </c>
      <c r="F335" s="55" t="n">
        <f aca="false">F333*F334</f>
        <v>0</v>
      </c>
      <c r="G335" s="55" t="n">
        <f aca="false">G333*G334</f>
        <v>2.25</v>
      </c>
      <c r="H335" s="55" t="n">
        <f aca="false">H333*H334</f>
        <v>5.3</v>
      </c>
      <c r="I335" s="55" t="n">
        <f aca="false">I333*I334</f>
        <v>8.84835</v>
      </c>
      <c r="J335" s="55" t="n">
        <f aca="false">J333*J334</f>
        <v>11.314652</v>
      </c>
      <c r="K335" s="55" t="n">
        <f aca="false">K333*K334</f>
        <v>15.780962</v>
      </c>
      <c r="L335" s="55" t="n">
        <f aca="false">L333*L334</f>
        <v>19.0697144808</v>
      </c>
      <c r="M335" s="55" t="n">
        <f aca="false">M333*M334</f>
        <v>18.086118681264</v>
      </c>
      <c r="N335" s="55" t="n">
        <f aca="false">N333*N334</f>
        <v>19.1712858021398</v>
      </c>
      <c r="O335" s="55" t="n">
        <f aca="false">O333*O334</f>
        <v>22.4980677501582</v>
      </c>
      <c r="P335" s="55" t="n">
        <f aca="false">P333*P334</f>
        <v>32.3261710304905</v>
      </c>
      <c r="Q335" s="55" t="n">
        <f aca="false">Q333*Q334</f>
        <v>35.2479595659387</v>
      </c>
      <c r="R335" s="55" t="n">
        <f aca="false">R333*R334</f>
        <v>34.268849577996</v>
      </c>
      <c r="S335" s="55" t="n">
        <f aca="false">S333*S334</f>
        <v>25.9072502809649</v>
      </c>
      <c r="T335" s="55" t="n">
        <f aca="false">T333*T334</f>
        <v>30.2251253277924</v>
      </c>
      <c r="U335" s="55" t="n">
        <f aca="false">U333*U334</f>
        <v>33.3232006738912</v>
      </c>
      <c r="V335" s="55" t="n">
        <f aca="false">V333*V334</f>
        <v>31.6570406401966</v>
      </c>
      <c r="W335" s="55" t="n">
        <f aca="false">W333*W334</f>
        <v>34.9893607075857</v>
      </c>
      <c r="X335" s="55" t="n">
        <f aca="false">X333*X334</f>
        <v>34.9018873058168</v>
      </c>
      <c r="Y335" s="55" t="n">
        <f aca="false">Y333*Y334</f>
        <v>32.7894046530963</v>
      </c>
      <c r="Z335" s="55" t="n">
        <f aca="false">Z333*Z334</f>
        <v>34.4288748857511</v>
      </c>
      <c r="AA335" s="55" t="n">
        <f aca="false">AA333*AA334</f>
        <v>39.6337106773029</v>
      </c>
      <c r="AB335" s="55" t="n">
        <f aca="false">AB333*AB334</f>
        <v>55.8626722072722</v>
      </c>
      <c r="AC335" s="55" t="n">
        <f aca="false">AC333*AC334</f>
        <v>59.7515736186246</v>
      </c>
      <c r="AD335" s="55" t="n">
        <f aca="false">AD333*AD334</f>
        <v>56.9852970622068</v>
      </c>
      <c r="AE335" s="55" t="n">
        <f aca="false">AE333*AE334</f>
        <v>42.2602963013325</v>
      </c>
      <c r="AF335" s="55" t="n">
        <f aca="false">AF333*AF334</f>
        <v>48.3645613226361</v>
      </c>
      <c r="AG335" s="55" t="n">
        <f aca="false">AG333*AG334</f>
        <v>52.306273070431</v>
      </c>
      <c r="AH335" s="55" t="n">
        <f aca="false">AH333*AH334</f>
        <v>48.7444649518254</v>
      </c>
      <c r="AI335" s="55" t="n">
        <f aca="false">AI333*AI334</f>
        <v>52.8492620004002</v>
      </c>
      <c r="AJ335" s="55" t="n">
        <f aca="false">AJ333*AJ334</f>
        <v>51.7130028673916</v>
      </c>
      <c r="AK335" s="55" t="n">
        <f aca="false">AK333*AK334</f>
        <v>47.6576147477909</v>
      </c>
      <c r="AL335" s="55" t="n">
        <f aca="false">AL333*AL334</f>
        <v>49.0873431902246</v>
      </c>
      <c r="AM335" s="53" t="n">
        <f aca="false">SUMIF($C$6:$AL$6,1,C335:AL335)</f>
        <v>99.8210829642039</v>
      </c>
      <c r="AN335" s="53" t="n">
        <f aca="false">SUMIF($C$6:$AL$6,2,C335:AL335)</f>
        <v>382.563192399678</v>
      </c>
      <c r="AO335" s="53" t="n">
        <f aca="false">SUMIF($C$6:$AL$6,3,C335:AL335)</f>
        <v>605.216072017439</v>
      </c>
      <c r="AP335" s="53" t="n">
        <f aca="false">SUM(C335:AL335)</f>
        <v>1087.60034738132</v>
      </c>
    </row>
    <row r="336" customFormat="false" ht="15" hidden="false" customHeight="false" outlineLevel="0" collapsed="false">
      <c r="A336" s="7" t="s">
        <v>761</v>
      </c>
      <c r="B336" s="9" t="s">
        <v>342</v>
      </c>
      <c r="C336" s="56" t="n">
        <f aca="false">C335*Assumptions!$E$153</f>
        <v>-0</v>
      </c>
      <c r="D336" s="56" t="n">
        <f aca="false">D335*Assumptions!$E$153</f>
        <v>-0</v>
      </c>
      <c r="E336" s="56" t="n">
        <f aca="false">E335*Assumptions!$E$153</f>
        <v>-0</v>
      </c>
      <c r="F336" s="56" t="n">
        <f aca="false">F335*Assumptions!$E$153</f>
        <v>0</v>
      </c>
      <c r="G336" s="56" t="n">
        <f aca="false">G335*Assumptions!$E$153</f>
        <v>2.925</v>
      </c>
      <c r="H336" s="56" t="n">
        <f aca="false">H335*Assumptions!$E$153</f>
        <v>6.89</v>
      </c>
      <c r="I336" s="56" t="n">
        <f aca="false">I335*Assumptions!$E$153</f>
        <v>11.502855</v>
      </c>
      <c r="J336" s="56" t="n">
        <f aca="false">J335*Assumptions!$E$153</f>
        <v>14.7090476</v>
      </c>
      <c r="K336" s="56" t="n">
        <f aca="false">K335*Assumptions!$E$153</f>
        <v>20.5152506</v>
      </c>
      <c r="L336" s="56" t="n">
        <f aca="false">L335*Assumptions!$E$153</f>
        <v>24.79062882504</v>
      </c>
      <c r="M336" s="56" t="n">
        <f aca="false">M335*Assumptions!$E$153</f>
        <v>23.5119542856432</v>
      </c>
      <c r="N336" s="56" t="n">
        <f aca="false">N335*Assumptions!$E$153</f>
        <v>24.9226715427818</v>
      </c>
      <c r="O336" s="56" t="n">
        <f aca="false">O335*Assumptions!$E$153</f>
        <v>29.2474880752057</v>
      </c>
      <c r="P336" s="56" t="n">
        <f aca="false">P335*Assumptions!$E$153</f>
        <v>42.0240223396377</v>
      </c>
      <c r="Q336" s="56" t="n">
        <f aca="false">Q335*Assumptions!$E$153</f>
        <v>45.8223474357203</v>
      </c>
      <c r="R336" s="56" t="n">
        <f aca="false">R335*Assumptions!$E$153</f>
        <v>44.5495044513947</v>
      </c>
      <c r="S336" s="56" t="n">
        <f aca="false">S335*Assumptions!$E$153</f>
        <v>33.6794253652544</v>
      </c>
      <c r="T336" s="56" t="n">
        <f aca="false">T335*Assumptions!$E$153</f>
        <v>39.2926629261302</v>
      </c>
      <c r="U336" s="56" t="n">
        <f aca="false">U335*Assumptions!$E$153</f>
        <v>43.3201608760585</v>
      </c>
      <c r="V336" s="56" t="n">
        <f aca="false">V335*Assumptions!$E$153</f>
        <v>41.1541528322556</v>
      </c>
      <c r="W336" s="56" t="n">
        <f aca="false">W335*Assumptions!$E$153</f>
        <v>45.4861689198614</v>
      </c>
      <c r="X336" s="56" t="n">
        <f aca="false">X335*Assumptions!$E$153</f>
        <v>45.3724534975618</v>
      </c>
      <c r="Y336" s="56" t="n">
        <f aca="false">Y335*Assumptions!$E$153</f>
        <v>42.6262260490252</v>
      </c>
      <c r="Z336" s="56" t="n">
        <f aca="false">Z335*Assumptions!$E$153</f>
        <v>44.7575373514764</v>
      </c>
      <c r="AA336" s="56" t="n">
        <f aca="false">AA335*Assumptions!$E$153</f>
        <v>51.5238238804937</v>
      </c>
      <c r="AB336" s="56" t="n">
        <f aca="false">AB335*Assumptions!$E$153</f>
        <v>72.6214738694538</v>
      </c>
      <c r="AC336" s="56" t="n">
        <f aca="false">AC335*Assumptions!$E$153</f>
        <v>77.677045704212</v>
      </c>
      <c r="AD336" s="56" t="n">
        <f aca="false">AD335*Assumptions!$E$153</f>
        <v>74.0808861808688</v>
      </c>
      <c r="AE336" s="56" t="n">
        <f aca="false">AE335*Assumptions!$E$153</f>
        <v>54.9383851917323</v>
      </c>
      <c r="AF336" s="56" t="n">
        <f aca="false">AF335*Assumptions!$E$153</f>
        <v>62.873929719427</v>
      </c>
      <c r="AG336" s="56" t="n">
        <f aca="false">AG335*Assumptions!$E$153</f>
        <v>67.9981549915603</v>
      </c>
      <c r="AH336" s="56" t="n">
        <f aca="false">AH335*Assumptions!$E$153</f>
        <v>63.3678044373731</v>
      </c>
      <c r="AI336" s="56" t="n">
        <f aca="false">AI335*Assumptions!$E$153</f>
        <v>68.7040406005203</v>
      </c>
      <c r="AJ336" s="56" t="n">
        <f aca="false">AJ335*Assumptions!$E$153</f>
        <v>67.2269037276091</v>
      </c>
      <c r="AK336" s="56" t="n">
        <f aca="false">AK335*Assumptions!$E$153</f>
        <v>61.9548991721282</v>
      </c>
      <c r="AL336" s="56" t="n">
        <f aca="false">AL335*Assumptions!$E$153</f>
        <v>63.813546147292</v>
      </c>
      <c r="AM336" s="53" t="n">
        <f aca="false">SUMIF($C$6:$AL$6,1,C336:AL336)</f>
        <v>129.767407853465</v>
      </c>
      <c r="AN336" s="53" t="n">
        <f aca="false">SUMIF($C$6:$AL$6,2,C336:AL336)</f>
        <v>497.332150119582</v>
      </c>
      <c r="AO336" s="53" t="n">
        <f aca="false">SUMIF($C$6:$AL$6,3,C336:AL336)</f>
        <v>786.780893622671</v>
      </c>
      <c r="AP336" s="53" t="n">
        <f aca="false">SUM(C336:AL336)</f>
        <v>1413.88045159572</v>
      </c>
    </row>
    <row r="337" customFormat="false" ht="15" hidden="false" customHeight="false" outlineLevel="0" collapsed="false">
      <c r="A337" s="7" t="s">
        <v>762</v>
      </c>
      <c r="B337" s="9" t="s">
        <v>101</v>
      </c>
      <c r="C337" s="15" t="n">
        <f aca="false">'Unit Economics'!$E$56*Assumptions!$E$153*C331</f>
        <v>0</v>
      </c>
      <c r="D337" s="15" t="n">
        <f aca="false">'Unit Economics'!$E$56*Assumptions!$E$153*D331</f>
        <v>0</v>
      </c>
      <c r="E337" s="15" t="n">
        <f aca="false">'Unit Economics'!$E$56*Assumptions!$E$153*E331</f>
        <v>0</v>
      </c>
      <c r="F337" s="15" t="n">
        <f aca="false">'Unit Economics'!$E$56*Assumptions!$E$153*F331</f>
        <v>0</v>
      </c>
      <c r="G337" s="15" t="n">
        <f aca="false">'Unit Economics'!$E$56*Assumptions!$E$153*G331</f>
        <v>16.887</v>
      </c>
      <c r="H337" s="15" t="n">
        <f aca="false">'Unit Economics'!$E$56*Assumptions!$E$153*H331</f>
        <v>16.887</v>
      </c>
      <c r="I337" s="15" t="n">
        <f aca="false">'Unit Economics'!$E$56*Assumptions!$E$153*I331</f>
        <v>16.887</v>
      </c>
      <c r="J337" s="15" t="n">
        <f aca="false">'Unit Economics'!$E$56*Assumptions!$E$153*J331</f>
        <v>16.887</v>
      </c>
      <c r="K337" s="15" t="n">
        <f aca="false">'Unit Economics'!$E$56*Assumptions!$E$153*K331</f>
        <v>16.887</v>
      </c>
      <c r="L337" s="15" t="n">
        <f aca="false">'Unit Economics'!$E$56*Assumptions!$E$153*L331</f>
        <v>16.887</v>
      </c>
      <c r="M337" s="15" t="n">
        <f aca="false">'Unit Economics'!$E$56*Assumptions!$E$153*M331</f>
        <v>16.887</v>
      </c>
      <c r="N337" s="15" t="n">
        <f aca="false">'Unit Economics'!$E$56*Assumptions!$E$153*N331</f>
        <v>16.887</v>
      </c>
      <c r="O337" s="15" t="n">
        <f aca="false">'Unit Economics'!$E$56*Assumptions!$E$153*O331</f>
        <v>16.887</v>
      </c>
      <c r="P337" s="15" t="n">
        <f aca="false">'Unit Economics'!$E$56*Assumptions!$E$153*P331</f>
        <v>16.887</v>
      </c>
      <c r="Q337" s="15" t="n">
        <f aca="false">'Unit Economics'!$E$56*Assumptions!$E$153*Q331</f>
        <v>16.887</v>
      </c>
      <c r="R337" s="15" t="n">
        <f aca="false">'Unit Economics'!$E$56*Assumptions!$E$153*R331</f>
        <v>16.887</v>
      </c>
      <c r="S337" s="15" t="n">
        <f aca="false">'Unit Economics'!$E$56*Assumptions!$E$153*S331</f>
        <v>16.887</v>
      </c>
      <c r="T337" s="15" t="n">
        <f aca="false">'Unit Economics'!$E$56*Assumptions!$E$153*T331</f>
        <v>16.887</v>
      </c>
      <c r="U337" s="15" t="n">
        <f aca="false">'Unit Economics'!$E$56*Assumptions!$E$153*U331</f>
        <v>16.887</v>
      </c>
      <c r="V337" s="15" t="n">
        <f aca="false">'Unit Economics'!$E$56*Assumptions!$E$153*V331</f>
        <v>16.887</v>
      </c>
      <c r="W337" s="15" t="n">
        <f aca="false">'Unit Economics'!$E$56*Assumptions!$E$153*W331</f>
        <v>16.887</v>
      </c>
      <c r="X337" s="15" t="n">
        <f aca="false">'Unit Economics'!$E$56*Assumptions!$E$153*X331</f>
        <v>16.887</v>
      </c>
      <c r="Y337" s="15" t="n">
        <f aca="false">'Unit Economics'!$E$56*Assumptions!$E$153*Y331</f>
        <v>16.887</v>
      </c>
      <c r="Z337" s="15" t="n">
        <f aca="false">'Unit Economics'!$E$56*Assumptions!$E$153*Z331</f>
        <v>16.887</v>
      </c>
      <c r="AA337" s="15" t="n">
        <f aca="false">'Unit Economics'!$E$56*Assumptions!$E$153*AA331</f>
        <v>16.887</v>
      </c>
      <c r="AB337" s="15" t="n">
        <f aca="false">'Unit Economics'!$E$56*Assumptions!$E$153*AB331</f>
        <v>16.887</v>
      </c>
      <c r="AC337" s="15" t="n">
        <f aca="false">'Unit Economics'!$E$56*Assumptions!$E$153*AC331</f>
        <v>16.887</v>
      </c>
      <c r="AD337" s="15" t="n">
        <f aca="false">'Unit Economics'!$E$56*Assumptions!$E$153*AD331</f>
        <v>16.887</v>
      </c>
      <c r="AE337" s="15" t="n">
        <f aca="false">'Unit Economics'!$E$56*Assumptions!$E$153*AE331</f>
        <v>16.887</v>
      </c>
      <c r="AF337" s="15" t="n">
        <f aca="false">'Unit Economics'!$E$56*Assumptions!$E$153*AF331</f>
        <v>16.887</v>
      </c>
      <c r="AG337" s="15" t="n">
        <f aca="false">'Unit Economics'!$E$56*Assumptions!$E$153*AG331</f>
        <v>16.887</v>
      </c>
      <c r="AH337" s="15" t="n">
        <f aca="false">'Unit Economics'!$E$56*Assumptions!$E$153*AH331</f>
        <v>16.887</v>
      </c>
      <c r="AI337" s="15" t="n">
        <f aca="false">'Unit Economics'!$E$56*Assumptions!$E$153*AI331</f>
        <v>16.887</v>
      </c>
      <c r="AJ337" s="15" t="n">
        <f aca="false">'Unit Economics'!$E$56*Assumptions!$E$153*AJ331</f>
        <v>16.887</v>
      </c>
      <c r="AK337" s="15" t="n">
        <f aca="false">'Unit Economics'!$E$56*Assumptions!$E$153*AK331</f>
        <v>16.887</v>
      </c>
      <c r="AL337" s="15" t="n">
        <f aca="false">'Unit Economics'!$E$56*Assumptions!$E$153*AL331</f>
        <v>16.887</v>
      </c>
    </row>
    <row r="338" customFormat="false" ht="15" hidden="false" customHeight="false" outlineLevel="0" collapsed="false">
      <c r="A338" s="7" t="s">
        <v>763</v>
      </c>
      <c r="B338" s="9" t="s">
        <v>101</v>
      </c>
      <c r="C338" s="8" t="n">
        <f aca="false">C336*'Unit Economics'!$E$56</f>
        <v>-0</v>
      </c>
      <c r="D338" s="8" t="n">
        <f aca="false">D336*'Unit Economics'!$E$56</f>
        <v>-0</v>
      </c>
      <c r="E338" s="8" t="n">
        <f aca="false">E336*'Unit Economics'!$E$56</f>
        <v>-0</v>
      </c>
      <c r="F338" s="8" t="n">
        <f aca="false">F336*'Unit Economics'!$E$56</f>
        <v>0</v>
      </c>
      <c r="G338" s="8" t="n">
        <f aca="false">G336*'Unit Economics'!$E$56</f>
        <v>37.99575</v>
      </c>
      <c r="H338" s="8" t="n">
        <f aca="false">H336*'Unit Economics'!$E$56</f>
        <v>89.5011</v>
      </c>
      <c r="I338" s="8" t="n">
        <f aca="false">I336*'Unit Economics'!$E$56</f>
        <v>149.42208645</v>
      </c>
      <c r="J338" s="8" t="n">
        <f aca="false">J336*'Unit Economics'!$E$56</f>
        <v>191.070528324</v>
      </c>
      <c r="K338" s="8" t="n">
        <f aca="false">K336*'Unit Economics'!$E$56</f>
        <v>266.493105294</v>
      </c>
      <c r="L338" s="8" t="n">
        <f aca="false">L336*'Unit Economics'!$E$56</f>
        <v>322.03026843727</v>
      </c>
      <c r="M338" s="8" t="n">
        <f aca="false">M336*'Unit Economics'!$E$56</f>
        <v>305.420286170505</v>
      </c>
      <c r="N338" s="8" t="n">
        <f aca="false">N336*'Unit Economics'!$E$56</f>
        <v>323.745503340736</v>
      </c>
      <c r="O338" s="8" t="n">
        <f aca="false">O336*'Unit Economics'!$E$56</f>
        <v>379.924870096922</v>
      </c>
      <c r="P338" s="8" t="n">
        <f aca="false">P336*'Unit Economics'!$E$56</f>
        <v>545.892050191893</v>
      </c>
      <c r="Q338" s="8" t="n">
        <f aca="false">Q336*'Unit Economics'!$E$56</f>
        <v>595.232293190007</v>
      </c>
      <c r="R338" s="8" t="n">
        <f aca="false">R336*'Unit Economics'!$E$56</f>
        <v>578.698062823618</v>
      </c>
      <c r="S338" s="8" t="n">
        <f aca="false">S336*'Unit Economics'!$E$56</f>
        <v>437.495735494655</v>
      </c>
      <c r="T338" s="8" t="n">
        <f aca="false">T336*'Unit Economics'!$E$56</f>
        <v>510.411691410431</v>
      </c>
      <c r="U338" s="8" t="n">
        <f aca="false">U336*'Unit Economics'!$E$56</f>
        <v>562.72888978</v>
      </c>
      <c r="V338" s="8" t="n">
        <f aca="false">V336*'Unit Economics'!$E$56</f>
        <v>534.592445291</v>
      </c>
      <c r="W338" s="8" t="n">
        <f aca="false">W336*'Unit Economics'!$E$56</f>
        <v>590.865334269</v>
      </c>
      <c r="X338" s="8" t="n">
        <f aca="false">X336*'Unit Economics'!$E$56</f>
        <v>589.388170933328</v>
      </c>
      <c r="Y338" s="8" t="n">
        <f aca="false">Y336*'Unit Economics'!$E$56</f>
        <v>553.714676376837</v>
      </c>
      <c r="Z338" s="8" t="n">
        <f aca="false">Z336*'Unit Economics'!$E$56</f>
        <v>581.400410195679</v>
      </c>
      <c r="AA338" s="8" t="n">
        <f aca="false">AA336*'Unit Economics'!$E$56</f>
        <v>669.294472207614</v>
      </c>
      <c r="AB338" s="8" t="n">
        <f aca="false">AB336*'Unit Economics'!$E$56</f>
        <v>943.352945564205</v>
      </c>
      <c r="AC338" s="8" t="n">
        <f aca="false">AC336*'Unit Economics'!$E$56</f>
        <v>1009.02482369771</v>
      </c>
      <c r="AD338" s="8" t="n">
        <f aca="false">AD336*'Unit Economics'!$E$56</f>
        <v>962.310711489486</v>
      </c>
      <c r="AE338" s="8" t="n">
        <f aca="false">AE336*'Unit Economics'!$E$56</f>
        <v>713.649623640603</v>
      </c>
      <c r="AF338" s="8" t="n">
        <f aca="false">AF336*'Unit Economics'!$E$56</f>
        <v>816.732347055356</v>
      </c>
      <c r="AG338" s="8" t="n">
        <f aca="false">AG336*'Unit Economics'!$E$56</f>
        <v>883.296033340368</v>
      </c>
      <c r="AH338" s="8" t="n">
        <f aca="false">AH336*'Unit Economics'!$E$56</f>
        <v>823.147779641476</v>
      </c>
      <c r="AI338" s="8" t="n">
        <f aca="false">AI336*'Unit Economics'!$E$56</f>
        <v>892.465487400759</v>
      </c>
      <c r="AJ338" s="8" t="n">
        <f aca="false">AJ336*'Unit Economics'!$E$56</f>
        <v>873.277479421642</v>
      </c>
      <c r="AK338" s="8" t="n">
        <f aca="false">AK336*'Unit Economics'!$E$56</f>
        <v>804.794140245945</v>
      </c>
      <c r="AL338" s="8" t="n">
        <f aca="false">AL336*'Unit Economics'!$E$56</f>
        <v>828.937964453324</v>
      </c>
      <c r="AM338" s="45" t="n">
        <f aca="false">SUMIF($C$6:$AL$6,1,C338:AL338)</f>
        <v>1685.67862801651</v>
      </c>
      <c r="AN338" s="45" t="n">
        <f aca="false">SUMIF($C$6:$AL$6,2,C338:AL338)</f>
        <v>6460.34463005337</v>
      </c>
      <c r="AO338" s="45" t="n">
        <f aca="false">SUMIF($C$6:$AL$6,3,C338:AL338)</f>
        <v>10220.2838081585</v>
      </c>
      <c r="AP338" s="45" t="n">
        <f aca="false">SUM(C338:AL338)</f>
        <v>18366.3070662284</v>
      </c>
    </row>
    <row r="339" customFormat="false" ht="15" hidden="false" customHeight="false" outlineLevel="0" collapsed="false">
      <c r="A339" s="7" t="s">
        <v>764</v>
      </c>
      <c r="B339" s="9" t="s">
        <v>101</v>
      </c>
      <c r="C339" s="8" t="n">
        <f aca="false">C336*'Unit Economics'!$F$56</f>
        <v>-0</v>
      </c>
      <c r="D339" s="8" t="n">
        <f aca="false">D336*'Unit Economics'!$F$56</f>
        <v>-0</v>
      </c>
      <c r="E339" s="8" t="n">
        <f aca="false">E336*'Unit Economics'!$F$56</f>
        <v>-0</v>
      </c>
      <c r="F339" s="8" t="n">
        <f aca="false">F336*'Unit Economics'!$F$56</f>
        <v>0</v>
      </c>
      <c r="G339" s="8" t="n">
        <f aca="false">G336*'Unit Economics'!$F$56</f>
        <v>13.23180495</v>
      </c>
      <c r="H339" s="8" t="n">
        <f aca="false">H336*'Unit Economics'!$F$56</f>
        <v>31.16825166</v>
      </c>
      <c r="I339" s="8" t="n">
        <f aca="false">I336*'Unit Economics'!$F$56</f>
        <v>52.03539614637</v>
      </c>
      <c r="J339" s="8" t="n">
        <f aca="false">J336*'Unit Economics'!$F$56</f>
        <v>66.5392303738344</v>
      </c>
      <c r="K339" s="8" t="n">
        <f aca="false">K336*'Unit Economics'!$F$56</f>
        <v>92.8047160477164</v>
      </c>
      <c r="L339" s="8" t="n">
        <f aca="false">L336*'Unit Economics'!$F$56</f>
        <v>112.145218872061</v>
      </c>
      <c r="M339" s="8" t="n">
        <f aca="false">M336*'Unit Economics'!$F$56</f>
        <v>106.360886530238</v>
      </c>
      <c r="N339" s="8" t="n">
        <f aca="false">N336*'Unit Economics'!$F$56</f>
        <v>112.742539722053</v>
      </c>
      <c r="O339" s="8" t="n">
        <f aca="false">O336*'Unit Economics'!$F$56</f>
        <v>132.30668632088</v>
      </c>
      <c r="P339" s="8" t="n">
        <f aca="false">P336*'Unit Economics'!$F$56</f>
        <v>190.103817713685</v>
      </c>
      <c r="Q339" s="8" t="n">
        <f aca="false">Q336*'Unit Economics'!$F$56</f>
        <v>207.286278160883</v>
      </c>
      <c r="R339" s="8" t="n">
        <f aca="false">R336*'Unit Economics'!$F$56</f>
        <v>201.528325989748</v>
      </c>
      <c r="S339" s="8" t="n">
        <f aca="false">S336*'Unit Economics'!$F$56</f>
        <v>152.355414448249</v>
      </c>
      <c r="T339" s="8" t="n">
        <f aca="false">T336*'Unit Economics'!$F$56</f>
        <v>177.747983522957</v>
      </c>
      <c r="U339" s="8" t="n">
        <f aca="false">U336*'Unit Economics'!$F$56</f>
        <v>195.967151834061</v>
      </c>
      <c r="V339" s="8" t="n">
        <f aca="false">V336*'Unit Economics'!$F$56</f>
        <v>186.168794242358</v>
      </c>
      <c r="W339" s="8" t="n">
        <f aca="false">W336*'Unit Economics'!$F$56</f>
        <v>205.765509425764</v>
      </c>
      <c r="X339" s="8" t="n">
        <f aca="false">X336*'Unit Economics'!$F$56</f>
        <v>205.251095652199</v>
      </c>
      <c r="Y339" s="8" t="n">
        <f aca="false">Y336*'Unit Economics'!$F$56</f>
        <v>192.828003020619</v>
      </c>
      <c r="Z339" s="8" t="n">
        <f aca="false">Z336*'Unit Economics'!$F$56</f>
        <v>202.46940317165</v>
      </c>
      <c r="AA339" s="8" t="n">
        <f aca="false">AA336*'Unit Economics'!$F$56</f>
        <v>233.078012945246</v>
      </c>
      <c r="AB339" s="8" t="n">
        <f aca="false">AB336*'Unit Economics'!$F$56</f>
        <v>328.517325614405</v>
      </c>
      <c r="AC339" s="8" t="n">
        <f aca="false">AC336*'Unit Economics'!$F$56</f>
        <v>351.387185589869</v>
      </c>
      <c r="AD339" s="8" t="n">
        <f aca="false">AD336*'Unit Economics'!$F$56</f>
        <v>335.119260331079</v>
      </c>
      <c r="AE339" s="8" t="n">
        <f aca="false">AE336*'Unit Economics'!$F$56</f>
        <v>248.524443461528</v>
      </c>
      <c r="AF339" s="8" t="n">
        <f aca="false">AF336*'Unit Economics'!$F$56</f>
        <v>284.422418628193</v>
      </c>
      <c r="AG339" s="8" t="n">
        <f aca="false">AG336*'Unit Economics'!$F$56</f>
        <v>307.602845746391</v>
      </c>
      <c r="AH339" s="8" t="n">
        <f aca="false">AH336*'Unit Economics'!$F$56</f>
        <v>286.656556726518</v>
      </c>
      <c r="AI339" s="8" t="n">
        <f aca="false">AI336*'Unit Economics'!$F$56</f>
        <v>310.79605624033</v>
      </c>
      <c r="AJ339" s="8" t="n">
        <f aca="false">AJ336*'Unit Economics'!$F$56</f>
        <v>304.113941031163</v>
      </c>
      <c r="AK339" s="8" t="n">
        <f aca="false">AK336*'Unit Economics'!$F$56</f>
        <v>280.265005655561</v>
      </c>
      <c r="AL339" s="8" t="n">
        <f aca="false">AL336*'Unit Economics'!$F$56</f>
        <v>288.672955825228</v>
      </c>
      <c r="AM339" s="45" t="n">
        <f aca="false">SUMIF($C$6:$AL$6,1,C339:AL339)</f>
        <v>587.028044302273</v>
      </c>
      <c r="AN339" s="45" t="n">
        <f aca="false">SUMIF($C$6:$AL$6,2,C339:AL339)</f>
        <v>2249.77846350305</v>
      </c>
      <c r="AO339" s="45" t="n">
        <f aca="false">SUMIF($C$6:$AL$6,3,C339:AL339)</f>
        <v>3559.15600779551</v>
      </c>
      <c r="AP339" s="45" t="n">
        <f aca="false">SUM(C339:AL339)</f>
        <v>6395.96251560084</v>
      </c>
    </row>
    <row r="340" customFormat="false" ht="15" hidden="false" customHeight="false" outlineLevel="0" collapsed="false">
      <c r="A340" s="5" t="s">
        <v>578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</row>
    <row r="341" customFormat="false" ht="15" hidden="false" customHeight="false" outlineLevel="0" collapsed="false">
      <c r="A341" s="7" t="s">
        <v>755</v>
      </c>
      <c r="B341" s="9" t="s">
        <v>319</v>
      </c>
      <c r="C341" s="38" t="n">
        <f aca="false">IF(AND(Assumptions!$E$155=1,C$4&gt;=Assumptions!$E$156),1,0)</f>
        <v>0</v>
      </c>
      <c r="D341" s="38" t="n">
        <f aca="false">IF(AND(Assumptions!$E$155=1,D$4&gt;=Assumptions!$E$156),1,0)</f>
        <v>0</v>
      </c>
      <c r="E341" s="38" t="n">
        <f aca="false">IF(AND(Assumptions!$E$155=1,E$4&gt;=Assumptions!$E$156),1,0)</f>
        <v>0</v>
      </c>
      <c r="F341" s="38" t="n">
        <f aca="false">IF(AND(Assumptions!$E$155=1,F$4&gt;=Assumptions!$E$156),1,0)</f>
        <v>0</v>
      </c>
      <c r="G341" s="38" t="n">
        <f aca="false">IF(AND(Assumptions!$E$155=1,G$4&gt;=Assumptions!$E$156),1,0)</f>
        <v>0</v>
      </c>
      <c r="H341" s="38" t="n">
        <f aca="false">IF(AND(Assumptions!$E$155=1,H$4&gt;=Assumptions!$E$156),1,0)</f>
        <v>0</v>
      </c>
      <c r="I341" s="38" t="n">
        <f aca="false">IF(AND(Assumptions!$E$155=1,I$4&gt;=Assumptions!$E$156),1,0)</f>
        <v>0</v>
      </c>
      <c r="J341" s="38" t="n">
        <f aca="false">IF(AND(Assumptions!$E$155=1,J$4&gt;=Assumptions!$E$156),1,0)</f>
        <v>0</v>
      </c>
      <c r="K341" s="38" t="n">
        <f aca="false">IF(AND(Assumptions!$E$155=1,K$4&gt;=Assumptions!$E$156),1,0)</f>
        <v>0</v>
      </c>
      <c r="L341" s="38" t="n">
        <f aca="false">IF(AND(Assumptions!$E$155=1,L$4&gt;=Assumptions!$E$156),1,0)</f>
        <v>1</v>
      </c>
      <c r="M341" s="38" t="n">
        <f aca="false">IF(AND(Assumptions!$E$155=1,M$4&gt;=Assumptions!$E$156),1,0)</f>
        <v>1</v>
      </c>
      <c r="N341" s="38" t="n">
        <f aca="false">IF(AND(Assumptions!$E$155=1,N$4&gt;=Assumptions!$E$156),1,0)</f>
        <v>1</v>
      </c>
      <c r="O341" s="38" t="n">
        <f aca="false">IF(AND(Assumptions!$E$155=1,O$4&gt;=Assumptions!$E$156),1,0)</f>
        <v>1</v>
      </c>
      <c r="P341" s="38" t="n">
        <f aca="false">IF(AND(Assumptions!$E$155=1,P$4&gt;=Assumptions!$E$156),1,0)</f>
        <v>1</v>
      </c>
      <c r="Q341" s="38" t="n">
        <f aca="false">IF(AND(Assumptions!$E$155=1,Q$4&gt;=Assumptions!$E$156),1,0)</f>
        <v>1</v>
      </c>
      <c r="R341" s="38" t="n">
        <f aca="false">IF(AND(Assumptions!$E$155=1,R$4&gt;=Assumptions!$E$156),1,0)</f>
        <v>1</v>
      </c>
      <c r="S341" s="38" t="n">
        <f aca="false">IF(AND(Assumptions!$E$155=1,S$4&gt;=Assumptions!$E$156),1,0)</f>
        <v>1</v>
      </c>
      <c r="T341" s="38" t="n">
        <f aca="false">IF(AND(Assumptions!$E$155=1,T$4&gt;=Assumptions!$E$156),1,0)</f>
        <v>1</v>
      </c>
      <c r="U341" s="38" t="n">
        <f aca="false">IF(AND(Assumptions!$E$155=1,U$4&gt;=Assumptions!$E$156),1,0)</f>
        <v>1</v>
      </c>
      <c r="V341" s="38" t="n">
        <f aca="false">IF(AND(Assumptions!$E$155=1,V$4&gt;=Assumptions!$E$156),1,0)</f>
        <v>1</v>
      </c>
      <c r="W341" s="38" t="n">
        <f aca="false">IF(AND(Assumptions!$E$155=1,W$4&gt;=Assumptions!$E$156),1,0)</f>
        <v>1</v>
      </c>
      <c r="X341" s="38" t="n">
        <f aca="false">IF(AND(Assumptions!$E$155=1,X$4&gt;=Assumptions!$E$156),1,0)</f>
        <v>1</v>
      </c>
      <c r="Y341" s="38" t="n">
        <f aca="false">IF(AND(Assumptions!$E$155=1,Y$4&gt;=Assumptions!$E$156),1,0)</f>
        <v>1</v>
      </c>
      <c r="Z341" s="38" t="n">
        <f aca="false">IF(AND(Assumptions!$E$155=1,Z$4&gt;=Assumptions!$E$156),1,0)</f>
        <v>1</v>
      </c>
      <c r="AA341" s="38" t="n">
        <f aca="false">IF(AND(Assumptions!$E$155=1,AA$4&gt;=Assumptions!$E$156),1,0)</f>
        <v>1</v>
      </c>
      <c r="AB341" s="38" t="n">
        <f aca="false">IF(AND(Assumptions!$E$155=1,AB$4&gt;=Assumptions!$E$156),1,0)</f>
        <v>1</v>
      </c>
      <c r="AC341" s="38" t="n">
        <f aca="false">IF(AND(Assumptions!$E$155=1,AC$4&gt;=Assumptions!$E$156),1,0)</f>
        <v>1</v>
      </c>
      <c r="AD341" s="38" t="n">
        <f aca="false">IF(AND(Assumptions!$E$155=1,AD$4&gt;=Assumptions!$E$156),1,0)</f>
        <v>1</v>
      </c>
      <c r="AE341" s="38" t="n">
        <f aca="false">IF(AND(Assumptions!$E$155=1,AE$4&gt;=Assumptions!$E$156),1,0)</f>
        <v>1</v>
      </c>
      <c r="AF341" s="38" t="n">
        <f aca="false">IF(AND(Assumptions!$E$155=1,AF$4&gt;=Assumptions!$E$156),1,0)</f>
        <v>1</v>
      </c>
      <c r="AG341" s="38" t="n">
        <f aca="false">IF(AND(Assumptions!$E$155=1,AG$4&gt;=Assumptions!$E$156),1,0)</f>
        <v>1</v>
      </c>
      <c r="AH341" s="38" t="n">
        <f aca="false">IF(AND(Assumptions!$E$155=1,AH$4&gt;=Assumptions!$E$156),1,0)</f>
        <v>1</v>
      </c>
      <c r="AI341" s="38" t="n">
        <f aca="false">IF(AND(Assumptions!$E$155=1,AI$4&gt;=Assumptions!$E$156),1,0)</f>
        <v>1</v>
      </c>
      <c r="AJ341" s="38" t="n">
        <f aca="false">IF(AND(Assumptions!$E$155=1,AJ$4&gt;=Assumptions!$E$156),1,0)</f>
        <v>1</v>
      </c>
      <c r="AK341" s="38" t="n">
        <f aca="false">IF(AND(Assumptions!$E$155=1,AK$4&gt;=Assumptions!$E$156),1,0)</f>
        <v>1</v>
      </c>
      <c r="AL341" s="38" t="n">
        <f aca="false">IF(AND(Assumptions!$E$155=1,AL$4&gt;=Assumptions!$E$156),1,0)</f>
        <v>1</v>
      </c>
    </row>
    <row r="342" customFormat="false" ht="15" hidden="false" customHeight="false" outlineLevel="0" collapsed="false">
      <c r="A342" s="7" t="s">
        <v>756</v>
      </c>
      <c r="B342" s="9" t="s">
        <v>327</v>
      </c>
      <c r="C342" s="14" t="n">
        <f aca="false">IF(C341=0,0,Assumptions!$E$157)</f>
        <v>0</v>
      </c>
      <c r="D342" s="14" t="n">
        <f aca="false">IF(D341=0,0,IF(D$4=Assumptions!$E$156,Assumptions!$E$157,C342*(1+CHOOSE(D$6,Assumptions!$E$158,Assumptions!$E$159,Assumptions!$E$160))))</f>
        <v>0</v>
      </c>
      <c r="E342" s="14" t="n">
        <f aca="false">IF(E341=0,0,IF(E$4=Assumptions!$E$156,Assumptions!$E$157,D342*(1+CHOOSE(E$6,Assumptions!$E$158,Assumptions!$E$159,Assumptions!$E$160))))</f>
        <v>0</v>
      </c>
      <c r="F342" s="14" t="n">
        <f aca="false">IF(F341=0,0,IF(F$4=Assumptions!$E$156,Assumptions!$E$157,E342*(1+CHOOSE(F$6,Assumptions!$E$158,Assumptions!$E$159,Assumptions!$E$160))))</f>
        <v>0</v>
      </c>
      <c r="G342" s="14" t="n">
        <f aca="false">IF(G341=0,0,IF(G$4=Assumptions!$E$156,Assumptions!$E$157,F342*(1+CHOOSE(G$6,Assumptions!$E$158,Assumptions!$E$159,Assumptions!$E$160))))</f>
        <v>0</v>
      </c>
      <c r="H342" s="14" t="n">
        <f aca="false">IF(H341=0,0,IF(H$4=Assumptions!$E$156,Assumptions!$E$157,G342*(1+CHOOSE(H$6,Assumptions!$E$158,Assumptions!$E$159,Assumptions!$E$160))))</f>
        <v>0</v>
      </c>
      <c r="I342" s="14" t="n">
        <f aca="false">IF(I341=0,0,IF(I$4=Assumptions!$E$156,Assumptions!$E$157,H342*(1+CHOOSE(I$6,Assumptions!$E$158,Assumptions!$E$159,Assumptions!$E$160))))</f>
        <v>0</v>
      </c>
      <c r="J342" s="14" t="n">
        <f aca="false">IF(J341=0,0,IF(J$4=Assumptions!$E$156,Assumptions!$E$157,I342*(1+CHOOSE(J$6,Assumptions!$E$158,Assumptions!$E$159,Assumptions!$E$160))))</f>
        <v>0</v>
      </c>
      <c r="K342" s="14" t="n">
        <f aca="false">IF(K341=0,0,IF(K$4=Assumptions!$E$156,Assumptions!$E$157,J342*(1+CHOOSE(K$6,Assumptions!$E$158,Assumptions!$E$159,Assumptions!$E$160))))</f>
        <v>0</v>
      </c>
      <c r="L342" s="14" t="n">
        <f aca="false">IF(L341=0,0,IF(L$4=Assumptions!$E$156,Assumptions!$E$157,K342*(1+CHOOSE(L$6,Assumptions!$E$158,Assumptions!$E$159,Assumptions!$E$160))))</f>
        <v>400</v>
      </c>
      <c r="M342" s="14" t="n">
        <f aca="false">IF(M341=0,0,IF(M$4=Assumptions!$E$156,Assumptions!$E$157,L342*(1+CHOOSE(M$6,Assumptions!$E$158,Assumptions!$E$159,Assumptions!$E$160))))</f>
        <v>424</v>
      </c>
      <c r="N342" s="14" t="n">
        <f aca="false">IF(N341=0,0,IF(N$4=Assumptions!$E$156,Assumptions!$E$157,M342*(1+CHOOSE(N$6,Assumptions!$E$158,Assumptions!$E$159,Assumptions!$E$160))))</f>
        <v>449.44</v>
      </c>
      <c r="O342" s="14" t="n">
        <f aca="false">IF(O341=0,0,IF(O$4=Assumptions!$E$156,Assumptions!$E$157,N342*(1+CHOOSE(O$6,Assumptions!$E$158,Assumptions!$E$159,Assumptions!$E$160))))</f>
        <v>476.4064</v>
      </c>
      <c r="P342" s="14" t="n">
        <f aca="false">IF(P341=0,0,IF(P$4=Assumptions!$E$156,Assumptions!$E$157,O342*(1+CHOOSE(P$6,Assumptions!$E$158,Assumptions!$E$159,Assumptions!$E$160))))</f>
        <v>504.990784</v>
      </c>
      <c r="Q342" s="14" t="n">
        <f aca="false">IF(Q341=0,0,IF(Q$4=Assumptions!$E$156,Assumptions!$E$157,P342*(1+CHOOSE(Q$6,Assumptions!$E$158,Assumptions!$E$159,Assumptions!$E$160))))</f>
        <v>535.29023104</v>
      </c>
      <c r="R342" s="14" t="n">
        <f aca="false">IF(R341=0,0,IF(R$4=Assumptions!$E$156,Assumptions!$E$157,Q342*(1+CHOOSE(R$6,Assumptions!$E$158,Assumptions!$E$159,Assumptions!$E$160))))</f>
        <v>567.4076449024</v>
      </c>
      <c r="S342" s="14" t="n">
        <f aca="false">IF(S341=0,0,IF(S$4=Assumptions!$E$156,Assumptions!$E$157,R342*(1+CHOOSE(S$6,Assumptions!$E$158,Assumptions!$E$159,Assumptions!$E$160))))</f>
        <v>601.452103596544</v>
      </c>
      <c r="T342" s="14" t="n">
        <f aca="false">IF(T341=0,0,IF(T$4=Assumptions!$E$156,Assumptions!$E$157,S342*(1+CHOOSE(T$6,Assumptions!$E$158,Assumptions!$E$159,Assumptions!$E$160))))</f>
        <v>637.539229812337</v>
      </c>
      <c r="U342" s="14" t="n">
        <f aca="false">IF(U341=0,0,IF(U$4=Assumptions!$E$156,Assumptions!$E$157,T342*(1+CHOOSE(U$6,Assumptions!$E$158,Assumptions!$E$159,Assumptions!$E$160))))</f>
        <v>675.791583601077</v>
      </c>
      <c r="V342" s="14" t="n">
        <f aca="false">IF(V341=0,0,IF(V$4=Assumptions!$E$156,Assumptions!$E$157,U342*(1+CHOOSE(V$6,Assumptions!$E$158,Assumptions!$E$159,Assumptions!$E$160))))</f>
        <v>716.339078617142</v>
      </c>
      <c r="W342" s="14" t="n">
        <f aca="false">IF(W341=0,0,IF(W$4=Assumptions!$E$156,Assumptions!$E$157,V342*(1+CHOOSE(W$6,Assumptions!$E$158,Assumptions!$E$159,Assumptions!$E$160))))</f>
        <v>759.31942333417</v>
      </c>
      <c r="X342" s="14" t="n">
        <f aca="false">IF(X341=0,0,IF(X$4=Assumptions!$E$156,Assumptions!$E$157,W342*(1+CHOOSE(X$6,Assumptions!$E$158,Assumptions!$E$159,Assumptions!$E$160))))</f>
        <v>804.87858873422</v>
      </c>
      <c r="Y342" s="14" t="n">
        <f aca="false">IF(Y341=0,0,IF(Y$4=Assumptions!$E$156,Assumptions!$E$157,X342*(1+CHOOSE(Y$6,Assumptions!$E$158,Assumptions!$E$159,Assumptions!$E$160))))</f>
        <v>853.171304058274</v>
      </c>
      <c r="Z342" s="14" t="n">
        <f aca="false">IF(Z341=0,0,IF(Z$4=Assumptions!$E$156,Assumptions!$E$157,Y342*(1+CHOOSE(Z$6,Assumptions!$E$158,Assumptions!$E$159,Assumptions!$E$160))))</f>
        <v>904.36158230177</v>
      </c>
      <c r="AA342" s="14" t="n">
        <f aca="false">IF(AA341=0,0,IF(AA$4=Assumptions!$E$156,Assumptions!$E$157,Z342*(1+CHOOSE(AA$6,Assumptions!$E$158,Assumptions!$E$159,Assumptions!$E$160))))</f>
        <v>931.492429770823</v>
      </c>
      <c r="AB342" s="14" t="n">
        <f aca="false">IF(AB341=0,0,IF(AB$4=Assumptions!$E$156,Assumptions!$E$157,AA342*(1+CHOOSE(AB$6,Assumptions!$E$158,Assumptions!$E$159,Assumptions!$E$160))))</f>
        <v>959.437202663948</v>
      </c>
      <c r="AC342" s="14" t="n">
        <f aca="false">IF(AC341=0,0,IF(AC$4=Assumptions!$E$156,Assumptions!$E$157,AB342*(1+CHOOSE(AC$6,Assumptions!$E$158,Assumptions!$E$159,Assumptions!$E$160))))</f>
        <v>988.220318743867</v>
      </c>
      <c r="AD342" s="14" t="n">
        <f aca="false">IF(AD341=0,0,IF(AD$4=Assumptions!$E$156,Assumptions!$E$157,AC342*(1+CHOOSE(AD$6,Assumptions!$E$158,Assumptions!$E$159,Assumptions!$E$160))))</f>
        <v>1017.86692830618</v>
      </c>
      <c r="AE342" s="14" t="n">
        <f aca="false">IF(AE341=0,0,IF(AE$4=Assumptions!$E$156,Assumptions!$E$157,AD342*(1+CHOOSE(AE$6,Assumptions!$E$158,Assumptions!$E$159,Assumptions!$E$160))))</f>
        <v>1048.40293615537</v>
      </c>
      <c r="AF342" s="14" t="n">
        <f aca="false">IF(AF341=0,0,IF(AF$4=Assumptions!$E$156,Assumptions!$E$157,AE342*(1+CHOOSE(AF$6,Assumptions!$E$158,Assumptions!$E$159,Assumptions!$E$160))))</f>
        <v>1079.85502424003</v>
      </c>
      <c r="AG342" s="14" t="n">
        <f aca="false">IF(AG341=0,0,IF(AG$4=Assumptions!$E$156,Assumptions!$E$157,AF342*(1+CHOOSE(AG$6,Assumptions!$E$158,Assumptions!$E$159,Assumptions!$E$160))))</f>
        <v>1112.25067496723</v>
      </c>
      <c r="AH342" s="14" t="n">
        <f aca="false">IF(AH341=0,0,IF(AH$4=Assumptions!$E$156,Assumptions!$E$157,AG342*(1+CHOOSE(AH$6,Assumptions!$E$158,Assumptions!$E$159,Assumptions!$E$160))))</f>
        <v>1145.61819521625</v>
      </c>
      <c r="AI342" s="14" t="n">
        <f aca="false">IF(AI341=0,0,IF(AI$4=Assumptions!$E$156,Assumptions!$E$157,AH342*(1+CHOOSE(AI$6,Assumptions!$E$158,Assumptions!$E$159,Assumptions!$E$160))))</f>
        <v>1179.98674107273</v>
      </c>
      <c r="AJ342" s="14" t="n">
        <f aca="false">IF(AJ341=0,0,IF(AJ$4=Assumptions!$E$156,Assumptions!$E$157,AI342*(1+CHOOSE(AJ$6,Assumptions!$E$158,Assumptions!$E$159,Assumptions!$E$160))))</f>
        <v>1215.38634330492</v>
      </c>
      <c r="AK342" s="14" t="n">
        <f aca="false">IF(AK341=0,0,IF(AK$4=Assumptions!$E$156,Assumptions!$E$157,AJ342*(1+CHOOSE(AK$6,Assumptions!$E$158,Assumptions!$E$159,Assumptions!$E$160))))</f>
        <v>1251.84793360406</v>
      </c>
      <c r="AL342" s="14" t="n">
        <f aca="false">IF(AL341=0,0,IF(AL$4=Assumptions!$E$156,Assumptions!$E$157,AK342*(1+CHOOSE(AL$6,Assumptions!$E$158,Assumptions!$E$159,Assumptions!$E$160))))</f>
        <v>1289.40337161219</v>
      </c>
    </row>
    <row r="343" customFormat="false" ht="15" hidden="false" customHeight="false" outlineLevel="0" collapsed="false">
      <c r="A343" s="7" t="s">
        <v>774</v>
      </c>
      <c r="B343" s="9" t="s">
        <v>327</v>
      </c>
      <c r="C343" s="52" t="n">
        <f aca="false">C342*C$8</f>
        <v>0</v>
      </c>
      <c r="D343" s="52" t="n">
        <f aca="false">D342*D$8</f>
        <v>0</v>
      </c>
      <c r="E343" s="52" t="n">
        <f aca="false">E342*E$8</f>
        <v>0</v>
      </c>
      <c r="F343" s="52" t="n">
        <f aca="false">F342*F$8</f>
        <v>0</v>
      </c>
      <c r="G343" s="52" t="n">
        <f aca="false">G342*G$8</f>
        <v>0</v>
      </c>
      <c r="H343" s="52" t="n">
        <f aca="false">H342*H$8</f>
        <v>0</v>
      </c>
      <c r="I343" s="52" t="n">
        <f aca="false">I342*I$8</f>
        <v>0</v>
      </c>
      <c r="J343" s="52" t="n">
        <f aca="false">J342*J$8</f>
        <v>0</v>
      </c>
      <c r="K343" s="52" t="n">
        <f aca="false">K342*K$8</f>
        <v>0</v>
      </c>
      <c r="L343" s="52" t="n">
        <f aca="false">L342*L$8</f>
        <v>240</v>
      </c>
      <c r="M343" s="52" t="n">
        <f aca="false">M342*M$8</f>
        <v>551.2</v>
      </c>
      <c r="N343" s="52" t="n">
        <f aca="false">N342*N$8</f>
        <v>629.216</v>
      </c>
      <c r="O343" s="52" t="n">
        <f aca="false">O342*O$8</f>
        <v>571.68768</v>
      </c>
      <c r="P343" s="52" t="n">
        <f aca="false">P342*P$8</f>
        <v>504.990784</v>
      </c>
      <c r="Q343" s="52" t="n">
        <f aca="false">Q342*Q$8</f>
        <v>374.703161728</v>
      </c>
      <c r="R343" s="52" t="n">
        <f aca="false">R342*R$8</f>
        <v>624.14840939264</v>
      </c>
      <c r="S343" s="52" t="n">
        <f aca="false">S342*S$8</f>
        <v>601.452103596544</v>
      </c>
      <c r="T343" s="52" t="n">
        <f aca="false">T342*T$8</f>
        <v>637.539229812337</v>
      </c>
      <c r="U343" s="52" t="n">
        <f aca="false">U342*U$8</f>
        <v>608.212425240969</v>
      </c>
      <c r="V343" s="52" t="n">
        <f aca="false">V342*V$8</f>
        <v>501.437355031999</v>
      </c>
      <c r="W343" s="52" t="n">
        <f aca="false">W342*W$8</f>
        <v>303.727769333668</v>
      </c>
      <c r="X343" s="52" t="n">
        <f aca="false">X342*X$8</f>
        <v>482.927153240532</v>
      </c>
      <c r="Y343" s="52" t="n">
        <f aca="false">Y342*Y$8</f>
        <v>1109.12269527576</v>
      </c>
      <c r="Z343" s="52" t="n">
        <f aca="false">Z342*Z$8</f>
        <v>1266.10621522248</v>
      </c>
      <c r="AA343" s="52" t="n">
        <f aca="false">AA342*AA$8</f>
        <v>1117.79091572499</v>
      </c>
      <c r="AB343" s="52" t="n">
        <f aca="false">AB342*AB$8</f>
        <v>959.437202663948</v>
      </c>
      <c r="AC343" s="52" t="n">
        <f aca="false">AC342*AC$8</f>
        <v>691.754223120707</v>
      </c>
      <c r="AD343" s="52" t="n">
        <f aca="false">AD342*AD$8</f>
        <v>1119.6536211368</v>
      </c>
      <c r="AE343" s="52" t="n">
        <f aca="false">AE342*AE$8</f>
        <v>1048.40293615537</v>
      </c>
      <c r="AF343" s="52" t="n">
        <f aca="false">AF342*AF$8</f>
        <v>1079.85502424003</v>
      </c>
      <c r="AG343" s="52" t="n">
        <f aca="false">AG342*AG$8</f>
        <v>1001.02560747051</v>
      </c>
      <c r="AH343" s="52" t="n">
        <f aca="false">AH342*AH$8</f>
        <v>801.932736651373</v>
      </c>
      <c r="AI343" s="52" t="n">
        <f aca="false">AI342*AI$8</f>
        <v>471.994696429094</v>
      </c>
      <c r="AJ343" s="52" t="n">
        <f aca="false">AJ342*AJ$8</f>
        <v>729.23180598295</v>
      </c>
      <c r="AK343" s="52" t="n">
        <f aca="false">AK342*AK$8</f>
        <v>1627.40231368528</v>
      </c>
      <c r="AL343" s="52" t="n">
        <f aca="false">AL342*AL$8</f>
        <v>1805.16472025706</v>
      </c>
      <c r="AM343" s="53" t="n">
        <f aca="false">SUMIF($C$6:$AL$6,1,C343:AL343)</f>
        <v>1420.416</v>
      </c>
      <c r="AN343" s="53" t="n">
        <f aca="false">SUMIF($C$6:$AL$6,2,C343:AL343)</f>
        <v>7586.05498187492</v>
      </c>
      <c r="AO343" s="53" t="n">
        <f aca="false">SUMIF($C$6:$AL$6,3,C343:AL343)</f>
        <v>12453.6458035181</v>
      </c>
      <c r="AP343" s="53" t="n">
        <f aca="false">SUM(C343:AL343)</f>
        <v>21460.116785393</v>
      </c>
    </row>
    <row r="344" customFormat="false" ht="15" hidden="false" customHeight="false" outlineLevel="0" collapsed="false">
      <c r="A344" s="7" t="s">
        <v>758</v>
      </c>
      <c r="B344" s="9" t="s">
        <v>96</v>
      </c>
      <c r="C344" s="54" t="n">
        <f aca="false">Assumptions!$E$161*MIN(1,(C$4-Assumptions!$E$156+1)/Assumptions!$C$10)*C341</f>
        <v>-0</v>
      </c>
      <c r="D344" s="54" t="n">
        <f aca="false">Assumptions!$E$161*MIN(1,(D$4-Assumptions!$E$156+1)/Assumptions!$C$10)*D341</f>
        <v>-0</v>
      </c>
      <c r="E344" s="54" t="n">
        <f aca="false">Assumptions!$E$161*MIN(1,(E$4-Assumptions!$E$156+1)/Assumptions!$C$10)*E341</f>
        <v>-0</v>
      </c>
      <c r="F344" s="54" t="n">
        <f aca="false">Assumptions!$E$161*MIN(1,(F$4-Assumptions!$E$156+1)/Assumptions!$C$10)*F341</f>
        <v>-0</v>
      </c>
      <c r="G344" s="54" t="n">
        <f aca="false">Assumptions!$E$161*MIN(1,(G$4-Assumptions!$E$156+1)/Assumptions!$C$10)*G341</f>
        <v>-0</v>
      </c>
      <c r="H344" s="54" t="n">
        <f aca="false">Assumptions!$E$161*MIN(1,(H$4-Assumptions!$E$156+1)/Assumptions!$C$10)*H341</f>
        <v>-0</v>
      </c>
      <c r="I344" s="54" t="n">
        <f aca="false">Assumptions!$E$161*MIN(1,(I$4-Assumptions!$E$156+1)/Assumptions!$C$10)*I341</f>
        <v>-0</v>
      </c>
      <c r="J344" s="54" t="n">
        <f aca="false">Assumptions!$E$161*MIN(1,(J$4-Assumptions!$E$156+1)/Assumptions!$C$10)*J341</f>
        <v>-0</v>
      </c>
      <c r="K344" s="54" t="n">
        <f aca="false">Assumptions!$E$161*MIN(1,(K$4-Assumptions!$E$156+1)/Assumptions!$C$10)*K341</f>
        <v>0</v>
      </c>
      <c r="L344" s="54" t="n">
        <f aca="false">Assumptions!$E$161*MIN(1,(L$4-Assumptions!$E$156+1)/Assumptions!$C$10)*L341</f>
        <v>0.00333333333333333</v>
      </c>
      <c r="M344" s="54" t="n">
        <f aca="false">Assumptions!$E$161*MIN(1,(M$4-Assumptions!$E$156+1)/Assumptions!$C$10)*M341</f>
        <v>0.00666666666666667</v>
      </c>
      <c r="N344" s="54" t="n">
        <f aca="false">Assumptions!$E$161*MIN(1,(N$4-Assumptions!$E$156+1)/Assumptions!$C$10)*N341</f>
        <v>0.01</v>
      </c>
      <c r="O344" s="54" t="n">
        <f aca="false">Assumptions!$E$161*MIN(1,(O$4-Assumptions!$E$156+1)/Assumptions!$C$10)*O341</f>
        <v>0.0133333333333333</v>
      </c>
      <c r="P344" s="54" t="n">
        <f aca="false">Assumptions!$E$161*MIN(1,(P$4-Assumptions!$E$156+1)/Assumptions!$C$10)*P341</f>
        <v>0.0166666666666667</v>
      </c>
      <c r="Q344" s="54" t="n">
        <f aca="false">Assumptions!$E$161*MIN(1,(Q$4-Assumptions!$E$156+1)/Assumptions!$C$10)*Q341</f>
        <v>0.02</v>
      </c>
      <c r="R344" s="54" t="n">
        <f aca="false">Assumptions!$E$161*MIN(1,(R$4-Assumptions!$E$156+1)/Assumptions!$C$10)*R341</f>
        <v>0.02</v>
      </c>
      <c r="S344" s="54" t="n">
        <f aca="false">Assumptions!$E$161*MIN(1,(S$4-Assumptions!$E$156+1)/Assumptions!$C$10)*S341</f>
        <v>0.02</v>
      </c>
      <c r="T344" s="54" t="n">
        <f aca="false">Assumptions!$E$161*MIN(1,(T$4-Assumptions!$E$156+1)/Assumptions!$C$10)*T341</f>
        <v>0.02</v>
      </c>
      <c r="U344" s="54" t="n">
        <f aca="false">Assumptions!$E$161*MIN(1,(U$4-Assumptions!$E$156+1)/Assumptions!$C$10)*U341</f>
        <v>0.02</v>
      </c>
      <c r="V344" s="54" t="n">
        <f aca="false">Assumptions!$E$161*MIN(1,(V$4-Assumptions!$E$156+1)/Assumptions!$C$10)*V341</f>
        <v>0.02</v>
      </c>
      <c r="W344" s="54" t="n">
        <f aca="false">Assumptions!$E$161*MIN(1,(W$4-Assumptions!$E$156+1)/Assumptions!$C$10)*W341</f>
        <v>0.02</v>
      </c>
      <c r="X344" s="54" t="n">
        <f aca="false">Assumptions!$E$161*MIN(1,(X$4-Assumptions!$E$156+1)/Assumptions!$C$10)*X341</f>
        <v>0.02</v>
      </c>
      <c r="Y344" s="54" t="n">
        <f aca="false">Assumptions!$E$161*MIN(1,(Y$4-Assumptions!$E$156+1)/Assumptions!$C$10)*Y341</f>
        <v>0.02</v>
      </c>
      <c r="Z344" s="54" t="n">
        <f aca="false">Assumptions!$E$161*MIN(1,(Z$4-Assumptions!$E$156+1)/Assumptions!$C$10)*Z341</f>
        <v>0.02</v>
      </c>
      <c r="AA344" s="54" t="n">
        <f aca="false">Assumptions!$E$161*MIN(1,(AA$4-Assumptions!$E$156+1)/Assumptions!$C$10)*AA341</f>
        <v>0.02</v>
      </c>
      <c r="AB344" s="54" t="n">
        <f aca="false">Assumptions!$E$161*MIN(1,(AB$4-Assumptions!$E$156+1)/Assumptions!$C$10)*AB341</f>
        <v>0.02</v>
      </c>
      <c r="AC344" s="54" t="n">
        <f aca="false">Assumptions!$E$161*MIN(1,(AC$4-Assumptions!$E$156+1)/Assumptions!$C$10)*AC341</f>
        <v>0.02</v>
      </c>
      <c r="AD344" s="54" t="n">
        <f aca="false">Assumptions!$E$161*MIN(1,(AD$4-Assumptions!$E$156+1)/Assumptions!$C$10)*AD341</f>
        <v>0.02</v>
      </c>
      <c r="AE344" s="54" t="n">
        <f aca="false">Assumptions!$E$161*MIN(1,(AE$4-Assumptions!$E$156+1)/Assumptions!$C$10)*AE341</f>
        <v>0.02</v>
      </c>
      <c r="AF344" s="54" t="n">
        <f aca="false">Assumptions!$E$161*MIN(1,(AF$4-Assumptions!$E$156+1)/Assumptions!$C$10)*AF341</f>
        <v>0.02</v>
      </c>
      <c r="AG344" s="54" t="n">
        <f aca="false">Assumptions!$E$161*MIN(1,(AG$4-Assumptions!$E$156+1)/Assumptions!$C$10)*AG341</f>
        <v>0.02</v>
      </c>
      <c r="AH344" s="54" t="n">
        <f aca="false">Assumptions!$E$161*MIN(1,(AH$4-Assumptions!$E$156+1)/Assumptions!$C$10)*AH341</f>
        <v>0.02</v>
      </c>
      <c r="AI344" s="54" t="n">
        <f aca="false">Assumptions!$E$161*MIN(1,(AI$4-Assumptions!$E$156+1)/Assumptions!$C$10)*AI341</f>
        <v>0.02</v>
      </c>
      <c r="AJ344" s="54" t="n">
        <f aca="false">Assumptions!$E$161*MIN(1,(AJ$4-Assumptions!$E$156+1)/Assumptions!$C$10)*AJ341</f>
        <v>0.02</v>
      </c>
      <c r="AK344" s="54" t="n">
        <f aca="false">Assumptions!$E$161*MIN(1,(AK$4-Assumptions!$E$156+1)/Assumptions!$C$10)*AK341</f>
        <v>0.02</v>
      </c>
      <c r="AL344" s="54" t="n">
        <f aca="false">Assumptions!$E$161*MIN(1,(AL$4-Assumptions!$E$156+1)/Assumptions!$C$10)*AL341</f>
        <v>0.02</v>
      </c>
    </row>
    <row r="345" customFormat="false" ht="15" hidden="false" customHeight="false" outlineLevel="0" collapsed="false">
      <c r="A345" s="7" t="s">
        <v>766</v>
      </c>
      <c r="B345" s="9" t="s">
        <v>760</v>
      </c>
      <c r="C345" s="55" t="n">
        <f aca="false">C343*C344</f>
        <v>-0</v>
      </c>
      <c r="D345" s="55" t="n">
        <f aca="false">D343*D344</f>
        <v>-0</v>
      </c>
      <c r="E345" s="55" t="n">
        <f aca="false">E343*E344</f>
        <v>-0</v>
      </c>
      <c r="F345" s="55" t="n">
        <f aca="false">F343*F344</f>
        <v>-0</v>
      </c>
      <c r="G345" s="55" t="n">
        <f aca="false">G343*G344</f>
        <v>-0</v>
      </c>
      <c r="H345" s="55" t="n">
        <f aca="false">H343*H344</f>
        <v>-0</v>
      </c>
      <c r="I345" s="55" t="n">
        <f aca="false">I343*I344</f>
        <v>-0</v>
      </c>
      <c r="J345" s="55" t="n">
        <f aca="false">J343*J344</f>
        <v>-0</v>
      </c>
      <c r="K345" s="55" t="n">
        <f aca="false">K343*K344</f>
        <v>0</v>
      </c>
      <c r="L345" s="55" t="n">
        <f aca="false">L343*L344</f>
        <v>0.8</v>
      </c>
      <c r="M345" s="55" t="n">
        <f aca="false">M343*M344</f>
        <v>3.67466666666667</v>
      </c>
      <c r="N345" s="55" t="n">
        <f aca="false">N343*N344</f>
        <v>6.29216</v>
      </c>
      <c r="O345" s="55" t="n">
        <f aca="false">O343*O344</f>
        <v>7.6225024</v>
      </c>
      <c r="P345" s="55" t="n">
        <f aca="false">P343*P344</f>
        <v>8.41651306666667</v>
      </c>
      <c r="Q345" s="55" t="n">
        <f aca="false">Q343*Q344</f>
        <v>7.49406323456</v>
      </c>
      <c r="R345" s="55" t="n">
        <f aca="false">R343*R344</f>
        <v>12.4829681878528</v>
      </c>
      <c r="S345" s="55" t="n">
        <f aca="false">S343*S344</f>
        <v>12.0290420719309</v>
      </c>
      <c r="T345" s="55" t="n">
        <f aca="false">T343*T344</f>
        <v>12.7507845962467</v>
      </c>
      <c r="U345" s="55" t="n">
        <f aca="false">U343*U344</f>
        <v>12.1642485048194</v>
      </c>
      <c r="V345" s="55" t="n">
        <f aca="false">V343*V344</f>
        <v>10.02874710064</v>
      </c>
      <c r="W345" s="55" t="n">
        <f aca="false">W343*W344</f>
        <v>6.07455538667336</v>
      </c>
      <c r="X345" s="55" t="n">
        <f aca="false">X343*X344</f>
        <v>9.65854306481064</v>
      </c>
      <c r="Y345" s="55" t="n">
        <f aca="false">Y343*Y344</f>
        <v>22.1824539055151</v>
      </c>
      <c r="Z345" s="55" t="n">
        <f aca="false">Z343*Z344</f>
        <v>25.3221243044496</v>
      </c>
      <c r="AA345" s="55" t="n">
        <f aca="false">AA343*AA344</f>
        <v>22.3558183144998</v>
      </c>
      <c r="AB345" s="55" t="n">
        <f aca="false">AB343*AB344</f>
        <v>19.188744053279</v>
      </c>
      <c r="AC345" s="55" t="n">
        <f aca="false">AC343*AC344</f>
        <v>13.8350844624141</v>
      </c>
      <c r="AD345" s="55" t="n">
        <f aca="false">AD343*AD344</f>
        <v>22.393072422736</v>
      </c>
      <c r="AE345" s="55" t="n">
        <f aca="false">AE343*AE344</f>
        <v>20.9680587231074</v>
      </c>
      <c r="AF345" s="55" t="n">
        <f aca="false">AF343*AF344</f>
        <v>21.5971004848006</v>
      </c>
      <c r="AG345" s="55" t="n">
        <f aca="false">AG343*AG344</f>
        <v>20.0205121494101</v>
      </c>
      <c r="AH345" s="55" t="n">
        <f aca="false">AH343*AH344</f>
        <v>16.0386547330275</v>
      </c>
      <c r="AI345" s="55" t="n">
        <f aca="false">AI343*AI344</f>
        <v>9.43989392858187</v>
      </c>
      <c r="AJ345" s="55" t="n">
        <f aca="false">AJ343*AJ344</f>
        <v>14.584636119659</v>
      </c>
      <c r="AK345" s="55" t="n">
        <f aca="false">AK343*AK344</f>
        <v>32.5480462737057</v>
      </c>
      <c r="AL345" s="55" t="n">
        <f aca="false">AL343*AL344</f>
        <v>36.1032944051412</v>
      </c>
      <c r="AM345" s="53" t="n">
        <f aca="false">SUMIF($C$6:$AL$6,1,C345:AL345)</f>
        <v>10.7668266666667</v>
      </c>
      <c r="AN345" s="53" t="n">
        <f aca="false">SUMIF($C$6:$AL$6,2,C345:AL345)</f>
        <v>146.226545824165</v>
      </c>
      <c r="AO345" s="53" t="n">
        <f aca="false">SUMIF($C$6:$AL$6,3,C345:AL345)</f>
        <v>249.072916070362</v>
      </c>
      <c r="AP345" s="53" t="n">
        <f aca="false">SUM(C345:AL345)</f>
        <v>406.066288561194</v>
      </c>
    </row>
    <row r="346" customFormat="false" ht="15" hidden="false" customHeight="false" outlineLevel="0" collapsed="false">
      <c r="A346" s="7" t="s">
        <v>761</v>
      </c>
      <c r="B346" s="9" t="s">
        <v>342</v>
      </c>
      <c r="C346" s="56" t="n">
        <f aca="false">C345*Assumptions!$E$162</f>
        <v>-0</v>
      </c>
      <c r="D346" s="56" t="n">
        <f aca="false">D345*Assumptions!$E$162</f>
        <v>-0</v>
      </c>
      <c r="E346" s="56" t="n">
        <f aca="false">E345*Assumptions!$E$162</f>
        <v>-0</v>
      </c>
      <c r="F346" s="56" t="n">
        <f aca="false">F345*Assumptions!$E$162</f>
        <v>-0</v>
      </c>
      <c r="G346" s="56" t="n">
        <f aca="false">G345*Assumptions!$E$162</f>
        <v>-0</v>
      </c>
      <c r="H346" s="56" t="n">
        <f aca="false">H345*Assumptions!$E$162</f>
        <v>-0</v>
      </c>
      <c r="I346" s="56" t="n">
        <f aca="false">I345*Assumptions!$E$162</f>
        <v>-0</v>
      </c>
      <c r="J346" s="56" t="n">
        <f aca="false">J345*Assumptions!$E$162</f>
        <v>-0</v>
      </c>
      <c r="K346" s="56" t="n">
        <f aca="false">K345*Assumptions!$E$162</f>
        <v>0</v>
      </c>
      <c r="L346" s="56" t="n">
        <f aca="false">L345*Assumptions!$E$162</f>
        <v>0.96</v>
      </c>
      <c r="M346" s="56" t="n">
        <f aca="false">M345*Assumptions!$E$162</f>
        <v>4.4096</v>
      </c>
      <c r="N346" s="56" t="n">
        <f aca="false">N345*Assumptions!$E$162</f>
        <v>7.550592</v>
      </c>
      <c r="O346" s="56" t="n">
        <f aca="false">O345*Assumptions!$E$162</f>
        <v>9.14700288</v>
      </c>
      <c r="P346" s="56" t="n">
        <f aca="false">P345*Assumptions!$E$162</f>
        <v>10.09981568</v>
      </c>
      <c r="Q346" s="56" t="n">
        <f aca="false">Q345*Assumptions!$E$162</f>
        <v>8.992875881472</v>
      </c>
      <c r="R346" s="56" t="n">
        <f aca="false">R345*Assumptions!$E$162</f>
        <v>14.9795618254234</v>
      </c>
      <c r="S346" s="56" t="n">
        <f aca="false">S345*Assumptions!$E$162</f>
        <v>14.4348504863171</v>
      </c>
      <c r="T346" s="56" t="n">
        <f aca="false">T345*Assumptions!$E$162</f>
        <v>15.3009415154961</v>
      </c>
      <c r="U346" s="56" t="n">
        <f aca="false">U345*Assumptions!$E$162</f>
        <v>14.5970982057833</v>
      </c>
      <c r="V346" s="56" t="n">
        <f aca="false">V345*Assumptions!$E$162</f>
        <v>12.034496520768</v>
      </c>
      <c r="W346" s="56" t="n">
        <f aca="false">W345*Assumptions!$E$162</f>
        <v>7.28946646400803</v>
      </c>
      <c r="X346" s="56" t="n">
        <f aca="false">X345*Assumptions!$E$162</f>
        <v>11.5902516777728</v>
      </c>
      <c r="Y346" s="56" t="n">
        <f aca="false">Y345*Assumptions!$E$162</f>
        <v>26.6189446866181</v>
      </c>
      <c r="Z346" s="56" t="n">
        <f aca="false">Z345*Assumptions!$E$162</f>
        <v>30.3865491653395</v>
      </c>
      <c r="AA346" s="56" t="n">
        <f aca="false">AA345*Assumptions!$E$162</f>
        <v>26.8269819773997</v>
      </c>
      <c r="AB346" s="56" t="n">
        <f aca="false">AB345*Assumptions!$E$162</f>
        <v>23.0264928639348</v>
      </c>
      <c r="AC346" s="56" t="n">
        <f aca="false">AC345*Assumptions!$E$162</f>
        <v>16.602101354897</v>
      </c>
      <c r="AD346" s="56" t="n">
        <f aca="false">AD345*Assumptions!$E$162</f>
        <v>26.8716869072832</v>
      </c>
      <c r="AE346" s="56" t="n">
        <f aca="false">AE345*Assumptions!$E$162</f>
        <v>25.1616704677288</v>
      </c>
      <c r="AF346" s="56" t="n">
        <f aca="false">AF345*Assumptions!$E$162</f>
        <v>25.9165205817607</v>
      </c>
      <c r="AG346" s="56" t="n">
        <f aca="false">AG345*Assumptions!$E$162</f>
        <v>24.0246145792922</v>
      </c>
      <c r="AH346" s="56" t="n">
        <f aca="false">AH345*Assumptions!$E$162</f>
        <v>19.2463856796329</v>
      </c>
      <c r="AI346" s="56" t="n">
        <f aca="false">AI345*Assumptions!$E$162</f>
        <v>11.3278727142982</v>
      </c>
      <c r="AJ346" s="56" t="n">
        <f aca="false">AJ345*Assumptions!$E$162</f>
        <v>17.5015633435908</v>
      </c>
      <c r="AK346" s="56" t="n">
        <f aca="false">AK345*Assumptions!$E$162</f>
        <v>39.0576555284468</v>
      </c>
      <c r="AL346" s="56" t="n">
        <f aca="false">AL345*Assumptions!$E$162</f>
        <v>43.3239532861694</v>
      </c>
      <c r="AM346" s="53" t="n">
        <f aca="false">SUMIF($C$6:$AL$6,1,C346:AL346)</f>
        <v>12.920192</v>
      </c>
      <c r="AN346" s="53" t="n">
        <f aca="false">SUMIF($C$6:$AL$6,2,C346:AL346)</f>
        <v>175.471854988998</v>
      </c>
      <c r="AO346" s="53" t="n">
        <f aca="false">SUMIF($C$6:$AL$6,3,C346:AL346)</f>
        <v>298.887499284435</v>
      </c>
      <c r="AP346" s="53" t="n">
        <f aca="false">SUM(C346:AL346)</f>
        <v>487.279546273433</v>
      </c>
    </row>
    <row r="347" customFormat="false" ht="15" hidden="false" customHeight="false" outlineLevel="0" collapsed="false">
      <c r="A347" s="7" t="s">
        <v>762</v>
      </c>
      <c r="B347" s="9" t="s">
        <v>101</v>
      </c>
      <c r="C347" s="15" t="n">
        <f aca="false">'Unit Economics'!$E$57*Assumptions!$E$162*C341</f>
        <v>0</v>
      </c>
      <c r="D347" s="15" t="n">
        <f aca="false">'Unit Economics'!$E$57*Assumptions!$E$162*D341</f>
        <v>0</v>
      </c>
      <c r="E347" s="15" t="n">
        <f aca="false">'Unit Economics'!$E$57*Assumptions!$E$162*E341</f>
        <v>0</v>
      </c>
      <c r="F347" s="15" t="n">
        <f aca="false">'Unit Economics'!$E$57*Assumptions!$E$162*F341</f>
        <v>0</v>
      </c>
      <c r="G347" s="15" t="n">
        <f aca="false">'Unit Economics'!$E$57*Assumptions!$E$162*G341</f>
        <v>0</v>
      </c>
      <c r="H347" s="15" t="n">
        <f aca="false">'Unit Economics'!$E$57*Assumptions!$E$162*H341</f>
        <v>0</v>
      </c>
      <c r="I347" s="15" t="n">
        <f aca="false">'Unit Economics'!$E$57*Assumptions!$E$162*I341</f>
        <v>0</v>
      </c>
      <c r="J347" s="15" t="n">
        <f aca="false">'Unit Economics'!$E$57*Assumptions!$E$162*J341</f>
        <v>0</v>
      </c>
      <c r="K347" s="15" t="n">
        <f aca="false">'Unit Economics'!$E$57*Assumptions!$E$162*K341</f>
        <v>0</v>
      </c>
      <c r="L347" s="15" t="n">
        <f aca="false">'Unit Economics'!$E$57*Assumptions!$E$162*L341</f>
        <v>52.8</v>
      </c>
      <c r="M347" s="15" t="n">
        <f aca="false">'Unit Economics'!$E$57*Assumptions!$E$162*M341</f>
        <v>52.8</v>
      </c>
      <c r="N347" s="15" t="n">
        <f aca="false">'Unit Economics'!$E$57*Assumptions!$E$162*N341</f>
        <v>52.8</v>
      </c>
      <c r="O347" s="15" t="n">
        <f aca="false">'Unit Economics'!$E$57*Assumptions!$E$162*O341</f>
        <v>52.8</v>
      </c>
      <c r="P347" s="15" t="n">
        <f aca="false">'Unit Economics'!$E$57*Assumptions!$E$162*P341</f>
        <v>52.8</v>
      </c>
      <c r="Q347" s="15" t="n">
        <f aca="false">'Unit Economics'!$E$57*Assumptions!$E$162*Q341</f>
        <v>52.8</v>
      </c>
      <c r="R347" s="15" t="n">
        <f aca="false">'Unit Economics'!$E$57*Assumptions!$E$162*R341</f>
        <v>52.8</v>
      </c>
      <c r="S347" s="15" t="n">
        <f aca="false">'Unit Economics'!$E$57*Assumptions!$E$162*S341</f>
        <v>52.8</v>
      </c>
      <c r="T347" s="15" t="n">
        <f aca="false">'Unit Economics'!$E$57*Assumptions!$E$162*T341</f>
        <v>52.8</v>
      </c>
      <c r="U347" s="15" t="n">
        <f aca="false">'Unit Economics'!$E$57*Assumptions!$E$162*U341</f>
        <v>52.8</v>
      </c>
      <c r="V347" s="15" t="n">
        <f aca="false">'Unit Economics'!$E$57*Assumptions!$E$162*V341</f>
        <v>52.8</v>
      </c>
      <c r="W347" s="15" t="n">
        <f aca="false">'Unit Economics'!$E$57*Assumptions!$E$162*W341</f>
        <v>52.8</v>
      </c>
      <c r="X347" s="15" t="n">
        <f aca="false">'Unit Economics'!$E$57*Assumptions!$E$162*X341</f>
        <v>52.8</v>
      </c>
      <c r="Y347" s="15" t="n">
        <f aca="false">'Unit Economics'!$E$57*Assumptions!$E$162*Y341</f>
        <v>52.8</v>
      </c>
      <c r="Z347" s="15" t="n">
        <f aca="false">'Unit Economics'!$E$57*Assumptions!$E$162*Z341</f>
        <v>52.8</v>
      </c>
      <c r="AA347" s="15" t="n">
        <f aca="false">'Unit Economics'!$E$57*Assumptions!$E$162*AA341</f>
        <v>52.8</v>
      </c>
      <c r="AB347" s="15" t="n">
        <f aca="false">'Unit Economics'!$E$57*Assumptions!$E$162*AB341</f>
        <v>52.8</v>
      </c>
      <c r="AC347" s="15" t="n">
        <f aca="false">'Unit Economics'!$E$57*Assumptions!$E$162*AC341</f>
        <v>52.8</v>
      </c>
      <c r="AD347" s="15" t="n">
        <f aca="false">'Unit Economics'!$E$57*Assumptions!$E$162*AD341</f>
        <v>52.8</v>
      </c>
      <c r="AE347" s="15" t="n">
        <f aca="false">'Unit Economics'!$E$57*Assumptions!$E$162*AE341</f>
        <v>52.8</v>
      </c>
      <c r="AF347" s="15" t="n">
        <f aca="false">'Unit Economics'!$E$57*Assumptions!$E$162*AF341</f>
        <v>52.8</v>
      </c>
      <c r="AG347" s="15" t="n">
        <f aca="false">'Unit Economics'!$E$57*Assumptions!$E$162*AG341</f>
        <v>52.8</v>
      </c>
      <c r="AH347" s="15" t="n">
        <f aca="false">'Unit Economics'!$E$57*Assumptions!$E$162*AH341</f>
        <v>52.8</v>
      </c>
      <c r="AI347" s="15" t="n">
        <f aca="false">'Unit Economics'!$E$57*Assumptions!$E$162*AI341</f>
        <v>52.8</v>
      </c>
      <c r="AJ347" s="15" t="n">
        <f aca="false">'Unit Economics'!$E$57*Assumptions!$E$162*AJ341</f>
        <v>52.8</v>
      </c>
      <c r="AK347" s="15" t="n">
        <f aca="false">'Unit Economics'!$E$57*Assumptions!$E$162*AK341</f>
        <v>52.8</v>
      </c>
      <c r="AL347" s="15" t="n">
        <f aca="false">'Unit Economics'!$E$57*Assumptions!$E$162*AL341</f>
        <v>52.8</v>
      </c>
    </row>
    <row r="348" customFormat="false" ht="15" hidden="false" customHeight="false" outlineLevel="0" collapsed="false">
      <c r="A348" s="7" t="s">
        <v>763</v>
      </c>
      <c r="B348" s="9" t="s">
        <v>101</v>
      </c>
      <c r="C348" s="8" t="n">
        <f aca="false">C346*'Unit Economics'!$E$57</f>
        <v>-0</v>
      </c>
      <c r="D348" s="8" t="n">
        <f aca="false">D346*'Unit Economics'!$E$57</f>
        <v>-0</v>
      </c>
      <c r="E348" s="8" t="n">
        <f aca="false">E346*'Unit Economics'!$E$57</f>
        <v>-0</v>
      </c>
      <c r="F348" s="8" t="n">
        <f aca="false">F346*'Unit Economics'!$E$57</f>
        <v>-0</v>
      </c>
      <c r="G348" s="8" t="n">
        <f aca="false">G346*'Unit Economics'!$E$57</f>
        <v>-0</v>
      </c>
      <c r="H348" s="8" t="n">
        <f aca="false">H346*'Unit Economics'!$E$57</f>
        <v>-0</v>
      </c>
      <c r="I348" s="8" t="n">
        <f aca="false">I346*'Unit Economics'!$E$57</f>
        <v>-0</v>
      </c>
      <c r="J348" s="8" t="n">
        <f aca="false">J346*'Unit Economics'!$E$57</f>
        <v>-0</v>
      </c>
      <c r="K348" s="8" t="n">
        <f aca="false">K346*'Unit Economics'!$E$57</f>
        <v>0</v>
      </c>
      <c r="L348" s="8" t="n">
        <f aca="false">L346*'Unit Economics'!$E$57</f>
        <v>42.24</v>
      </c>
      <c r="M348" s="8" t="n">
        <f aca="false">M346*'Unit Economics'!$E$57</f>
        <v>194.0224</v>
      </c>
      <c r="N348" s="8" t="n">
        <f aca="false">N346*'Unit Economics'!$E$57</f>
        <v>332.226048</v>
      </c>
      <c r="O348" s="8" t="n">
        <f aca="false">O346*'Unit Economics'!$E$57</f>
        <v>402.46812672</v>
      </c>
      <c r="P348" s="8" t="n">
        <f aca="false">P346*'Unit Economics'!$E$57</f>
        <v>444.39188992</v>
      </c>
      <c r="Q348" s="8" t="n">
        <f aca="false">Q346*'Unit Economics'!$E$57</f>
        <v>395.686538784768</v>
      </c>
      <c r="R348" s="8" t="n">
        <f aca="false">R346*'Unit Economics'!$E$57</f>
        <v>659.100720318628</v>
      </c>
      <c r="S348" s="8" t="n">
        <f aca="false">S346*'Unit Economics'!$E$57</f>
        <v>635.133421397951</v>
      </c>
      <c r="T348" s="8" t="n">
        <f aca="false">T346*'Unit Economics'!$E$57</f>
        <v>673.241426681828</v>
      </c>
      <c r="U348" s="8" t="n">
        <f aca="false">U346*'Unit Economics'!$E$57</f>
        <v>642.272321054464</v>
      </c>
      <c r="V348" s="8" t="n">
        <f aca="false">V346*'Unit Economics'!$E$57</f>
        <v>529.517846913791</v>
      </c>
      <c r="W348" s="8" t="n">
        <f aca="false">W346*'Unit Economics'!$E$57</f>
        <v>320.736524416353</v>
      </c>
      <c r="X348" s="8" t="n">
        <f aca="false">X346*'Unit Economics'!$E$57</f>
        <v>509.971073822002</v>
      </c>
      <c r="Y348" s="8" t="n">
        <f aca="false">Y346*'Unit Economics'!$E$57</f>
        <v>1171.2335662112</v>
      </c>
      <c r="Z348" s="8" t="n">
        <f aca="false">Z346*'Unit Economics'!$E$57</f>
        <v>1337.00816327494</v>
      </c>
      <c r="AA348" s="8" t="n">
        <f aca="false">AA346*'Unit Economics'!$E$57</f>
        <v>1180.38720700559</v>
      </c>
      <c r="AB348" s="8" t="n">
        <f aca="false">AB346*'Unit Economics'!$E$57</f>
        <v>1013.16568601313</v>
      </c>
      <c r="AC348" s="8" t="n">
        <f aca="false">AC346*'Unit Economics'!$E$57</f>
        <v>730.492459615466</v>
      </c>
      <c r="AD348" s="8" t="n">
        <f aca="false">AD346*'Unit Economics'!$E$57</f>
        <v>1182.35422392046</v>
      </c>
      <c r="AE348" s="8" t="n">
        <f aca="false">AE346*'Unit Economics'!$E$57</f>
        <v>1107.11350058007</v>
      </c>
      <c r="AF348" s="8" t="n">
        <f aca="false">AF346*'Unit Economics'!$E$57</f>
        <v>1140.32690559747</v>
      </c>
      <c r="AG348" s="8" t="n">
        <f aca="false">AG346*'Unit Economics'!$E$57</f>
        <v>1057.08304148886</v>
      </c>
      <c r="AH348" s="8" t="n">
        <f aca="false">AH346*'Unit Economics'!$E$57</f>
        <v>846.84096990385</v>
      </c>
      <c r="AI348" s="8" t="n">
        <f aca="false">AI346*'Unit Economics'!$E$57</f>
        <v>498.426399429123</v>
      </c>
      <c r="AJ348" s="8" t="n">
        <f aca="false">AJ346*'Unit Economics'!$E$57</f>
        <v>770.068787117995</v>
      </c>
      <c r="AK348" s="8" t="n">
        <f aca="false">AK346*'Unit Economics'!$E$57</f>
        <v>1718.53684325166</v>
      </c>
      <c r="AL348" s="8" t="n">
        <f aca="false">AL346*'Unit Economics'!$E$57</f>
        <v>1906.25394459146</v>
      </c>
      <c r="AM348" s="45" t="n">
        <f aca="false">SUMIF($C$6:$AL$6,1,C348:AL348)</f>
        <v>568.488448</v>
      </c>
      <c r="AN348" s="45" t="n">
        <f aca="false">SUMIF($C$6:$AL$6,2,C348:AL348)</f>
        <v>7720.76161951592</v>
      </c>
      <c r="AO348" s="45" t="n">
        <f aca="false">SUMIF($C$6:$AL$6,3,C348:AL348)</f>
        <v>13151.0499685151</v>
      </c>
      <c r="AP348" s="45" t="n">
        <f aca="false">SUM(C348:AL348)</f>
        <v>21440.300036031</v>
      </c>
    </row>
    <row r="349" customFormat="false" ht="15" hidden="false" customHeight="false" outlineLevel="0" collapsed="false">
      <c r="A349" s="7" t="s">
        <v>764</v>
      </c>
      <c r="B349" s="9" t="s">
        <v>101</v>
      </c>
      <c r="C349" s="8" t="n">
        <f aca="false">C346*'Unit Economics'!$F$57</f>
        <v>-0</v>
      </c>
      <c r="D349" s="8" t="n">
        <f aca="false">D346*'Unit Economics'!$F$57</f>
        <v>-0</v>
      </c>
      <c r="E349" s="8" t="n">
        <f aca="false">E346*'Unit Economics'!$F$57</f>
        <v>-0</v>
      </c>
      <c r="F349" s="8" t="n">
        <f aca="false">F346*'Unit Economics'!$F$57</f>
        <v>-0</v>
      </c>
      <c r="G349" s="8" t="n">
        <f aca="false">G346*'Unit Economics'!$F$57</f>
        <v>-0</v>
      </c>
      <c r="H349" s="8" t="n">
        <f aca="false">H346*'Unit Economics'!$F$57</f>
        <v>-0</v>
      </c>
      <c r="I349" s="8" t="n">
        <f aca="false">I346*'Unit Economics'!$F$57</f>
        <v>-0</v>
      </c>
      <c r="J349" s="8" t="n">
        <f aca="false">J346*'Unit Economics'!$F$57</f>
        <v>-0</v>
      </c>
      <c r="K349" s="8" t="n">
        <f aca="false">K346*'Unit Economics'!$F$57</f>
        <v>0</v>
      </c>
      <c r="L349" s="8" t="n">
        <f aca="false">L346*'Unit Economics'!$F$57</f>
        <v>38.140416</v>
      </c>
      <c r="M349" s="8" t="n">
        <f aca="false">M346*'Unit Economics'!$F$57</f>
        <v>175.19164416</v>
      </c>
      <c r="N349" s="8" t="n">
        <f aca="false">N346*'Unit Economics'!$F$57</f>
        <v>299.9819999232</v>
      </c>
      <c r="O349" s="8" t="n">
        <f aca="false">O346*'Unit Economics'!$F$57</f>
        <v>363.406765621248</v>
      </c>
      <c r="P349" s="8" t="n">
        <f aca="false">P346*'Unit Economics'!$F$57</f>
        <v>401.261637040128</v>
      </c>
      <c r="Q349" s="8" t="n">
        <f aca="false">Q346*'Unit Economics'!$F$57</f>
        <v>357.28336162053</v>
      </c>
      <c r="R349" s="8" t="n">
        <f aca="false">R346*'Unit Economics'!$F$57</f>
        <v>595.13199949934</v>
      </c>
      <c r="S349" s="8" t="n">
        <f aca="false">S346*'Unit Economics'!$F$57</f>
        <v>573.490835881182</v>
      </c>
      <c r="T349" s="8" t="n">
        <f aca="false">T346*'Unit Economics'!$F$57</f>
        <v>607.900286034053</v>
      </c>
      <c r="U349" s="8" t="n">
        <f aca="false">U346*'Unit Economics'!$F$57</f>
        <v>579.936872876487</v>
      </c>
      <c r="V349" s="8" t="n">
        <f aca="false">V346*'Unit Economics'!$F$57</f>
        <v>478.125732971504</v>
      </c>
      <c r="W349" s="8" t="n">
        <f aca="false">W346*'Unit Economics'!$F$57</f>
        <v>289.607586828454</v>
      </c>
      <c r="X349" s="8" t="n">
        <f aca="false">X346*'Unit Economics'!$F$57</f>
        <v>460.476063057241</v>
      </c>
      <c r="Y349" s="8" t="n">
        <f aca="false">Y346*'Unit Economics'!$F$57</f>
        <v>1057.56002482146</v>
      </c>
      <c r="Z349" s="8" t="n">
        <f aca="false">Z346*'Unit Economics'!$F$57</f>
        <v>1207.24544371927</v>
      </c>
      <c r="AA349" s="8" t="n">
        <f aca="false">AA346*'Unit Economics'!$F$57</f>
        <v>1065.8252631693</v>
      </c>
      <c r="AB349" s="8" t="n">
        <f aca="false">AB346*'Unit Economics'!$F$57</f>
        <v>914.833350886982</v>
      </c>
      <c r="AC349" s="8" t="n">
        <f aca="false">AC346*'Unit Economics'!$F$57</f>
        <v>659.594845989514</v>
      </c>
      <c r="AD349" s="8" t="n">
        <f aca="false">AD346*'Unit Economics'!$F$57</f>
        <v>1067.6013721516</v>
      </c>
      <c r="AE349" s="8" t="n">
        <f aca="false">AE346*'Unit Economics'!$F$57</f>
        <v>999.663103014679</v>
      </c>
      <c r="AF349" s="8" t="n">
        <f aca="false">AF346*'Unit Economics'!$F$57</f>
        <v>1029.65299610512</v>
      </c>
      <c r="AG349" s="8" t="n">
        <f aca="false">AG346*'Unit Economics'!$F$57</f>
        <v>954.488327389446</v>
      </c>
      <c r="AH349" s="8" t="n">
        <f aca="false">AH346*'Unit Economics'!$F$57</f>
        <v>764.651204497545</v>
      </c>
      <c r="AI349" s="8" t="n">
        <f aca="false">AI346*'Unit Economics'!$F$57</f>
        <v>450.051851789984</v>
      </c>
      <c r="AJ349" s="8" t="n">
        <f aca="false">AJ346*'Unit Economics'!$F$57</f>
        <v>695.330111015525</v>
      </c>
      <c r="AK349" s="8" t="n">
        <f aca="false">AK346*'Unit Economics'!$F$57</f>
        <v>1551.74503108298</v>
      </c>
      <c r="AL349" s="8" t="n">
        <f aca="false">AL346*'Unit Economics'!$F$57</f>
        <v>1721.2433344782</v>
      </c>
      <c r="AM349" s="45" t="n">
        <f aca="false">SUMIF($C$6:$AL$6,1,C349:AL349)</f>
        <v>513.3140600832</v>
      </c>
      <c r="AN349" s="45" t="n">
        <f aca="false">SUMIF($C$6:$AL$6,2,C349:AL349)</f>
        <v>6971.4266099709</v>
      </c>
      <c r="AO349" s="45" t="n">
        <f aca="false">SUMIF($C$6:$AL$6,3,C349:AL349)</f>
        <v>11874.6807915709</v>
      </c>
      <c r="AP349" s="45" t="n">
        <f aca="false">SUM(C349:AL349)</f>
        <v>19359.421461625</v>
      </c>
    </row>
    <row r="350" customFormat="false" ht="15" hidden="false" customHeight="false" outlineLevel="0" collapsed="false">
      <c r="A350" s="5" t="s">
        <v>579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</row>
    <row r="351" customFormat="false" ht="15" hidden="false" customHeight="false" outlineLevel="0" collapsed="false">
      <c r="A351" s="7" t="s">
        <v>755</v>
      </c>
      <c r="B351" s="9" t="s">
        <v>319</v>
      </c>
      <c r="C351" s="38" t="n">
        <f aca="false">IF(AND(Assumptions!$E$164=1,C$4&gt;=Assumptions!$E$165),1,0)</f>
        <v>0</v>
      </c>
      <c r="D351" s="38" t="n">
        <f aca="false">IF(AND(Assumptions!$E$164=1,D$4&gt;=Assumptions!$E$165),1,0)</f>
        <v>0</v>
      </c>
      <c r="E351" s="38" t="n">
        <f aca="false">IF(AND(Assumptions!$E$164=1,E$4&gt;=Assumptions!$E$165),1,0)</f>
        <v>0</v>
      </c>
      <c r="F351" s="38" t="n">
        <f aca="false">IF(AND(Assumptions!$E$164=1,F$4&gt;=Assumptions!$E$165),1,0)</f>
        <v>0</v>
      </c>
      <c r="G351" s="38" t="n">
        <f aca="false">IF(AND(Assumptions!$E$164=1,G$4&gt;=Assumptions!$E$165),1,0)</f>
        <v>0</v>
      </c>
      <c r="H351" s="38" t="n">
        <f aca="false">IF(AND(Assumptions!$E$164=1,H$4&gt;=Assumptions!$E$165),1,0)</f>
        <v>0</v>
      </c>
      <c r="I351" s="38" t="n">
        <f aca="false">IF(AND(Assumptions!$E$164=1,I$4&gt;=Assumptions!$E$165),1,0)</f>
        <v>0</v>
      </c>
      <c r="J351" s="38" t="n">
        <f aca="false">IF(AND(Assumptions!$E$164=1,J$4&gt;=Assumptions!$E$165),1,0)</f>
        <v>0</v>
      </c>
      <c r="K351" s="38" t="n">
        <f aca="false">IF(AND(Assumptions!$E$164=1,K$4&gt;=Assumptions!$E$165),1,0)</f>
        <v>0</v>
      </c>
      <c r="L351" s="38" t="n">
        <f aca="false">IF(AND(Assumptions!$E$164=1,L$4&gt;=Assumptions!$E$165),1,0)</f>
        <v>0</v>
      </c>
      <c r="M351" s="38" t="n">
        <f aca="false">IF(AND(Assumptions!$E$164=1,M$4&gt;=Assumptions!$E$165),1,0)</f>
        <v>0</v>
      </c>
      <c r="N351" s="38" t="n">
        <f aca="false">IF(AND(Assumptions!$E$164=1,N$4&gt;=Assumptions!$E$165),1,0)</f>
        <v>0</v>
      </c>
      <c r="O351" s="38" t="n">
        <f aca="false">IF(AND(Assumptions!$E$164=1,O$4&gt;=Assumptions!$E$165),1,0)</f>
        <v>0</v>
      </c>
      <c r="P351" s="38" t="n">
        <f aca="false">IF(AND(Assumptions!$E$164=1,P$4&gt;=Assumptions!$E$165),1,0)</f>
        <v>0</v>
      </c>
      <c r="Q351" s="38" t="n">
        <f aca="false">IF(AND(Assumptions!$E$164=1,Q$4&gt;=Assumptions!$E$165),1,0)</f>
        <v>0</v>
      </c>
      <c r="R351" s="38" t="n">
        <f aca="false">IF(AND(Assumptions!$E$164=1,R$4&gt;=Assumptions!$E$165),1,0)</f>
        <v>0</v>
      </c>
      <c r="S351" s="38" t="n">
        <f aca="false">IF(AND(Assumptions!$E$164=1,S$4&gt;=Assumptions!$E$165),1,0)</f>
        <v>0</v>
      </c>
      <c r="T351" s="38" t="n">
        <f aca="false">IF(AND(Assumptions!$E$164=1,T$4&gt;=Assumptions!$E$165),1,0)</f>
        <v>0</v>
      </c>
      <c r="U351" s="38" t="n">
        <f aca="false">IF(AND(Assumptions!$E$164=1,U$4&gt;=Assumptions!$E$165),1,0)</f>
        <v>0</v>
      </c>
      <c r="V351" s="38" t="n">
        <f aca="false">IF(AND(Assumptions!$E$164=1,V$4&gt;=Assumptions!$E$165),1,0)</f>
        <v>0</v>
      </c>
      <c r="W351" s="38" t="n">
        <f aca="false">IF(AND(Assumptions!$E$164=1,W$4&gt;=Assumptions!$E$165),1,0)</f>
        <v>0</v>
      </c>
      <c r="X351" s="38" t="n">
        <f aca="false">IF(AND(Assumptions!$E$164=1,X$4&gt;=Assumptions!$E$165),1,0)</f>
        <v>1</v>
      </c>
      <c r="Y351" s="38" t="n">
        <f aca="false">IF(AND(Assumptions!$E$164=1,Y$4&gt;=Assumptions!$E$165),1,0)</f>
        <v>1</v>
      </c>
      <c r="Z351" s="38" t="n">
        <f aca="false">IF(AND(Assumptions!$E$164=1,Z$4&gt;=Assumptions!$E$165),1,0)</f>
        <v>1</v>
      </c>
      <c r="AA351" s="38" t="n">
        <f aca="false">IF(AND(Assumptions!$E$164=1,AA$4&gt;=Assumptions!$E$165),1,0)</f>
        <v>1</v>
      </c>
      <c r="AB351" s="38" t="n">
        <f aca="false">IF(AND(Assumptions!$E$164=1,AB$4&gt;=Assumptions!$E$165),1,0)</f>
        <v>1</v>
      </c>
      <c r="AC351" s="38" t="n">
        <f aca="false">IF(AND(Assumptions!$E$164=1,AC$4&gt;=Assumptions!$E$165),1,0)</f>
        <v>1</v>
      </c>
      <c r="AD351" s="38" t="n">
        <f aca="false">IF(AND(Assumptions!$E$164=1,AD$4&gt;=Assumptions!$E$165),1,0)</f>
        <v>1</v>
      </c>
      <c r="AE351" s="38" t="n">
        <f aca="false">IF(AND(Assumptions!$E$164=1,AE$4&gt;=Assumptions!$E$165),1,0)</f>
        <v>1</v>
      </c>
      <c r="AF351" s="38" t="n">
        <f aca="false">IF(AND(Assumptions!$E$164=1,AF$4&gt;=Assumptions!$E$165),1,0)</f>
        <v>1</v>
      </c>
      <c r="AG351" s="38" t="n">
        <f aca="false">IF(AND(Assumptions!$E$164=1,AG$4&gt;=Assumptions!$E$165),1,0)</f>
        <v>1</v>
      </c>
      <c r="AH351" s="38" t="n">
        <f aca="false">IF(AND(Assumptions!$E$164=1,AH$4&gt;=Assumptions!$E$165),1,0)</f>
        <v>1</v>
      </c>
      <c r="AI351" s="38" t="n">
        <f aca="false">IF(AND(Assumptions!$E$164=1,AI$4&gt;=Assumptions!$E$165),1,0)</f>
        <v>1</v>
      </c>
      <c r="AJ351" s="38" t="n">
        <f aca="false">IF(AND(Assumptions!$E$164=1,AJ$4&gt;=Assumptions!$E$165),1,0)</f>
        <v>1</v>
      </c>
      <c r="AK351" s="38" t="n">
        <f aca="false">IF(AND(Assumptions!$E$164=1,AK$4&gt;=Assumptions!$E$165),1,0)</f>
        <v>1</v>
      </c>
      <c r="AL351" s="38" t="n">
        <f aca="false">IF(AND(Assumptions!$E$164=1,AL$4&gt;=Assumptions!$E$165),1,0)</f>
        <v>1</v>
      </c>
    </row>
    <row r="352" customFormat="false" ht="15" hidden="false" customHeight="false" outlineLevel="0" collapsed="false">
      <c r="A352" s="7" t="s">
        <v>756</v>
      </c>
      <c r="B352" s="9" t="s">
        <v>327</v>
      </c>
      <c r="C352" s="14" t="n">
        <f aca="false">IF(C351=0,0,Assumptions!$E$166)</f>
        <v>0</v>
      </c>
      <c r="D352" s="14" t="n">
        <f aca="false">IF(D351=0,0,IF(D$4=Assumptions!$E$165,Assumptions!$E$166,C352*(1+CHOOSE(D$6,Assumptions!$E$167,Assumptions!$E$168,Assumptions!$E$169))))</f>
        <v>0</v>
      </c>
      <c r="E352" s="14" t="n">
        <f aca="false">IF(E351=0,0,IF(E$4=Assumptions!$E$165,Assumptions!$E$166,D352*(1+CHOOSE(E$6,Assumptions!$E$167,Assumptions!$E$168,Assumptions!$E$169))))</f>
        <v>0</v>
      </c>
      <c r="F352" s="14" t="n">
        <f aca="false">IF(F351=0,0,IF(F$4=Assumptions!$E$165,Assumptions!$E$166,E352*(1+CHOOSE(F$6,Assumptions!$E$167,Assumptions!$E$168,Assumptions!$E$169))))</f>
        <v>0</v>
      </c>
      <c r="G352" s="14" t="n">
        <f aca="false">IF(G351=0,0,IF(G$4=Assumptions!$E$165,Assumptions!$E$166,F352*(1+CHOOSE(G$6,Assumptions!$E$167,Assumptions!$E$168,Assumptions!$E$169))))</f>
        <v>0</v>
      </c>
      <c r="H352" s="14" t="n">
        <f aca="false">IF(H351=0,0,IF(H$4=Assumptions!$E$165,Assumptions!$E$166,G352*(1+CHOOSE(H$6,Assumptions!$E$167,Assumptions!$E$168,Assumptions!$E$169))))</f>
        <v>0</v>
      </c>
      <c r="I352" s="14" t="n">
        <f aca="false">IF(I351=0,0,IF(I$4=Assumptions!$E$165,Assumptions!$E$166,H352*(1+CHOOSE(I$6,Assumptions!$E$167,Assumptions!$E$168,Assumptions!$E$169))))</f>
        <v>0</v>
      </c>
      <c r="J352" s="14" t="n">
        <f aca="false">IF(J351=0,0,IF(J$4=Assumptions!$E$165,Assumptions!$E$166,I352*(1+CHOOSE(J$6,Assumptions!$E$167,Assumptions!$E$168,Assumptions!$E$169))))</f>
        <v>0</v>
      </c>
      <c r="K352" s="14" t="n">
        <f aca="false">IF(K351=0,0,IF(K$4=Assumptions!$E$165,Assumptions!$E$166,J352*(1+CHOOSE(K$6,Assumptions!$E$167,Assumptions!$E$168,Assumptions!$E$169))))</f>
        <v>0</v>
      </c>
      <c r="L352" s="14" t="n">
        <f aca="false">IF(L351=0,0,IF(L$4=Assumptions!$E$165,Assumptions!$E$166,K352*(1+CHOOSE(L$6,Assumptions!$E$167,Assumptions!$E$168,Assumptions!$E$169))))</f>
        <v>0</v>
      </c>
      <c r="M352" s="14" t="n">
        <f aca="false">IF(M351=0,0,IF(M$4=Assumptions!$E$165,Assumptions!$E$166,L352*(1+CHOOSE(M$6,Assumptions!$E$167,Assumptions!$E$168,Assumptions!$E$169))))</f>
        <v>0</v>
      </c>
      <c r="N352" s="14" t="n">
        <f aca="false">IF(N351=0,0,IF(N$4=Assumptions!$E$165,Assumptions!$E$166,M352*(1+CHOOSE(N$6,Assumptions!$E$167,Assumptions!$E$168,Assumptions!$E$169))))</f>
        <v>0</v>
      </c>
      <c r="O352" s="14" t="n">
        <f aca="false">IF(O351=0,0,IF(O$4=Assumptions!$E$165,Assumptions!$E$166,N352*(1+CHOOSE(O$6,Assumptions!$E$167,Assumptions!$E$168,Assumptions!$E$169))))</f>
        <v>0</v>
      </c>
      <c r="P352" s="14" t="n">
        <f aca="false">IF(P351=0,0,IF(P$4=Assumptions!$E$165,Assumptions!$E$166,O352*(1+CHOOSE(P$6,Assumptions!$E$167,Assumptions!$E$168,Assumptions!$E$169))))</f>
        <v>0</v>
      </c>
      <c r="Q352" s="14" t="n">
        <f aca="false">IF(Q351=0,0,IF(Q$4=Assumptions!$E$165,Assumptions!$E$166,P352*(1+CHOOSE(Q$6,Assumptions!$E$167,Assumptions!$E$168,Assumptions!$E$169))))</f>
        <v>0</v>
      </c>
      <c r="R352" s="14" t="n">
        <f aca="false">IF(R351=0,0,IF(R$4=Assumptions!$E$165,Assumptions!$E$166,Q352*(1+CHOOSE(R$6,Assumptions!$E$167,Assumptions!$E$168,Assumptions!$E$169))))</f>
        <v>0</v>
      </c>
      <c r="S352" s="14" t="n">
        <f aca="false">IF(S351=0,0,IF(S$4=Assumptions!$E$165,Assumptions!$E$166,R352*(1+CHOOSE(S$6,Assumptions!$E$167,Assumptions!$E$168,Assumptions!$E$169))))</f>
        <v>0</v>
      </c>
      <c r="T352" s="14" t="n">
        <f aca="false">IF(T351=0,0,IF(T$4=Assumptions!$E$165,Assumptions!$E$166,S352*(1+CHOOSE(T$6,Assumptions!$E$167,Assumptions!$E$168,Assumptions!$E$169))))</f>
        <v>0</v>
      </c>
      <c r="U352" s="14" t="n">
        <f aca="false">IF(U351=0,0,IF(U$4=Assumptions!$E$165,Assumptions!$E$166,T352*(1+CHOOSE(U$6,Assumptions!$E$167,Assumptions!$E$168,Assumptions!$E$169))))</f>
        <v>0</v>
      </c>
      <c r="V352" s="14" t="n">
        <f aca="false">IF(V351=0,0,IF(V$4=Assumptions!$E$165,Assumptions!$E$166,U352*(1+CHOOSE(V$6,Assumptions!$E$167,Assumptions!$E$168,Assumptions!$E$169))))</f>
        <v>0</v>
      </c>
      <c r="W352" s="14" t="n">
        <f aca="false">IF(W351=0,0,IF(W$4=Assumptions!$E$165,Assumptions!$E$166,V352*(1+CHOOSE(W$6,Assumptions!$E$167,Assumptions!$E$168,Assumptions!$E$169))))</f>
        <v>0</v>
      </c>
      <c r="X352" s="14" t="n">
        <f aca="false">IF(X351=0,0,IF(X$4=Assumptions!$E$165,Assumptions!$E$166,W352*(1+CHOOSE(X$6,Assumptions!$E$167,Assumptions!$E$168,Assumptions!$E$169))))</f>
        <v>1200</v>
      </c>
      <c r="Y352" s="14" t="n">
        <f aca="false">IF(Y351=0,0,IF(Y$4=Assumptions!$E$165,Assumptions!$E$166,X352*(1+CHOOSE(Y$6,Assumptions!$E$167,Assumptions!$E$168,Assumptions!$E$169))))</f>
        <v>1296</v>
      </c>
      <c r="Z352" s="14" t="n">
        <f aca="false">IF(Z351=0,0,IF(Z$4=Assumptions!$E$165,Assumptions!$E$166,Y352*(1+CHOOSE(Z$6,Assumptions!$E$167,Assumptions!$E$168,Assumptions!$E$169))))</f>
        <v>1399.68</v>
      </c>
      <c r="AA352" s="14" t="n">
        <f aca="false">IF(AA351=0,0,IF(AA$4=Assumptions!$E$165,Assumptions!$E$166,Z352*(1+CHOOSE(AA$6,Assumptions!$E$167,Assumptions!$E$168,Assumptions!$E$169))))</f>
        <v>1511.6544</v>
      </c>
      <c r="AB352" s="14" t="n">
        <f aca="false">IF(AB351=0,0,IF(AB$4=Assumptions!$E$165,Assumptions!$E$166,AA352*(1+CHOOSE(AB$6,Assumptions!$E$167,Assumptions!$E$168,Assumptions!$E$169))))</f>
        <v>1632.586752</v>
      </c>
      <c r="AC352" s="14" t="n">
        <f aca="false">IF(AC351=0,0,IF(AC$4=Assumptions!$E$165,Assumptions!$E$166,AB352*(1+CHOOSE(AC$6,Assumptions!$E$167,Assumptions!$E$168,Assumptions!$E$169))))</f>
        <v>1763.19369216</v>
      </c>
      <c r="AD352" s="14" t="n">
        <f aca="false">IF(AD351=0,0,IF(AD$4=Assumptions!$E$165,Assumptions!$E$166,AC352*(1+CHOOSE(AD$6,Assumptions!$E$167,Assumptions!$E$168,Assumptions!$E$169))))</f>
        <v>1904.2491875328</v>
      </c>
      <c r="AE352" s="14" t="n">
        <f aca="false">IF(AE351=0,0,IF(AE$4=Assumptions!$E$165,Assumptions!$E$166,AD352*(1+CHOOSE(AE$6,Assumptions!$E$167,Assumptions!$E$168,Assumptions!$E$169))))</f>
        <v>2056.58912253542</v>
      </c>
      <c r="AF352" s="14" t="n">
        <f aca="false">IF(AF351=0,0,IF(AF$4=Assumptions!$E$165,Assumptions!$E$166,AE352*(1+CHOOSE(AF$6,Assumptions!$E$167,Assumptions!$E$168,Assumptions!$E$169))))</f>
        <v>2221.11625233826</v>
      </c>
      <c r="AG352" s="14" t="n">
        <f aca="false">IF(AG351=0,0,IF(AG$4=Assumptions!$E$165,Assumptions!$E$166,AF352*(1+CHOOSE(AG$6,Assumptions!$E$167,Assumptions!$E$168,Assumptions!$E$169))))</f>
        <v>2398.80555252532</v>
      </c>
      <c r="AH352" s="14" t="n">
        <f aca="false">IF(AH351=0,0,IF(AH$4=Assumptions!$E$165,Assumptions!$E$166,AG352*(1+CHOOSE(AH$6,Assumptions!$E$167,Assumptions!$E$168,Assumptions!$E$169))))</f>
        <v>2590.70999672735</v>
      </c>
      <c r="AI352" s="14" t="n">
        <f aca="false">IF(AI351=0,0,IF(AI$4=Assumptions!$E$165,Assumptions!$E$166,AH352*(1+CHOOSE(AI$6,Assumptions!$E$167,Assumptions!$E$168,Assumptions!$E$169))))</f>
        <v>2797.96679646553</v>
      </c>
      <c r="AJ352" s="14" t="n">
        <f aca="false">IF(AJ351=0,0,IF(AJ$4=Assumptions!$E$165,Assumptions!$E$166,AI352*(1+CHOOSE(AJ$6,Assumptions!$E$167,Assumptions!$E$168,Assumptions!$E$169))))</f>
        <v>3021.80414018278</v>
      </c>
      <c r="AK352" s="14" t="n">
        <f aca="false">IF(AK351=0,0,IF(AK$4=Assumptions!$E$165,Assumptions!$E$166,AJ352*(1+CHOOSE(AK$6,Assumptions!$E$167,Assumptions!$E$168,Assumptions!$E$169))))</f>
        <v>3263.5484713974</v>
      </c>
      <c r="AL352" s="14" t="n">
        <f aca="false">IF(AL351=0,0,IF(AL$4=Assumptions!$E$165,Assumptions!$E$166,AK352*(1+CHOOSE(AL$6,Assumptions!$E$167,Assumptions!$E$168,Assumptions!$E$169))))</f>
        <v>3524.63234910919</v>
      </c>
    </row>
    <row r="353" customFormat="false" ht="15" hidden="false" customHeight="false" outlineLevel="0" collapsed="false">
      <c r="A353" s="7" t="s">
        <v>775</v>
      </c>
      <c r="B353" s="9" t="s">
        <v>327</v>
      </c>
      <c r="C353" s="52" t="n">
        <f aca="false">C352*C$7</f>
        <v>0</v>
      </c>
      <c r="D353" s="52" t="n">
        <f aca="false">D352*D$7</f>
        <v>0</v>
      </c>
      <c r="E353" s="52" t="n">
        <f aca="false">E352*E$7</f>
        <v>0</v>
      </c>
      <c r="F353" s="52" t="n">
        <f aca="false">F352*F$7</f>
        <v>0</v>
      </c>
      <c r="G353" s="52" t="n">
        <f aca="false">G352*G$7</f>
        <v>0</v>
      </c>
      <c r="H353" s="52" t="n">
        <f aca="false">H352*H$7</f>
        <v>0</v>
      </c>
      <c r="I353" s="52" t="n">
        <f aca="false">I352*I$7</f>
        <v>0</v>
      </c>
      <c r="J353" s="52" t="n">
        <f aca="false">J352*J$7</f>
        <v>0</v>
      </c>
      <c r="K353" s="52" t="n">
        <f aca="false">K352*K$7</f>
        <v>0</v>
      </c>
      <c r="L353" s="52" t="n">
        <f aca="false">L352*L$7</f>
        <v>0</v>
      </c>
      <c r="M353" s="52" t="n">
        <f aca="false">M352*M$7</f>
        <v>0</v>
      </c>
      <c r="N353" s="52" t="n">
        <f aca="false">N352*N$7</f>
        <v>0</v>
      </c>
      <c r="O353" s="52" t="n">
        <f aca="false">O352*O$7</f>
        <v>0</v>
      </c>
      <c r="P353" s="52" t="n">
        <f aca="false">P352*P$7</f>
        <v>0</v>
      </c>
      <c r="Q353" s="52" t="n">
        <f aca="false">Q352*Q$7</f>
        <v>0</v>
      </c>
      <c r="R353" s="52" t="n">
        <f aca="false">R352*R$7</f>
        <v>0</v>
      </c>
      <c r="S353" s="52" t="n">
        <f aca="false">S352*S$7</f>
        <v>0</v>
      </c>
      <c r="T353" s="52" t="n">
        <f aca="false">T352*T$7</f>
        <v>0</v>
      </c>
      <c r="U353" s="52" t="n">
        <f aca="false">U352*U$7</f>
        <v>0</v>
      </c>
      <c r="V353" s="52" t="n">
        <f aca="false">V352*V$7</f>
        <v>0</v>
      </c>
      <c r="W353" s="52" t="n">
        <f aca="false">W352*W$7</f>
        <v>0</v>
      </c>
      <c r="X353" s="52" t="n">
        <f aca="false">X352*X$7</f>
        <v>1140</v>
      </c>
      <c r="Y353" s="52" t="n">
        <f aca="false">Y352*Y$7</f>
        <v>1101.6</v>
      </c>
      <c r="Z353" s="52" t="n">
        <f aca="false">Z352*Z$7</f>
        <v>1189.728</v>
      </c>
      <c r="AA353" s="52" t="n">
        <f aca="false">AA352*AA$7</f>
        <v>1436.07168</v>
      </c>
      <c r="AB353" s="52" t="n">
        <f aca="false">AB352*AB$7</f>
        <v>2122.3627776</v>
      </c>
      <c r="AC353" s="52" t="n">
        <f aca="false">AC352*AC$7</f>
        <v>2380.311484416</v>
      </c>
      <c r="AD353" s="52" t="n">
        <f aca="false">AD352*AD$7</f>
        <v>2380.311484416</v>
      </c>
      <c r="AE353" s="52" t="n">
        <f aca="false">AE352*AE$7</f>
        <v>1850.93021028188</v>
      </c>
      <c r="AF353" s="52" t="n">
        <f aca="false">AF352*AF$7</f>
        <v>2221.11625233826</v>
      </c>
      <c r="AG353" s="52" t="n">
        <f aca="false">AG352*AG$7</f>
        <v>2518.74583015159</v>
      </c>
      <c r="AH353" s="52" t="n">
        <f aca="false">AH352*AH$7</f>
        <v>2461.17449689098</v>
      </c>
      <c r="AI353" s="52" t="n">
        <f aca="false">AI352*AI$7</f>
        <v>2797.96679646553</v>
      </c>
      <c r="AJ353" s="52" t="n">
        <f aca="false">AJ352*AJ$7</f>
        <v>2870.71393317364</v>
      </c>
      <c r="AK353" s="52" t="n">
        <f aca="false">AK352*AK$7</f>
        <v>2774.01620068779</v>
      </c>
      <c r="AL353" s="52" t="n">
        <f aca="false">AL352*AL$7</f>
        <v>2995.93749674281</v>
      </c>
      <c r="AM353" s="53" t="n">
        <f aca="false">SUMIF($C$6:$AL$6,1,C353:AL353)</f>
        <v>0</v>
      </c>
      <c r="AN353" s="53" t="n">
        <f aca="false">SUMIF($C$6:$AL$6,2,C353:AL353)</f>
        <v>3431.328</v>
      </c>
      <c r="AO353" s="53" t="n">
        <f aca="false">SUMIF($C$6:$AL$6,3,C353:AL353)</f>
        <v>28809.6586431645</v>
      </c>
      <c r="AP353" s="53" t="n">
        <f aca="false">SUM(C353:AL353)</f>
        <v>32240.9866431645</v>
      </c>
    </row>
    <row r="354" customFormat="false" ht="15" hidden="false" customHeight="false" outlineLevel="0" collapsed="false">
      <c r="A354" s="7" t="s">
        <v>758</v>
      </c>
      <c r="B354" s="9" t="s">
        <v>96</v>
      </c>
      <c r="C354" s="54" t="n">
        <f aca="false">Assumptions!$E$170*MIN(1,(C$4-Assumptions!$E$165+1)/Assumptions!$C$10)*C351</f>
        <v>-0</v>
      </c>
      <c r="D354" s="54" t="n">
        <f aca="false">Assumptions!$E$170*MIN(1,(D$4-Assumptions!$E$165+1)/Assumptions!$C$10)*D351</f>
        <v>-0</v>
      </c>
      <c r="E354" s="54" t="n">
        <f aca="false">Assumptions!$E$170*MIN(1,(E$4-Assumptions!$E$165+1)/Assumptions!$C$10)*E351</f>
        <v>-0</v>
      </c>
      <c r="F354" s="54" t="n">
        <f aca="false">Assumptions!$E$170*MIN(1,(F$4-Assumptions!$E$165+1)/Assumptions!$C$10)*F351</f>
        <v>-0</v>
      </c>
      <c r="G354" s="54" t="n">
        <f aca="false">Assumptions!$E$170*MIN(1,(G$4-Assumptions!$E$165+1)/Assumptions!$C$10)*G351</f>
        <v>-0</v>
      </c>
      <c r="H354" s="54" t="n">
        <f aca="false">Assumptions!$E$170*MIN(1,(H$4-Assumptions!$E$165+1)/Assumptions!$C$10)*H351</f>
        <v>-0</v>
      </c>
      <c r="I354" s="54" t="n">
        <f aca="false">Assumptions!$E$170*MIN(1,(I$4-Assumptions!$E$165+1)/Assumptions!$C$10)*I351</f>
        <v>-0</v>
      </c>
      <c r="J354" s="54" t="n">
        <f aca="false">Assumptions!$E$170*MIN(1,(J$4-Assumptions!$E$165+1)/Assumptions!$C$10)*J351</f>
        <v>-0</v>
      </c>
      <c r="K354" s="54" t="n">
        <f aca="false">Assumptions!$E$170*MIN(1,(K$4-Assumptions!$E$165+1)/Assumptions!$C$10)*K351</f>
        <v>-0</v>
      </c>
      <c r="L354" s="54" t="n">
        <f aca="false">Assumptions!$E$170*MIN(1,(L$4-Assumptions!$E$165+1)/Assumptions!$C$10)*L351</f>
        <v>-0</v>
      </c>
      <c r="M354" s="54" t="n">
        <f aca="false">Assumptions!$E$170*MIN(1,(M$4-Assumptions!$E$165+1)/Assumptions!$C$10)*M351</f>
        <v>-0</v>
      </c>
      <c r="N354" s="54" t="n">
        <f aca="false">Assumptions!$E$170*MIN(1,(N$4-Assumptions!$E$165+1)/Assumptions!$C$10)*N351</f>
        <v>-0</v>
      </c>
      <c r="O354" s="54" t="n">
        <f aca="false">Assumptions!$E$170*MIN(1,(O$4-Assumptions!$E$165+1)/Assumptions!$C$10)*O351</f>
        <v>-0</v>
      </c>
      <c r="P354" s="54" t="n">
        <f aca="false">Assumptions!$E$170*MIN(1,(P$4-Assumptions!$E$165+1)/Assumptions!$C$10)*P351</f>
        <v>-0</v>
      </c>
      <c r="Q354" s="54" t="n">
        <f aca="false">Assumptions!$E$170*MIN(1,(Q$4-Assumptions!$E$165+1)/Assumptions!$C$10)*Q351</f>
        <v>-0</v>
      </c>
      <c r="R354" s="54" t="n">
        <f aca="false">Assumptions!$E$170*MIN(1,(R$4-Assumptions!$E$165+1)/Assumptions!$C$10)*R351</f>
        <v>-0</v>
      </c>
      <c r="S354" s="54" t="n">
        <f aca="false">Assumptions!$E$170*MIN(1,(S$4-Assumptions!$E$165+1)/Assumptions!$C$10)*S351</f>
        <v>-0</v>
      </c>
      <c r="T354" s="54" t="n">
        <f aca="false">Assumptions!$E$170*MIN(1,(T$4-Assumptions!$E$165+1)/Assumptions!$C$10)*T351</f>
        <v>-0</v>
      </c>
      <c r="U354" s="54" t="n">
        <f aca="false">Assumptions!$E$170*MIN(1,(U$4-Assumptions!$E$165+1)/Assumptions!$C$10)*U351</f>
        <v>-0</v>
      </c>
      <c r="V354" s="54" t="n">
        <f aca="false">Assumptions!$E$170*MIN(1,(V$4-Assumptions!$E$165+1)/Assumptions!$C$10)*V351</f>
        <v>-0</v>
      </c>
      <c r="W354" s="54" t="n">
        <f aca="false">Assumptions!$E$170*MIN(1,(W$4-Assumptions!$E$165+1)/Assumptions!$C$10)*W351</f>
        <v>0</v>
      </c>
      <c r="X354" s="54" t="n">
        <f aca="false">Assumptions!$E$170*MIN(1,(X$4-Assumptions!$E$165+1)/Assumptions!$C$10)*X351</f>
        <v>0.0025</v>
      </c>
      <c r="Y354" s="54" t="n">
        <f aca="false">Assumptions!$E$170*MIN(1,(Y$4-Assumptions!$E$165+1)/Assumptions!$C$10)*Y351</f>
        <v>0.005</v>
      </c>
      <c r="Z354" s="54" t="n">
        <f aca="false">Assumptions!$E$170*MIN(1,(Z$4-Assumptions!$E$165+1)/Assumptions!$C$10)*Z351</f>
        <v>0.0075</v>
      </c>
      <c r="AA354" s="54" t="n">
        <f aca="false">Assumptions!$E$170*MIN(1,(AA$4-Assumptions!$E$165+1)/Assumptions!$C$10)*AA351</f>
        <v>0.01</v>
      </c>
      <c r="AB354" s="54" t="n">
        <f aca="false">Assumptions!$E$170*MIN(1,(AB$4-Assumptions!$E$165+1)/Assumptions!$C$10)*AB351</f>
        <v>0.0125</v>
      </c>
      <c r="AC354" s="54" t="n">
        <f aca="false">Assumptions!$E$170*MIN(1,(AC$4-Assumptions!$E$165+1)/Assumptions!$C$10)*AC351</f>
        <v>0.015</v>
      </c>
      <c r="AD354" s="54" t="n">
        <f aca="false">Assumptions!$E$170*MIN(1,(AD$4-Assumptions!$E$165+1)/Assumptions!$C$10)*AD351</f>
        <v>0.015</v>
      </c>
      <c r="AE354" s="54" t="n">
        <f aca="false">Assumptions!$E$170*MIN(1,(AE$4-Assumptions!$E$165+1)/Assumptions!$C$10)*AE351</f>
        <v>0.015</v>
      </c>
      <c r="AF354" s="54" t="n">
        <f aca="false">Assumptions!$E$170*MIN(1,(AF$4-Assumptions!$E$165+1)/Assumptions!$C$10)*AF351</f>
        <v>0.015</v>
      </c>
      <c r="AG354" s="54" t="n">
        <f aca="false">Assumptions!$E$170*MIN(1,(AG$4-Assumptions!$E$165+1)/Assumptions!$C$10)*AG351</f>
        <v>0.015</v>
      </c>
      <c r="AH354" s="54" t="n">
        <f aca="false">Assumptions!$E$170*MIN(1,(AH$4-Assumptions!$E$165+1)/Assumptions!$C$10)*AH351</f>
        <v>0.015</v>
      </c>
      <c r="AI354" s="54" t="n">
        <f aca="false">Assumptions!$E$170*MIN(1,(AI$4-Assumptions!$E$165+1)/Assumptions!$C$10)*AI351</f>
        <v>0.015</v>
      </c>
      <c r="AJ354" s="54" t="n">
        <f aca="false">Assumptions!$E$170*MIN(1,(AJ$4-Assumptions!$E$165+1)/Assumptions!$C$10)*AJ351</f>
        <v>0.015</v>
      </c>
      <c r="AK354" s="54" t="n">
        <f aca="false">Assumptions!$E$170*MIN(1,(AK$4-Assumptions!$E$165+1)/Assumptions!$C$10)*AK351</f>
        <v>0.015</v>
      </c>
      <c r="AL354" s="54" t="n">
        <f aca="false">Assumptions!$E$170*MIN(1,(AL$4-Assumptions!$E$165+1)/Assumptions!$C$10)*AL351</f>
        <v>0.015</v>
      </c>
    </row>
    <row r="355" customFormat="false" ht="15" hidden="false" customHeight="false" outlineLevel="0" collapsed="false">
      <c r="A355" s="7" t="s">
        <v>766</v>
      </c>
      <c r="B355" s="9" t="s">
        <v>760</v>
      </c>
      <c r="C355" s="55" t="n">
        <f aca="false">C353*C354</f>
        <v>-0</v>
      </c>
      <c r="D355" s="55" t="n">
        <f aca="false">D353*D354</f>
        <v>-0</v>
      </c>
      <c r="E355" s="55" t="n">
        <f aca="false">E353*E354</f>
        <v>-0</v>
      </c>
      <c r="F355" s="55" t="n">
        <f aca="false">F353*F354</f>
        <v>-0</v>
      </c>
      <c r="G355" s="55" t="n">
        <f aca="false">G353*G354</f>
        <v>-0</v>
      </c>
      <c r="H355" s="55" t="n">
        <f aca="false">H353*H354</f>
        <v>-0</v>
      </c>
      <c r="I355" s="55" t="n">
        <f aca="false">I353*I354</f>
        <v>-0</v>
      </c>
      <c r="J355" s="55" t="n">
        <f aca="false">J353*J354</f>
        <v>-0</v>
      </c>
      <c r="K355" s="55" t="n">
        <f aca="false">K353*K354</f>
        <v>-0</v>
      </c>
      <c r="L355" s="55" t="n">
        <f aca="false">L353*L354</f>
        <v>-0</v>
      </c>
      <c r="M355" s="55" t="n">
        <f aca="false">M353*M354</f>
        <v>-0</v>
      </c>
      <c r="N355" s="55" t="n">
        <f aca="false">N353*N354</f>
        <v>-0</v>
      </c>
      <c r="O355" s="55" t="n">
        <f aca="false">O353*O354</f>
        <v>-0</v>
      </c>
      <c r="P355" s="55" t="n">
        <f aca="false">P353*P354</f>
        <v>-0</v>
      </c>
      <c r="Q355" s="55" t="n">
        <f aca="false">Q353*Q354</f>
        <v>-0</v>
      </c>
      <c r="R355" s="55" t="n">
        <f aca="false">R353*R354</f>
        <v>-0</v>
      </c>
      <c r="S355" s="55" t="n">
        <f aca="false">S353*S354</f>
        <v>-0</v>
      </c>
      <c r="T355" s="55" t="n">
        <f aca="false">T353*T354</f>
        <v>-0</v>
      </c>
      <c r="U355" s="55" t="n">
        <f aca="false">U353*U354</f>
        <v>-0</v>
      </c>
      <c r="V355" s="55" t="n">
        <f aca="false">V353*V354</f>
        <v>-0</v>
      </c>
      <c r="W355" s="55" t="n">
        <f aca="false">W353*W354</f>
        <v>0</v>
      </c>
      <c r="X355" s="55" t="n">
        <f aca="false">X353*X354</f>
        <v>2.85</v>
      </c>
      <c r="Y355" s="55" t="n">
        <f aca="false">Y353*Y354</f>
        <v>5.508</v>
      </c>
      <c r="Z355" s="55" t="n">
        <f aca="false">Z353*Z354</f>
        <v>8.92296</v>
      </c>
      <c r="AA355" s="55" t="n">
        <f aca="false">AA353*AA354</f>
        <v>14.3607168</v>
      </c>
      <c r="AB355" s="55" t="n">
        <f aca="false">AB353*AB354</f>
        <v>26.52953472</v>
      </c>
      <c r="AC355" s="55" t="n">
        <f aca="false">AC353*AC354</f>
        <v>35.70467226624</v>
      </c>
      <c r="AD355" s="55" t="n">
        <f aca="false">AD353*AD354</f>
        <v>35.70467226624</v>
      </c>
      <c r="AE355" s="55" t="n">
        <f aca="false">AE353*AE354</f>
        <v>27.7639531542282</v>
      </c>
      <c r="AF355" s="55" t="n">
        <f aca="false">AF353*AF354</f>
        <v>33.3167437850739</v>
      </c>
      <c r="AG355" s="55" t="n">
        <f aca="false">AG353*AG354</f>
        <v>37.7811874522738</v>
      </c>
      <c r="AH355" s="55" t="n">
        <f aca="false">AH353*AH354</f>
        <v>36.9176174533647</v>
      </c>
      <c r="AI355" s="55" t="n">
        <f aca="false">AI353*AI354</f>
        <v>41.969501946983</v>
      </c>
      <c r="AJ355" s="55" t="n">
        <f aca="false">AJ353*AJ354</f>
        <v>43.0607089976046</v>
      </c>
      <c r="AK355" s="55" t="n">
        <f aca="false">AK353*AK354</f>
        <v>41.6102430103168</v>
      </c>
      <c r="AL355" s="55" t="n">
        <f aca="false">AL353*AL354</f>
        <v>44.9390624511422</v>
      </c>
      <c r="AM355" s="53" t="n">
        <f aca="false">SUMIF($C$6:$AL$6,1,C355:AL355)</f>
        <v>0</v>
      </c>
      <c r="AN355" s="53" t="n">
        <f aca="false">SUMIF($C$6:$AL$6,2,C355:AL355)</f>
        <v>17.28096</v>
      </c>
      <c r="AO355" s="53" t="n">
        <f aca="false">SUMIF($C$6:$AL$6,3,C355:AL355)</f>
        <v>419.658614303467</v>
      </c>
      <c r="AP355" s="53" t="n">
        <f aca="false">SUM(C355:AL355)</f>
        <v>436.939574303467</v>
      </c>
    </row>
    <row r="356" customFormat="false" ht="15" hidden="false" customHeight="false" outlineLevel="0" collapsed="false">
      <c r="A356" s="7" t="s">
        <v>761</v>
      </c>
      <c r="B356" s="9" t="s">
        <v>342</v>
      </c>
      <c r="C356" s="56" t="n">
        <f aca="false">C355*Assumptions!$E$171</f>
        <v>-0</v>
      </c>
      <c r="D356" s="56" t="n">
        <f aca="false">D355*Assumptions!$E$171</f>
        <v>-0</v>
      </c>
      <c r="E356" s="56" t="n">
        <f aca="false">E355*Assumptions!$E$171</f>
        <v>-0</v>
      </c>
      <c r="F356" s="56" t="n">
        <f aca="false">F355*Assumptions!$E$171</f>
        <v>-0</v>
      </c>
      <c r="G356" s="56" t="n">
        <f aca="false">G355*Assumptions!$E$171</f>
        <v>-0</v>
      </c>
      <c r="H356" s="56" t="n">
        <f aca="false">H355*Assumptions!$E$171</f>
        <v>-0</v>
      </c>
      <c r="I356" s="56" t="n">
        <f aca="false">I355*Assumptions!$E$171</f>
        <v>-0</v>
      </c>
      <c r="J356" s="56" t="n">
        <f aca="false">J355*Assumptions!$E$171</f>
        <v>-0</v>
      </c>
      <c r="K356" s="56" t="n">
        <f aca="false">K355*Assumptions!$E$171</f>
        <v>-0</v>
      </c>
      <c r="L356" s="56" t="n">
        <f aca="false">L355*Assumptions!$E$171</f>
        <v>-0</v>
      </c>
      <c r="M356" s="56" t="n">
        <f aca="false">M355*Assumptions!$E$171</f>
        <v>-0</v>
      </c>
      <c r="N356" s="56" t="n">
        <f aca="false">N355*Assumptions!$E$171</f>
        <v>-0</v>
      </c>
      <c r="O356" s="56" t="n">
        <f aca="false">O355*Assumptions!$E$171</f>
        <v>-0</v>
      </c>
      <c r="P356" s="56" t="n">
        <f aca="false">P355*Assumptions!$E$171</f>
        <v>-0</v>
      </c>
      <c r="Q356" s="56" t="n">
        <f aca="false">Q355*Assumptions!$E$171</f>
        <v>-0</v>
      </c>
      <c r="R356" s="56" t="n">
        <f aca="false">R355*Assumptions!$E$171</f>
        <v>-0</v>
      </c>
      <c r="S356" s="56" t="n">
        <f aca="false">S355*Assumptions!$E$171</f>
        <v>-0</v>
      </c>
      <c r="T356" s="56" t="n">
        <f aca="false">T355*Assumptions!$E$171</f>
        <v>-0</v>
      </c>
      <c r="U356" s="56" t="n">
        <f aca="false">U355*Assumptions!$E$171</f>
        <v>-0</v>
      </c>
      <c r="V356" s="56" t="n">
        <f aca="false">V355*Assumptions!$E$171</f>
        <v>-0</v>
      </c>
      <c r="W356" s="56" t="n">
        <f aca="false">W355*Assumptions!$E$171</f>
        <v>0</v>
      </c>
      <c r="X356" s="56" t="n">
        <f aca="false">X355*Assumptions!$E$171</f>
        <v>14.25</v>
      </c>
      <c r="Y356" s="56" t="n">
        <f aca="false">Y355*Assumptions!$E$171</f>
        <v>27.54</v>
      </c>
      <c r="Z356" s="56" t="n">
        <f aca="false">Z355*Assumptions!$E$171</f>
        <v>44.6148</v>
      </c>
      <c r="AA356" s="56" t="n">
        <f aca="false">AA355*Assumptions!$E$171</f>
        <v>71.803584</v>
      </c>
      <c r="AB356" s="56" t="n">
        <f aca="false">AB355*Assumptions!$E$171</f>
        <v>132.6476736</v>
      </c>
      <c r="AC356" s="56" t="n">
        <f aca="false">AC355*Assumptions!$E$171</f>
        <v>178.5233613312</v>
      </c>
      <c r="AD356" s="56" t="n">
        <f aca="false">AD355*Assumptions!$E$171</f>
        <v>178.5233613312</v>
      </c>
      <c r="AE356" s="56" t="n">
        <f aca="false">AE355*Assumptions!$E$171</f>
        <v>138.819765771141</v>
      </c>
      <c r="AF356" s="56" t="n">
        <f aca="false">AF355*Assumptions!$E$171</f>
        <v>166.583718925369</v>
      </c>
      <c r="AG356" s="56" t="n">
        <f aca="false">AG355*Assumptions!$E$171</f>
        <v>188.905937261369</v>
      </c>
      <c r="AH356" s="56" t="n">
        <f aca="false">AH355*Assumptions!$E$171</f>
        <v>184.588087266823</v>
      </c>
      <c r="AI356" s="56" t="n">
        <f aca="false">AI355*Assumptions!$E$171</f>
        <v>209.847509734915</v>
      </c>
      <c r="AJ356" s="56" t="n">
        <f aca="false">AJ355*Assumptions!$E$171</f>
        <v>215.303544988023</v>
      </c>
      <c r="AK356" s="56" t="n">
        <f aca="false">AK355*Assumptions!$E$171</f>
        <v>208.051215051584</v>
      </c>
      <c r="AL356" s="56" t="n">
        <f aca="false">AL355*Assumptions!$E$171</f>
        <v>224.695312255711</v>
      </c>
      <c r="AM356" s="53" t="n">
        <f aca="false">SUMIF($C$6:$AL$6,1,C356:AL356)</f>
        <v>0</v>
      </c>
      <c r="AN356" s="53" t="n">
        <f aca="false">SUMIF($C$6:$AL$6,2,C356:AL356)</f>
        <v>86.4048</v>
      </c>
      <c r="AO356" s="53" t="n">
        <f aca="false">SUMIF($C$6:$AL$6,3,C356:AL356)</f>
        <v>2098.29307151734</v>
      </c>
      <c r="AP356" s="53" t="n">
        <f aca="false">SUM(C356:AL356)</f>
        <v>2184.69787151734</v>
      </c>
    </row>
    <row r="357" customFormat="false" ht="15" hidden="false" customHeight="false" outlineLevel="0" collapsed="false">
      <c r="A357" s="7" t="s">
        <v>762</v>
      </c>
      <c r="B357" s="9" t="s">
        <v>101</v>
      </c>
      <c r="C357" s="15" t="n">
        <f aca="false">'Unit Economics'!$E$58*Assumptions!$E$171*C351</f>
        <v>0</v>
      </c>
      <c r="D357" s="15" t="n">
        <f aca="false">'Unit Economics'!$E$58*Assumptions!$E$171*D351</f>
        <v>0</v>
      </c>
      <c r="E357" s="15" t="n">
        <f aca="false">'Unit Economics'!$E$58*Assumptions!$E$171*E351</f>
        <v>0</v>
      </c>
      <c r="F357" s="15" t="n">
        <f aca="false">'Unit Economics'!$E$58*Assumptions!$E$171*F351</f>
        <v>0</v>
      </c>
      <c r="G357" s="15" t="n">
        <f aca="false">'Unit Economics'!$E$58*Assumptions!$E$171*G351</f>
        <v>0</v>
      </c>
      <c r="H357" s="15" t="n">
        <f aca="false">'Unit Economics'!$E$58*Assumptions!$E$171*H351</f>
        <v>0</v>
      </c>
      <c r="I357" s="15" t="n">
        <f aca="false">'Unit Economics'!$E$58*Assumptions!$E$171*I351</f>
        <v>0</v>
      </c>
      <c r="J357" s="15" t="n">
        <f aca="false">'Unit Economics'!$E$58*Assumptions!$E$171*J351</f>
        <v>0</v>
      </c>
      <c r="K357" s="15" t="n">
        <f aca="false">'Unit Economics'!$E$58*Assumptions!$E$171*K351</f>
        <v>0</v>
      </c>
      <c r="L357" s="15" t="n">
        <f aca="false">'Unit Economics'!$E$58*Assumptions!$E$171*L351</f>
        <v>0</v>
      </c>
      <c r="M357" s="15" t="n">
        <f aca="false">'Unit Economics'!$E$58*Assumptions!$E$171*M351</f>
        <v>0</v>
      </c>
      <c r="N357" s="15" t="n">
        <f aca="false">'Unit Economics'!$E$58*Assumptions!$E$171*N351</f>
        <v>0</v>
      </c>
      <c r="O357" s="15" t="n">
        <f aca="false">'Unit Economics'!$E$58*Assumptions!$E$171*O351</f>
        <v>0</v>
      </c>
      <c r="P357" s="15" t="n">
        <f aca="false">'Unit Economics'!$E$58*Assumptions!$E$171*P351</f>
        <v>0</v>
      </c>
      <c r="Q357" s="15" t="n">
        <f aca="false">'Unit Economics'!$E$58*Assumptions!$E$171*Q351</f>
        <v>0</v>
      </c>
      <c r="R357" s="15" t="n">
        <f aca="false">'Unit Economics'!$E$58*Assumptions!$E$171*R351</f>
        <v>0</v>
      </c>
      <c r="S357" s="15" t="n">
        <f aca="false">'Unit Economics'!$E$58*Assumptions!$E$171*S351</f>
        <v>0</v>
      </c>
      <c r="T357" s="15" t="n">
        <f aca="false">'Unit Economics'!$E$58*Assumptions!$E$171*T351</f>
        <v>0</v>
      </c>
      <c r="U357" s="15" t="n">
        <f aca="false">'Unit Economics'!$E$58*Assumptions!$E$171*U351</f>
        <v>0</v>
      </c>
      <c r="V357" s="15" t="n">
        <f aca="false">'Unit Economics'!$E$58*Assumptions!$E$171*V351</f>
        <v>0</v>
      </c>
      <c r="W357" s="15" t="n">
        <f aca="false">'Unit Economics'!$E$58*Assumptions!$E$171*W351</f>
        <v>0</v>
      </c>
      <c r="X357" s="15" t="n">
        <f aca="false">'Unit Economics'!$E$58*Assumptions!$E$171*X351</f>
        <v>48.7125</v>
      </c>
      <c r="Y357" s="15" t="n">
        <f aca="false">'Unit Economics'!$E$58*Assumptions!$E$171*Y351</f>
        <v>48.7125</v>
      </c>
      <c r="Z357" s="15" t="n">
        <f aca="false">'Unit Economics'!$E$58*Assumptions!$E$171*Z351</f>
        <v>48.7125</v>
      </c>
      <c r="AA357" s="15" t="n">
        <f aca="false">'Unit Economics'!$E$58*Assumptions!$E$171*AA351</f>
        <v>48.7125</v>
      </c>
      <c r="AB357" s="15" t="n">
        <f aca="false">'Unit Economics'!$E$58*Assumptions!$E$171*AB351</f>
        <v>48.7125</v>
      </c>
      <c r="AC357" s="15" t="n">
        <f aca="false">'Unit Economics'!$E$58*Assumptions!$E$171*AC351</f>
        <v>48.7125</v>
      </c>
      <c r="AD357" s="15" t="n">
        <f aca="false">'Unit Economics'!$E$58*Assumptions!$E$171*AD351</f>
        <v>48.7125</v>
      </c>
      <c r="AE357" s="15" t="n">
        <f aca="false">'Unit Economics'!$E$58*Assumptions!$E$171*AE351</f>
        <v>48.7125</v>
      </c>
      <c r="AF357" s="15" t="n">
        <f aca="false">'Unit Economics'!$E$58*Assumptions!$E$171*AF351</f>
        <v>48.7125</v>
      </c>
      <c r="AG357" s="15" t="n">
        <f aca="false">'Unit Economics'!$E$58*Assumptions!$E$171*AG351</f>
        <v>48.7125</v>
      </c>
      <c r="AH357" s="15" t="n">
        <f aca="false">'Unit Economics'!$E$58*Assumptions!$E$171*AH351</f>
        <v>48.7125</v>
      </c>
      <c r="AI357" s="15" t="n">
        <f aca="false">'Unit Economics'!$E$58*Assumptions!$E$171*AI351</f>
        <v>48.7125</v>
      </c>
      <c r="AJ357" s="15" t="n">
        <f aca="false">'Unit Economics'!$E$58*Assumptions!$E$171*AJ351</f>
        <v>48.7125</v>
      </c>
      <c r="AK357" s="15" t="n">
        <f aca="false">'Unit Economics'!$E$58*Assumptions!$E$171*AK351</f>
        <v>48.7125</v>
      </c>
      <c r="AL357" s="15" t="n">
        <f aca="false">'Unit Economics'!$E$58*Assumptions!$E$171*AL351</f>
        <v>48.7125</v>
      </c>
    </row>
    <row r="358" customFormat="false" ht="15" hidden="false" customHeight="false" outlineLevel="0" collapsed="false">
      <c r="A358" s="7" t="s">
        <v>763</v>
      </c>
      <c r="B358" s="9" t="s">
        <v>101</v>
      </c>
      <c r="C358" s="8" t="n">
        <f aca="false">C356*'Unit Economics'!$E$58</f>
        <v>-0</v>
      </c>
      <c r="D358" s="8" t="n">
        <f aca="false">D356*'Unit Economics'!$E$58</f>
        <v>-0</v>
      </c>
      <c r="E358" s="8" t="n">
        <f aca="false">E356*'Unit Economics'!$E$58</f>
        <v>-0</v>
      </c>
      <c r="F358" s="8" t="n">
        <f aca="false">F356*'Unit Economics'!$E$58</f>
        <v>-0</v>
      </c>
      <c r="G358" s="8" t="n">
        <f aca="false">G356*'Unit Economics'!$E$58</f>
        <v>-0</v>
      </c>
      <c r="H358" s="8" t="n">
        <f aca="false">H356*'Unit Economics'!$E$58</f>
        <v>-0</v>
      </c>
      <c r="I358" s="8" t="n">
        <f aca="false">I356*'Unit Economics'!$E$58</f>
        <v>-0</v>
      </c>
      <c r="J358" s="8" t="n">
        <f aca="false">J356*'Unit Economics'!$E$58</f>
        <v>-0</v>
      </c>
      <c r="K358" s="8" t="n">
        <f aca="false">K356*'Unit Economics'!$E$58</f>
        <v>-0</v>
      </c>
      <c r="L358" s="8" t="n">
        <f aca="false">L356*'Unit Economics'!$E$58</f>
        <v>-0</v>
      </c>
      <c r="M358" s="8" t="n">
        <f aca="false">M356*'Unit Economics'!$E$58</f>
        <v>-0</v>
      </c>
      <c r="N358" s="8" t="n">
        <f aca="false">N356*'Unit Economics'!$E$58</f>
        <v>-0</v>
      </c>
      <c r="O358" s="8" t="n">
        <f aca="false">O356*'Unit Economics'!$E$58</f>
        <v>-0</v>
      </c>
      <c r="P358" s="8" t="n">
        <f aca="false">P356*'Unit Economics'!$E$58</f>
        <v>-0</v>
      </c>
      <c r="Q358" s="8" t="n">
        <f aca="false">Q356*'Unit Economics'!$E$58</f>
        <v>-0</v>
      </c>
      <c r="R358" s="8" t="n">
        <f aca="false">R356*'Unit Economics'!$E$58</f>
        <v>-0</v>
      </c>
      <c r="S358" s="8" t="n">
        <f aca="false">S356*'Unit Economics'!$E$58</f>
        <v>-0</v>
      </c>
      <c r="T358" s="8" t="n">
        <f aca="false">T356*'Unit Economics'!$E$58</f>
        <v>-0</v>
      </c>
      <c r="U358" s="8" t="n">
        <f aca="false">U356*'Unit Economics'!$E$58</f>
        <v>-0</v>
      </c>
      <c r="V358" s="8" t="n">
        <f aca="false">V356*'Unit Economics'!$E$58</f>
        <v>-0</v>
      </c>
      <c r="W358" s="8" t="n">
        <f aca="false">W356*'Unit Economics'!$E$58</f>
        <v>0</v>
      </c>
      <c r="X358" s="8" t="n">
        <f aca="false">X356*'Unit Economics'!$E$58</f>
        <v>138.830625</v>
      </c>
      <c r="Y358" s="8" t="n">
        <f aca="false">Y356*'Unit Economics'!$E$58</f>
        <v>268.30845</v>
      </c>
      <c r="Z358" s="8" t="n">
        <f aca="false">Z356*'Unit Economics'!$E$58</f>
        <v>434.659689</v>
      </c>
      <c r="AA358" s="8" t="n">
        <f aca="false">AA356*'Unit Economics'!$E$58</f>
        <v>699.54641712</v>
      </c>
      <c r="AB358" s="8" t="n">
        <f aca="false">AB356*'Unit Economics'!$E$58</f>
        <v>1292.319960048</v>
      </c>
      <c r="AC358" s="8" t="n">
        <f aca="false">AC356*'Unit Economics'!$E$58</f>
        <v>1739.26384776922</v>
      </c>
      <c r="AD358" s="8" t="n">
        <f aca="false">AD356*'Unit Economics'!$E$58</f>
        <v>1739.26384776922</v>
      </c>
      <c r="AE358" s="8" t="n">
        <f aca="false">AE356*'Unit Economics'!$E$58</f>
        <v>1352.45156802534</v>
      </c>
      <c r="AF358" s="8" t="n">
        <f aca="false">AF356*'Unit Economics'!$E$58</f>
        <v>1622.94188163041</v>
      </c>
      <c r="AG358" s="8" t="n">
        <f aca="false">AG356*'Unit Economics'!$E$58</f>
        <v>1840.41609376889</v>
      </c>
      <c r="AH358" s="8" t="n">
        <f aca="false">AH356*'Unit Economics'!$E$58</f>
        <v>1798.34944019703</v>
      </c>
      <c r="AI358" s="8" t="n">
        <f aca="false">AI356*'Unit Economics'!$E$58</f>
        <v>2044.43936359241</v>
      </c>
      <c r="AJ358" s="8" t="n">
        <f aca="false">AJ356*'Unit Economics'!$E$58</f>
        <v>2097.59478704581</v>
      </c>
      <c r="AK358" s="8" t="n">
        <f aca="false">AK356*'Unit Economics'!$E$58</f>
        <v>2026.93896264006</v>
      </c>
      <c r="AL358" s="8" t="n">
        <f aca="false">AL356*'Unit Economics'!$E$58</f>
        <v>2189.09407965126</v>
      </c>
      <c r="AM358" s="45" t="n">
        <f aca="false">SUMIF($C$6:$AL$6,1,C358:AL358)</f>
        <v>0</v>
      </c>
      <c r="AN358" s="45" t="n">
        <f aca="false">SUMIF($C$6:$AL$6,2,C358:AL358)</f>
        <v>841.798764</v>
      </c>
      <c r="AO358" s="45" t="n">
        <f aca="false">SUMIF($C$6:$AL$6,3,C358:AL358)</f>
        <v>20442.6202492576</v>
      </c>
      <c r="AP358" s="45" t="n">
        <f aca="false">SUM(C358:AL358)</f>
        <v>21284.4190132576</v>
      </c>
    </row>
    <row r="359" customFormat="false" ht="15" hidden="false" customHeight="false" outlineLevel="0" collapsed="false">
      <c r="A359" s="7" t="s">
        <v>764</v>
      </c>
      <c r="B359" s="9" t="s">
        <v>101</v>
      </c>
      <c r="C359" s="8" t="n">
        <f aca="false">C356*'Unit Economics'!$F$58</f>
        <v>-0</v>
      </c>
      <c r="D359" s="8" t="n">
        <f aca="false">D356*'Unit Economics'!$F$58</f>
        <v>-0</v>
      </c>
      <c r="E359" s="8" t="n">
        <f aca="false">E356*'Unit Economics'!$F$58</f>
        <v>-0</v>
      </c>
      <c r="F359" s="8" t="n">
        <f aca="false">F356*'Unit Economics'!$F$58</f>
        <v>-0</v>
      </c>
      <c r="G359" s="8" t="n">
        <f aca="false">G356*'Unit Economics'!$F$58</f>
        <v>-0</v>
      </c>
      <c r="H359" s="8" t="n">
        <f aca="false">H356*'Unit Economics'!$F$58</f>
        <v>-0</v>
      </c>
      <c r="I359" s="8" t="n">
        <f aca="false">I356*'Unit Economics'!$F$58</f>
        <v>-0</v>
      </c>
      <c r="J359" s="8" t="n">
        <f aca="false">J356*'Unit Economics'!$F$58</f>
        <v>-0</v>
      </c>
      <c r="K359" s="8" t="n">
        <f aca="false">K356*'Unit Economics'!$F$58</f>
        <v>-0</v>
      </c>
      <c r="L359" s="8" t="n">
        <f aca="false">L356*'Unit Economics'!$F$58</f>
        <v>-0</v>
      </c>
      <c r="M359" s="8" t="n">
        <f aca="false">M356*'Unit Economics'!$F$58</f>
        <v>-0</v>
      </c>
      <c r="N359" s="8" t="n">
        <f aca="false">N356*'Unit Economics'!$F$58</f>
        <v>-0</v>
      </c>
      <c r="O359" s="8" t="n">
        <f aca="false">O356*'Unit Economics'!$F$58</f>
        <v>-0</v>
      </c>
      <c r="P359" s="8" t="n">
        <f aca="false">P356*'Unit Economics'!$F$58</f>
        <v>-0</v>
      </c>
      <c r="Q359" s="8" t="n">
        <f aca="false">Q356*'Unit Economics'!$F$58</f>
        <v>-0</v>
      </c>
      <c r="R359" s="8" t="n">
        <f aca="false">R356*'Unit Economics'!$F$58</f>
        <v>-0</v>
      </c>
      <c r="S359" s="8" t="n">
        <f aca="false">S356*'Unit Economics'!$F$58</f>
        <v>-0</v>
      </c>
      <c r="T359" s="8" t="n">
        <f aca="false">T356*'Unit Economics'!$F$58</f>
        <v>-0</v>
      </c>
      <c r="U359" s="8" t="n">
        <f aca="false">U356*'Unit Economics'!$F$58</f>
        <v>-0</v>
      </c>
      <c r="V359" s="8" t="n">
        <f aca="false">V356*'Unit Economics'!$F$58</f>
        <v>-0</v>
      </c>
      <c r="W359" s="8" t="n">
        <f aca="false">W356*'Unit Economics'!$F$58</f>
        <v>0</v>
      </c>
      <c r="X359" s="8" t="n">
        <f aca="false">X356*'Unit Economics'!$F$58</f>
        <v>25.95744375</v>
      </c>
      <c r="Y359" s="8" t="n">
        <f aca="false">Y356*'Unit Economics'!$F$58</f>
        <v>50.1661755</v>
      </c>
      <c r="Z359" s="8" t="n">
        <f aca="false">Z356*'Unit Economics'!$F$58</f>
        <v>81.26920431</v>
      </c>
      <c r="AA359" s="8" t="n">
        <f aca="false">AA356*'Unit Economics'!$F$58</f>
        <v>130.7956135248</v>
      </c>
      <c r="AB359" s="8" t="n">
        <f aca="false">AB356*'Unit Economics'!$F$58</f>
        <v>241.62768603792</v>
      </c>
      <c r="AC359" s="8" t="n">
        <f aca="false">AC356*'Unit Economics'!$F$58</f>
        <v>325.193691916881</v>
      </c>
      <c r="AD359" s="8" t="n">
        <f aca="false">AD356*'Unit Economics'!$F$58</f>
        <v>325.193691916881</v>
      </c>
      <c r="AE359" s="8" t="n">
        <f aca="false">AE356*'Unit Economics'!$F$58</f>
        <v>252.870614834566</v>
      </c>
      <c r="AF359" s="8" t="n">
        <f aca="false">AF356*'Unit Economics'!$F$58</f>
        <v>303.44473780148</v>
      </c>
      <c r="AG359" s="8" t="n">
        <f aca="false">AG356*'Unit Economics'!$F$58</f>
        <v>344.106332666878</v>
      </c>
      <c r="AH359" s="8" t="n">
        <f aca="false">AH356*'Unit Economics'!$F$58</f>
        <v>336.241045063064</v>
      </c>
      <c r="AI359" s="8" t="n">
        <f aca="false">AI356*'Unit Economics'!$F$58</f>
        <v>382.252977545378</v>
      </c>
      <c r="AJ359" s="8" t="n">
        <f aca="false">AJ356*'Unit Economics'!$F$58</f>
        <v>392.191554961557</v>
      </c>
      <c r="AK359" s="8" t="n">
        <f aca="false">AK356*'Unit Economics'!$F$58</f>
        <v>378.980892057589</v>
      </c>
      <c r="AL359" s="8" t="n">
        <f aca="false">AL356*'Unit Economics'!$F$58</f>
        <v>409.299363422196</v>
      </c>
      <c r="AM359" s="45" t="n">
        <f aca="false">SUMIF($C$6:$AL$6,1,C359:AL359)</f>
        <v>0</v>
      </c>
      <c r="AN359" s="45" t="n">
        <f aca="false">SUMIF($C$6:$AL$6,2,C359:AL359)</f>
        <v>157.39282356</v>
      </c>
      <c r="AO359" s="45" t="n">
        <f aca="false">SUMIF($C$6:$AL$6,3,C359:AL359)</f>
        <v>3822.19820174919</v>
      </c>
      <c r="AP359" s="45" t="n">
        <f aca="false">SUM(C359:AL359)</f>
        <v>3979.59102530919</v>
      </c>
    </row>
    <row r="360" customFormat="false" ht="15" hidden="false" customHeight="false" outlineLevel="0" collapsed="false">
      <c r="A360" s="5" t="s">
        <v>776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</row>
    <row r="361" customFormat="false" ht="15" hidden="false" customHeight="false" outlineLevel="0" collapsed="false">
      <c r="A361" s="7" t="s">
        <v>777</v>
      </c>
      <c r="B361" s="9" t="s">
        <v>771</v>
      </c>
      <c r="C361" s="14" t="n">
        <f aca="false">C273*Assumptions!$E$174+(C275+C285+C295+C305+C315+C335)*Assumptions!$E$175</f>
        <v>39.5833333333333</v>
      </c>
      <c r="D361" s="14" t="n">
        <f aca="false">D273*Assumptions!$E$174+(D275+D285+D295+D305+D315+D335)*Assumptions!$E$175</f>
        <v>65.4333333333333</v>
      </c>
      <c r="E361" s="14" t="n">
        <f aca="false">E273*Assumptions!$E$174+(E275+E285+E295+E305+E315+E335)*Assumptions!$E$175</f>
        <v>82.0233</v>
      </c>
      <c r="F361" s="14" t="n">
        <f aca="false">F273*Assumptions!$E$174+(F275+F285+F295+F305+F315+F335)*Assumptions!$E$175</f>
        <v>90.1125146666667</v>
      </c>
      <c r="G361" s="14" t="n">
        <f aca="false">G273*Assumptions!$E$174+(G275+G285+G295+G305+G315+G335)*Assumptions!$E$175</f>
        <v>77.7822792864</v>
      </c>
      <c r="H361" s="14" t="n">
        <f aca="false">H273*Assumptions!$E$174+(H275+H285+H295+H305+H315+H335)*Assumptions!$E$175</f>
        <v>102.96400155008</v>
      </c>
      <c r="I361" s="14" t="n">
        <f aca="false">I273*Assumptions!$E$174+(I275+I285+I295+I305+I315+I335)*Assumptions!$E$175</f>
        <v>125.01117267042</v>
      </c>
      <c r="J361" s="14" t="n">
        <f aca="false">J273*Assumptions!$E$174+(J275+J285+J295+J305+J315+J335)*Assumptions!$E$175</f>
        <v>127.416224026756</v>
      </c>
      <c r="K361" s="14" t="n">
        <f aca="false">K273*Assumptions!$E$174+(K275+K285+K295+K305+K315+K335)*Assumptions!$E$175</f>
        <v>150.484193395219</v>
      </c>
      <c r="L361" s="14" t="n">
        <f aca="false">L273*Assumptions!$E$174+(L275+L285+L295+L305+L315+L335)*Assumptions!$E$175</f>
        <v>160.001262468416</v>
      </c>
      <c r="M361" s="14" t="n">
        <f aca="false">M273*Assumptions!$E$174+(M275+M285+M295+M305+M315+M335)*Assumptions!$E$175</f>
        <v>159.578757011881</v>
      </c>
      <c r="N361" s="14" t="n">
        <f aca="false">N273*Assumptions!$E$174+(N275+N285+N295+N305+N315+N335)*Assumptions!$E$175</f>
        <v>177.907554104282</v>
      </c>
      <c r="O361" s="14" t="n">
        <f aca="false">O273*Assumptions!$E$174+(O275+O285+O295+O305+O315+O335)*Assumptions!$E$175</f>
        <v>211.839168865346</v>
      </c>
      <c r="P361" s="14" t="n">
        <f aca="false">P273*Assumptions!$E$174+(P275+P285+P295+P305+P315+P335)*Assumptions!$E$175</f>
        <v>308.857745020218</v>
      </c>
      <c r="Q361" s="14" t="n">
        <f aca="false">Q273*Assumptions!$E$174+(Q275+Q285+Q295+Q305+Q315+Q335)*Assumptions!$E$175</f>
        <v>341.74832997749</v>
      </c>
      <c r="R361" s="14" t="n">
        <f aca="false">R273*Assumptions!$E$174+(R275+R285+R295+R305+R315+R335)*Assumptions!$E$175</f>
        <v>337.182363854646</v>
      </c>
      <c r="S361" s="14" t="n">
        <f aca="false">S273*Assumptions!$E$174+(S275+S285+S295+S305+S315+S335)*Assumptions!$E$175</f>
        <v>258.704501356006</v>
      </c>
      <c r="T361" s="14" t="n">
        <f aca="false">T273*Assumptions!$E$174+(T275+T285+T295+T305+T315+T335)*Assumptions!$E$175</f>
        <v>306.331926994678</v>
      </c>
      <c r="U361" s="14" t="n">
        <f aca="false">U273*Assumptions!$E$174+(U275+U285+U295+U305+U315+U335)*Assumptions!$E$175</f>
        <v>342.796371354007</v>
      </c>
      <c r="V361" s="14" t="n">
        <f aca="false">V273*Assumptions!$E$174+(V275+V285+V295+V305+V315+V335)*Assumptions!$E$175</f>
        <v>330.558830380073</v>
      </c>
      <c r="W361" s="14" t="n">
        <f aca="false">W273*Assumptions!$E$174+(W275+W285+W295+W305+W315+W335)*Assumptions!$E$175</f>
        <v>370.8742717629</v>
      </c>
      <c r="X361" s="14" t="n">
        <f aca="false">X273*Assumptions!$E$174+(X275+X285+X295+X305+X315+X335)*Assumptions!$E$175</f>
        <v>375.556160991664</v>
      </c>
      <c r="Y361" s="14" t="n">
        <f aca="false">Y273*Assumptions!$E$174+(Y275+Y285+Y295+Y305+Y315+Y335)*Assumptions!$E$175</f>
        <v>358.193371838266</v>
      </c>
      <c r="Z361" s="14" t="n">
        <f aca="false">Z273*Assumptions!$E$174+(Z275+Z285+Z295+Z305+Z315+Z335)*Assumptions!$E$175</f>
        <v>381.845221117197</v>
      </c>
      <c r="AA361" s="14" t="n">
        <f aca="false">AA273*Assumptions!$E$174+(AA275+AA285+AA295+AA305+AA315+AA335)*Assumptions!$E$175</f>
        <v>442.777148624682</v>
      </c>
      <c r="AB361" s="14" t="n">
        <f aca="false">AB273*Assumptions!$E$174+(AB275+AB285+AB295+AB305+AB315+AB335)*Assumptions!$E$175</f>
        <v>628.646738606877</v>
      </c>
      <c r="AC361" s="14" t="n">
        <f aca="false">AC273*Assumptions!$E$174+(AC275+AC285+AC295+AC305+AC315+AC335)*Assumptions!$E$175</f>
        <v>677.340907082658</v>
      </c>
      <c r="AD361" s="14" t="n">
        <f aca="false">AD273*Assumptions!$E$174+(AD275+AD285+AD295+AD305+AD315+AD335)*Assumptions!$E$175</f>
        <v>650.732075259036</v>
      </c>
      <c r="AE361" s="14" t="n">
        <f aca="false">AE273*Assumptions!$E$174+(AE275+AE285+AE295+AE305+AE315+AE335)*Assumptions!$E$175</f>
        <v>486.140450226669</v>
      </c>
      <c r="AF361" s="14" t="n">
        <f aca="false">AF273*Assumptions!$E$174+(AF275+AF285+AF295+AF305+AF315+AF335)*Assumptions!$E$175</f>
        <v>560.472906017729</v>
      </c>
      <c r="AG361" s="14" t="n">
        <f aca="false">AG273*Assumptions!$E$174+(AG275+AG285+AG295+AG305+AG315+AG335)*Assumptions!$E$175</f>
        <v>610.643252919401</v>
      </c>
      <c r="AH361" s="14" t="n">
        <f aca="false">AH273*Assumptions!$E$174+(AH275+AH285+AH295+AH305+AH315+AH335)*Assumptions!$E$175</f>
        <v>573.289145308877</v>
      </c>
      <c r="AI361" s="14" t="n">
        <f aca="false">AI273*Assumptions!$E$174+(AI275+AI285+AI295+AI305+AI315+AI335)*Assumptions!$E$175</f>
        <v>626.195748515272</v>
      </c>
      <c r="AJ361" s="14" t="n">
        <f aca="false">AJ273*Assumptions!$E$174+(AJ275+AJ285+AJ295+AJ305+AJ315+AJ335)*Assumptions!$E$175</f>
        <v>617.307871524566</v>
      </c>
      <c r="AK361" s="14" t="n">
        <f aca="false">AK273*Assumptions!$E$174+(AK275+AK285+AK295+AK305+AK315+AK335)*Assumptions!$E$175</f>
        <v>573.156558945994</v>
      </c>
      <c r="AL361" s="14" t="n">
        <f aca="false">AL273*Assumptions!$E$174+(AL275+AL285+AL295+AL305+AL315+AL335)*Assumptions!$E$175</f>
        <v>594.781398164252</v>
      </c>
      <c r="AM361" s="53" t="n">
        <f aca="false">SUMIF($C$6:$AL$6,1,C361:AL361)</f>
        <v>1358.29792584679</v>
      </c>
      <c r="AN361" s="53" t="n">
        <f aca="false">SUMIF($C$6:$AL$6,2,C361:AL361)</f>
        <v>3924.48826351249</v>
      </c>
      <c r="AO361" s="53" t="n">
        <f aca="false">SUMIF($C$6:$AL$6,3,C361:AL361)</f>
        <v>7041.48420119601</v>
      </c>
      <c r="AP361" s="53" t="n">
        <f aca="false">SUM(C361:AL361)</f>
        <v>12324.2703905553</v>
      </c>
    </row>
    <row r="362" customFormat="false" ht="15" hidden="false" customHeight="false" outlineLevel="0" collapsed="false">
      <c r="A362" s="7" t="s">
        <v>778</v>
      </c>
      <c r="B362" s="9" t="s">
        <v>771</v>
      </c>
      <c r="C362" s="52" t="n">
        <f aca="false">0</f>
        <v>0</v>
      </c>
      <c r="D362" s="14" t="n">
        <f aca="false">C363*Assumptions!$E$176</f>
        <v>0.395833333333333</v>
      </c>
      <c r="E362" s="14" t="n">
        <f aca="false">D363*Assumptions!$E$176</f>
        <v>1.04620833333333</v>
      </c>
      <c r="F362" s="14" t="n">
        <f aca="false">E363*Assumptions!$E$176</f>
        <v>1.85597925</v>
      </c>
      <c r="G362" s="14" t="n">
        <f aca="false">F363*Assumptions!$E$176</f>
        <v>2.73854460416667</v>
      </c>
      <c r="H362" s="14" t="n">
        <f aca="false">G363*Assumptions!$E$176</f>
        <v>3.488981950989</v>
      </c>
      <c r="I362" s="14" t="n">
        <f aca="false">H363*Assumptions!$E$176</f>
        <v>4.48373214697991</v>
      </c>
      <c r="J362" s="14" t="n">
        <f aca="false">I363*Assumptions!$E$176</f>
        <v>5.68900655221431</v>
      </c>
      <c r="K362" s="14" t="n">
        <f aca="false">J363*Assumptions!$E$176</f>
        <v>6.90627872695973</v>
      </c>
      <c r="L362" s="14" t="n">
        <f aca="false">K363*Assumptions!$E$176</f>
        <v>8.34205787364232</v>
      </c>
      <c r="M362" s="14" t="n">
        <f aca="false">L363*Assumptions!$E$176</f>
        <v>9.85864991959006</v>
      </c>
      <c r="N362" s="14" t="n">
        <f aca="false">M363*Assumptions!$E$176</f>
        <v>11.355850990513</v>
      </c>
      <c r="O362" s="14" t="n">
        <f aca="false">N363*Assumptions!$E$176</f>
        <v>13.0213680216507</v>
      </c>
      <c r="P362" s="14" t="n">
        <f aca="false">O363*Assumptions!$E$176</f>
        <v>15.0095460300876</v>
      </c>
      <c r="Q362" s="14" t="n">
        <f aca="false">P363*Assumptions!$E$176</f>
        <v>17.9480280199889</v>
      </c>
      <c r="R362" s="14" t="n">
        <f aca="false">Q363*Assumptions!$E$176</f>
        <v>21.1860310395639</v>
      </c>
      <c r="S362" s="14" t="n">
        <f aca="false">R363*Assumptions!$E$176</f>
        <v>24.3459943677147</v>
      </c>
      <c r="T362" s="14" t="n">
        <f aca="false">S363*Assumptions!$E$176</f>
        <v>26.6895794375977</v>
      </c>
      <c r="U362" s="14" t="n">
        <f aca="false">T363*Assumptions!$E$176</f>
        <v>29.4860029131685</v>
      </c>
      <c r="V362" s="14" t="n">
        <f aca="false">U363*Assumptions!$E$176</f>
        <v>32.6191065975768</v>
      </c>
      <c r="W362" s="14" t="n">
        <f aca="false">V363*Assumptions!$E$176</f>
        <v>35.5985038354018</v>
      </c>
      <c r="X362" s="14" t="n">
        <f aca="false">W363*Assumptions!$E$176</f>
        <v>38.9512615146768</v>
      </c>
      <c r="Y362" s="14" t="n">
        <f aca="false">X363*Assumptions!$E$176</f>
        <v>42.3173105094467</v>
      </c>
      <c r="Z362" s="14" t="n">
        <f aca="false">Y363*Assumptions!$E$176</f>
        <v>45.4760711227349</v>
      </c>
      <c r="AA362" s="14" t="n">
        <f aca="false">Z363*Assumptions!$E$176</f>
        <v>48.8397626226795</v>
      </c>
      <c r="AB362" s="14" t="n">
        <f aca="false">AA363*Assumptions!$E$176</f>
        <v>52.7791364826995</v>
      </c>
      <c r="AC362" s="14" t="n">
        <f aca="false">AB363*Assumptions!$E$176</f>
        <v>58.5378125039413</v>
      </c>
      <c r="AD362" s="14" t="n">
        <f aca="false">AC363*Assumptions!$E$176</f>
        <v>64.7258434497284</v>
      </c>
      <c r="AE362" s="14" t="n">
        <f aca="false">AD363*Assumptions!$E$176</f>
        <v>70.5859057678215</v>
      </c>
      <c r="AF362" s="14" t="n">
        <f aca="false">AE363*Assumptions!$E$176</f>
        <v>74.74145121241</v>
      </c>
      <c r="AG362" s="14" t="n">
        <f aca="false">AF363*Assumptions!$E$176</f>
        <v>79.5987657604632</v>
      </c>
      <c r="AH362" s="14" t="n">
        <f aca="false">AG363*Assumptions!$E$176</f>
        <v>84.9092106320526</v>
      </c>
      <c r="AI362" s="14" t="n">
        <f aca="false">AH363*Assumptions!$E$176</f>
        <v>89.7930099788208</v>
      </c>
      <c r="AJ362" s="14" t="n">
        <f aca="false">AI363*Assumptions!$E$176</f>
        <v>95.1570373641853</v>
      </c>
      <c r="AK362" s="14" t="n">
        <f aca="false">AJ363*Assumptions!$E$176</f>
        <v>100.378545705789</v>
      </c>
      <c r="AL362" s="14" t="n">
        <f aca="false">AK363*Assumptions!$E$176</f>
        <v>105.106325838191</v>
      </c>
      <c r="AM362" s="53" t="n">
        <f aca="false">SUMIF($C$6:$AL$6,1,C362:AL362)</f>
        <v>56.1611236817216</v>
      </c>
      <c r="AN362" s="53" t="n">
        <f aca="false">SUMIF($C$6:$AL$6,2,C362:AL362)</f>
        <v>342.648803409609</v>
      </c>
      <c r="AO362" s="53" t="n">
        <f aca="false">SUMIF($C$6:$AL$6,3,C362:AL362)</f>
        <v>925.152807318782</v>
      </c>
      <c r="AP362" s="53" t="n">
        <f aca="false">SUM(C362:AL362)</f>
        <v>1323.96273441011</v>
      </c>
    </row>
    <row r="363" customFormat="false" ht="15" hidden="false" customHeight="false" outlineLevel="0" collapsed="false">
      <c r="A363" s="7" t="s">
        <v>779</v>
      </c>
      <c r="B363" s="9" t="s">
        <v>771</v>
      </c>
      <c r="C363" s="52" t="n">
        <f aca="false">C361-C362</f>
        <v>39.5833333333333</v>
      </c>
      <c r="D363" s="52" t="n">
        <f aca="false">D361-D362+C363</f>
        <v>104.620833333333</v>
      </c>
      <c r="E363" s="52" t="n">
        <f aca="false">E361-E362+D363</f>
        <v>185.597925</v>
      </c>
      <c r="F363" s="52" t="n">
        <f aca="false">F361-F362+E363</f>
        <v>273.854460416667</v>
      </c>
      <c r="G363" s="52" t="n">
        <f aca="false">G361-G362+F363</f>
        <v>348.8981950989</v>
      </c>
      <c r="H363" s="52" t="n">
        <f aca="false">H361-H362+G363</f>
        <v>448.373214697991</v>
      </c>
      <c r="I363" s="52" t="n">
        <f aca="false">I361-I362+H363</f>
        <v>568.900655221431</v>
      </c>
      <c r="J363" s="52" t="n">
        <f aca="false">J361-J362+I363</f>
        <v>690.627872695972</v>
      </c>
      <c r="K363" s="52" t="n">
        <f aca="false">K361-K362+J363</f>
        <v>834.205787364232</v>
      </c>
      <c r="L363" s="52" t="n">
        <f aca="false">L361-L362+K363</f>
        <v>985.864991959006</v>
      </c>
      <c r="M363" s="52" t="n">
        <f aca="false">M361-M362+L363</f>
        <v>1135.5850990513</v>
      </c>
      <c r="N363" s="52" t="n">
        <f aca="false">N361-N362+M363</f>
        <v>1302.13680216507</v>
      </c>
      <c r="O363" s="52" t="n">
        <f aca="false">O361-O362+N363</f>
        <v>1500.95460300876</v>
      </c>
      <c r="P363" s="52" t="n">
        <f aca="false">P361-P362+O363</f>
        <v>1794.80280199889</v>
      </c>
      <c r="Q363" s="52" t="n">
        <f aca="false">Q361-Q362+P363</f>
        <v>2118.60310395639</v>
      </c>
      <c r="R363" s="52" t="n">
        <f aca="false">R361-R362+Q363</f>
        <v>2434.59943677147</v>
      </c>
      <c r="S363" s="52" t="n">
        <f aca="false">S361-S362+R363</f>
        <v>2668.95794375977</v>
      </c>
      <c r="T363" s="52" t="n">
        <f aca="false">T361-T362+S363</f>
        <v>2948.60029131685</v>
      </c>
      <c r="U363" s="52" t="n">
        <f aca="false">U361-U362+T363</f>
        <v>3261.91065975768</v>
      </c>
      <c r="V363" s="52" t="n">
        <f aca="false">V361-V362+U363</f>
        <v>3559.85038354018</v>
      </c>
      <c r="W363" s="52" t="n">
        <f aca="false">W361-W362+V363</f>
        <v>3895.12615146768</v>
      </c>
      <c r="X363" s="52" t="n">
        <f aca="false">X361-X362+W363</f>
        <v>4231.73105094467</v>
      </c>
      <c r="Y363" s="52" t="n">
        <f aca="false">Y361-Y362+X363</f>
        <v>4547.60711227349</v>
      </c>
      <c r="Z363" s="52" t="n">
        <f aca="false">Z361-Z362+Y363</f>
        <v>4883.97626226795</v>
      </c>
      <c r="AA363" s="52" t="n">
        <f aca="false">AA361-AA362+Z363</f>
        <v>5277.91364826995</v>
      </c>
      <c r="AB363" s="52" t="n">
        <f aca="false">AB361-AB362+AA363</f>
        <v>5853.78125039413</v>
      </c>
      <c r="AC363" s="52" t="n">
        <f aca="false">AC361-AC362+AB363</f>
        <v>6472.58434497284</v>
      </c>
      <c r="AD363" s="52" t="n">
        <f aca="false">AD361-AD362+AC363</f>
        <v>7058.59057678215</v>
      </c>
      <c r="AE363" s="52" t="n">
        <f aca="false">AE361-AE362+AD363</f>
        <v>7474.145121241</v>
      </c>
      <c r="AF363" s="52" t="n">
        <f aca="false">AF361-AF362+AE363</f>
        <v>7959.87657604632</v>
      </c>
      <c r="AG363" s="52" t="n">
        <f aca="false">AG361-AG362+AF363</f>
        <v>8490.92106320526</v>
      </c>
      <c r="AH363" s="52" t="n">
        <f aca="false">AH361-AH362+AG363</f>
        <v>8979.30099788208</v>
      </c>
      <c r="AI363" s="52" t="n">
        <f aca="false">AI361-AI362+AH363</f>
        <v>9515.70373641853</v>
      </c>
      <c r="AJ363" s="52" t="n">
        <f aca="false">AJ361-AJ362+AI363</f>
        <v>10037.8545705789</v>
      </c>
      <c r="AK363" s="52" t="n">
        <f aca="false">AK361-AK362+AJ363</f>
        <v>10510.6325838191</v>
      </c>
      <c r="AL363" s="52" t="n">
        <f aca="false">AL361-AL362+AK363</f>
        <v>11000.3076561452</v>
      </c>
      <c r="AM363" s="53" t="n">
        <f aca="false">N363</f>
        <v>1302.13680216507</v>
      </c>
      <c r="AN363" s="53" t="n">
        <f aca="false">Z363</f>
        <v>4883.97626226795</v>
      </c>
      <c r="AO363" s="53" t="n">
        <f aca="false">AL363</f>
        <v>11000.3076561452</v>
      </c>
      <c r="AP363" s="53" t="n">
        <f aca="false">AL363</f>
        <v>11000.3076561452</v>
      </c>
    </row>
    <row r="364" customFormat="false" ht="15" hidden="false" customHeight="false" outlineLevel="0" collapsed="false">
      <c r="A364" s="5" t="s">
        <v>780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</row>
    <row r="365" customFormat="false" ht="15" hidden="false" customHeight="false" outlineLevel="0" collapsed="false">
      <c r="A365" s="7" t="s">
        <v>781</v>
      </c>
      <c r="B365" s="9" t="s">
        <v>760</v>
      </c>
      <c r="C365" s="52" t="n">
        <f aca="false">C275+C285+C295+C305+C315+C325+C335+C345+C355</f>
        <v>7.91666666666667</v>
      </c>
      <c r="D365" s="52" t="n">
        <f aca="false">D275+D285+D295+D305+D315+D325+D335+D345+D355</f>
        <v>35.9666666666667</v>
      </c>
      <c r="E365" s="52" t="n">
        <f aca="false">E275+E285+E295+E305+E315+E325+E335+E345+E355</f>
        <v>71.4285</v>
      </c>
      <c r="F365" s="52" t="n">
        <f aca="false">F275+F285+F295+F305+F315+F325+F335+F345+F355</f>
        <v>99.4852382708334</v>
      </c>
      <c r="G365" s="52" t="n">
        <f aca="false">G275+G285+G295+G305+G315+G325+G335+G345+G355</f>
        <v>106.0065369845</v>
      </c>
      <c r="H365" s="52" t="n">
        <f aca="false">H275+H285+H295+H305+H315+H325+H335+H345+H355</f>
        <v>163.049467500598</v>
      </c>
      <c r="I365" s="52" t="n">
        <f aca="false">I275+I285+I295+I305+I315+I325+I335+I345+I355</f>
        <v>211.808544464614</v>
      </c>
      <c r="J365" s="52" t="n">
        <f aca="false">J275+J285+J295+J305+J315+J325+J335+J345+J355</f>
        <v>218.853171468157</v>
      </c>
      <c r="K365" s="52" t="n">
        <f aca="false">K275+K285+K295+K305+K315+K325+K335+K345+K355</f>
        <v>259.990843207918</v>
      </c>
      <c r="L365" s="52" t="n">
        <f aca="false">L275+L285+L295+L305+L315+L325+L335+L345+L355</f>
        <v>277.091330418529</v>
      </c>
      <c r="M365" s="52" t="n">
        <f aca="false">M275+M285+M295+M305+M315+M325+M335+M345+M355</f>
        <v>276.926197280216</v>
      </c>
      <c r="N365" s="52" t="n">
        <f aca="false">N275+N285+N295+N305+N315+N325+N335+N345+N355</f>
        <v>308.337420989444</v>
      </c>
      <c r="O365" s="52" t="n">
        <f aca="false">O275+O285+O295+O305+O315+O325+O335+O345+O355</f>
        <v>364.577252927813</v>
      </c>
      <c r="P365" s="52" t="n">
        <f aca="false">P275+P285+P295+P305+P315+P325+P335+P345+P355</f>
        <v>525.036311384271</v>
      </c>
      <c r="Q365" s="52" t="n">
        <f aca="false">Q275+Q285+Q295+Q305+Q315+Q325+Q335+Q345+Q355</f>
        <v>575.356851988349</v>
      </c>
      <c r="R365" s="52" t="n">
        <f aca="false">R275+R285+R295+R305+R315+R325+R335+R345+R355</f>
        <v>569.070440015157</v>
      </c>
      <c r="S365" s="52" t="n">
        <f aca="false">S275+S285+S295+S305+S315+S325+S335+S345+S355</f>
        <v>436.123770395558</v>
      </c>
      <c r="T365" s="52" t="n">
        <f aca="false">T275+T285+T295+T305+T315+T325+T335+T345+T355</f>
        <v>511.013140257125</v>
      </c>
      <c r="U365" s="52" t="n">
        <f aca="false">U275+U285+U295+U305+U315+U325+U335+U345+U355</f>
        <v>565.514086191521</v>
      </c>
      <c r="V365" s="52" t="n">
        <f aca="false">V275+V285+V295+V305+V315+V325+V335+V345+V355</f>
        <v>539.626819868155</v>
      </c>
      <c r="W365" s="52" t="n">
        <f aca="false">W275+W285+W295+W305+W315+W325+W335+W345+W355</f>
        <v>595.650859509305</v>
      </c>
      <c r="X365" s="52" t="n">
        <f aca="false">X275+X285+X295+X305+X315+X325+X335+X345+X355</f>
        <v>604.952302644951</v>
      </c>
      <c r="Y365" s="52" t="n">
        <f aca="false">Y275+Y285+Y295+Y305+Y315+Y325+Y335+Y345+Y355</f>
        <v>588.333632076857</v>
      </c>
      <c r="Z365" s="52" t="n">
        <f aca="false">Z275+Z285+Z295+Z305+Z315+Z325+Z335+Z345+Z355</f>
        <v>627.091677817439</v>
      </c>
      <c r="AA365" s="52" t="n">
        <f aca="false">AA275+AA285+AA295+AA305+AA315+AA325+AA335+AA345+AA355</f>
        <v>721.091647164328</v>
      </c>
      <c r="AB365" s="52" t="n">
        <f aca="false">AB275+AB285+AB295+AB305+AB315+AB325+AB335+AB345+AB355</f>
        <v>1013.24944945603</v>
      </c>
      <c r="AC365" s="52" t="n">
        <f aca="false">AC275+AC285+AC295+AC305+AC315+AC325+AC335+AC345+AC355</f>
        <v>1088.45522370562</v>
      </c>
      <c r="AD365" s="52" t="n">
        <f aca="false">AD275+AD285+AD295+AD305+AD315+AD325+AD335+AD345+AD355</f>
        <v>1052.84746245347</v>
      </c>
      <c r="AE365" s="52" t="n">
        <f aca="false">AE275+AE285+AE295+AE305+AE315+AE325+AE335+AE345+AE355</f>
        <v>789.139532191744</v>
      </c>
      <c r="AF365" s="52" t="n">
        <f aca="false">AF275+AF285+AF295+AF305+AF315+AF325+AF335+AF345+AF355</f>
        <v>904.581751319963</v>
      </c>
      <c r="AG365" s="52" t="n">
        <f aca="false">AG275+AG285+AG295+AG305+AG315+AG325+AG335+AG345+AG355</f>
        <v>979.457667570396</v>
      </c>
      <c r="AH365" s="52" t="n">
        <f aca="false">AH275+AH285+AH295+AH305+AH315+AH325+AH335+AH345+AH355</f>
        <v>914.513330286467</v>
      </c>
      <c r="AI365" s="52" t="n">
        <f aca="false">AI275+AI285+AI295+AI305+AI315+AI325+AI335+AI345+AI355</f>
        <v>988.157621155171</v>
      </c>
      <c r="AJ365" s="52" t="n">
        <f aca="false">AJ275+AJ285+AJ295+AJ305+AJ315+AJ325+AJ335+AJ345+AJ355</f>
        <v>976.958428305661</v>
      </c>
      <c r="AK365" s="52" t="n">
        <f aca="false">AK275+AK285+AK295+AK305+AK315+AK325+AK335+AK345+AK355</f>
        <v>923.761180510367</v>
      </c>
      <c r="AL365" s="52" t="n">
        <f aca="false">AL275+AL285+AL295+AL305+AL315+AL325+AL335+AL345+AL355</f>
        <v>958.364545057188</v>
      </c>
      <c r="AM365" s="53" t="n">
        <f aca="false">SUMIF($C$6:$AL$6,1,C365:AL365)</f>
        <v>2036.86058391814</v>
      </c>
      <c r="AN365" s="53" t="n">
        <f aca="false">SUMIF($C$6:$AL$6,2,C365:AL365)</f>
        <v>6502.3471450765</v>
      </c>
      <c r="AO365" s="53" t="n">
        <f aca="false">SUMIF($C$6:$AL$6,3,C365:AL365)</f>
        <v>11310.5778391764</v>
      </c>
      <c r="AP365" s="53" t="n">
        <f aca="false">SUM(C365:AL365)</f>
        <v>19849.785568171</v>
      </c>
    </row>
    <row r="366" customFormat="false" ht="15" hidden="false" customHeight="false" outlineLevel="0" collapsed="false">
      <c r="A366" s="7" t="s">
        <v>782</v>
      </c>
      <c r="B366" s="9" t="s">
        <v>342</v>
      </c>
      <c r="C366" s="52" t="n">
        <f aca="false">C276+C286+C296+C306+C316+C326+C336+C346+C356</f>
        <v>10.45</v>
      </c>
      <c r="D366" s="52" t="n">
        <f aca="false">D276+D286+D296+D306+D316+D326+D336+D346+D356</f>
        <v>44.902</v>
      </c>
      <c r="E366" s="52" t="n">
        <f aca="false">E276+E286+E296+E306+E316+E326+E336+E346+E356</f>
        <v>87.767145</v>
      </c>
      <c r="F366" s="52" t="n">
        <f aca="false">F276+F286+F296+F306+F316+F326+F336+F346+F356</f>
        <v>120.835615270833</v>
      </c>
      <c r="G366" s="52" t="n">
        <f aca="false">G276+G286+G296+G306+G316+G326+G336+G346+G356</f>
        <v>128.6428826141</v>
      </c>
      <c r="H366" s="52" t="n">
        <f aca="false">H276+H286+H296+H306+H316+H326+H336+H346+H356</f>
        <v>197.815547096118</v>
      </c>
      <c r="I366" s="52" t="n">
        <f aca="false">I276+I286+I296+I306+I316+I326+I336+I346+I356</f>
        <v>255.365924500734</v>
      </c>
      <c r="J366" s="52" t="n">
        <f aca="false">J276+J286+J296+J306+J316+J326+J336+J346+J356</f>
        <v>264.030361894781</v>
      </c>
      <c r="K366" s="52" t="n">
        <f aca="false">K276+K286+K296+K306+K316+K326+K336+K346+K356</f>
        <v>314.246557755607</v>
      </c>
      <c r="L366" s="52" t="n">
        <f aca="false">L276+L286+L296+L306+L316+L326+L336+L346+L356</f>
        <v>335.420654412216</v>
      </c>
      <c r="M366" s="52" t="n">
        <f aca="false">M276+M286+M296+M306+M316+M326+M336+M346+M356</f>
        <v>335.408752418958</v>
      </c>
      <c r="N366" s="52" t="n">
        <f aca="false">N276+N286+N296+N306+N316+N326+N336+N346+N356</f>
        <v>373.68850439501</v>
      </c>
      <c r="O366" s="52" t="n">
        <f aca="false">O276+O286+O296+O306+O316+O326+O336+O346+O356</f>
        <v>442.031650960034</v>
      </c>
      <c r="P366" s="52" t="n">
        <f aca="false">P276+P286+P296+P306+P316+P326+P336+P346+P356</f>
        <v>636.862493229734</v>
      </c>
      <c r="Q366" s="52" t="n">
        <f aca="false">Q276+Q286+Q296+Q306+Q316+Q326+Q336+Q346+Q356</f>
        <v>698.109265346807</v>
      </c>
      <c r="R366" s="52" t="n">
        <f aca="false">R276+R286+R296+R306+R316+R326+R336+R346+R356</f>
        <v>690.593242116828</v>
      </c>
      <c r="S366" s="52" t="n">
        <f aca="false">S276+S286+S296+S306+S316+S326+S336+S346+S356</f>
        <v>529.389150026082</v>
      </c>
      <c r="T366" s="52" t="n">
        <f aca="false">T276+T286+T296+T306+T316+T326+T336+T346+T356</f>
        <v>620.603667623209</v>
      </c>
      <c r="U366" s="52" t="n">
        <f aca="false">U276+U286+U296+U306+U316+U326+U336+U346+U356</f>
        <v>687.120558410544</v>
      </c>
      <c r="V366" s="52" t="n">
        <f aca="false">V276+V286+V296+V306+V316+V326+V336+V346+V356</f>
        <v>655.968164714244</v>
      </c>
      <c r="W366" s="52" t="n">
        <f aca="false">W276+W286+W296+W306+W316+W326+W336+W346+W356</f>
        <v>724.49454493215</v>
      </c>
      <c r="X366" s="52" t="n">
        <f aca="false">X276+X286+X296+X306+X316+X326+X336+X346+X356</f>
        <v>746.867926927356</v>
      </c>
      <c r="Y366" s="52" t="n">
        <f aca="false">Y276+Y286+Y296+Y306+Y316+Y326+Y336+Y346+Y356</f>
        <v>736.819045445175</v>
      </c>
      <c r="Z366" s="52" t="n">
        <f aca="false">Z276+Z286+Z296+Z306+Z316+Z326+Z336+Z346+Z356</f>
        <v>797.262098422081</v>
      </c>
      <c r="AA366" s="52" t="n">
        <f aca="false">AA276+AA286+AA296+AA306+AA316+AA326+AA336+AA346+AA356</f>
        <v>932.450768813155</v>
      </c>
      <c r="AB366" s="52" t="n">
        <f aca="false">AB276+AB286+AB296+AB306+AB316+AB326+AB336+AB346+AB356</f>
        <v>1334.50861723107</v>
      </c>
      <c r="AC366" s="52" t="n">
        <f aca="false">AC276+AC286+AC296+AC306+AC316+AC326+AC336+AC346+AC356</f>
        <v>1460.77206592862</v>
      </c>
      <c r="AD366" s="52" t="n">
        <f aca="false">AD276+AD286+AD296+AD306+AD316+AD326+AD336+AD346+AD356</f>
        <v>1417.07076805396</v>
      </c>
      <c r="AE366" s="52" t="n">
        <f aca="false">AE276+AE286+AE296+AE306+AE316+AE326+AE336+AE346+AE356</f>
        <v>1065.77947915793</v>
      </c>
      <c r="AF366" s="52" t="n">
        <f aca="false">AF276+AF286+AF296+AF306+AF316+AF326+AF336+AF346+AF356</f>
        <v>1227.46974925789</v>
      </c>
      <c r="AG366" s="52" t="n">
        <f aca="false">AG276+AG286+AG296+AG306+AG316+AG326+AG336+AG346+AG356</f>
        <v>1335.64476675113</v>
      </c>
      <c r="AH366" s="52" t="n">
        <f aca="false">AH276+AH286+AH296+AH306+AH316+AH326+AH336+AH346+AH356</f>
        <v>1253.3748858447</v>
      </c>
      <c r="AI366" s="52" t="n">
        <f aca="false">AI276+AI286+AI296+AI306+AI316+AI326+AI336+AI346+AI356</f>
        <v>1362.41206152834</v>
      </c>
      <c r="AJ366" s="52" t="n">
        <f aca="false">AJ276+AJ286+AJ296+AJ306+AJ316+AJ326+AJ336+AJ346+AJ356</f>
        <v>1352.87728238801</v>
      </c>
      <c r="AK366" s="52" t="n">
        <f aca="false">AK276+AK286+AK296+AK306+AK316+AK326+AK336+AK346+AK356</f>
        <v>1282.34819218742</v>
      </c>
      <c r="AL366" s="52" t="n">
        <f aca="false">AL276+AL286+AL296+AL306+AL316+AL326+AL336+AL346+AL356</f>
        <v>1337.1931932107</v>
      </c>
      <c r="AM366" s="53" t="n">
        <f aca="false">SUMIF($C$6:$AL$6,1,C366:AL366)</f>
        <v>2468.57394535836</v>
      </c>
      <c r="AN366" s="53" t="n">
        <f aca="false">SUMIF($C$6:$AL$6,2,C366:AL366)</f>
        <v>7966.12180815424</v>
      </c>
      <c r="AO366" s="53" t="n">
        <f aca="false">SUMIF($C$6:$AL$6,3,C366:AL366)</f>
        <v>15361.9018303529</v>
      </c>
      <c r="AP366" s="53" t="n">
        <f aca="false">SUM(C366:AL366)</f>
        <v>25796.5975838655</v>
      </c>
    </row>
    <row r="367" customFormat="false" ht="15" hidden="false" customHeight="false" outlineLevel="0" collapsed="false">
      <c r="A367" s="7" t="s">
        <v>783</v>
      </c>
      <c r="B367" s="9" t="s">
        <v>760</v>
      </c>
      <c r="C367" s="52" t="n">
        <f aca="false">C365</f>
        <v>7.91666666666667</v>
      </c>
      <c r="D367" s="52" t="n">
        <f aca="false">D365+C367</f>
        <v>43.8833333333333</v>
      </c>
      <c r="E367" s="52" t="n">
        <f aca="false">E365+D367</f>
        <v>115.311833333333</v>
      </c>
      <c r="F367" s="52" t="n">
        <f aca="false">F365+E367</f>
        <v>214.797071604167</v>
      </c>
      <c r="G367" s="52" t="n">
        <f aca="false">G365+F367</f>
        <v>320.803608588667</v>
      </c>
      <c r="H367" s="52" t="n">
        <f aca="false">H365+G367</f>
        <v>483.853076089265</v>
      </c>
      <c r="I367" s="52" t="n">
        <f aca="false">I365+H367</f>
        <v>695.661620553878</v>
      </c>
      <c r="J367" s="52" t="n">
        <f aca="false">J365+I367</f>
        <v>914.514792022035</v>
      </c>
      <c r="K367" s="52" t="n">
        <f aca="false">K365+J367</f>
        <v>1174.50563522995</v>
      </c>
      <c r="L367" s="52" t="n">
        <f aca="false">L365+K367</f>
        <v>1451.59696564848</v>
      </c>
      <c r="M367" s="52" t="n">
        <f aca="false">M365+L367</f>
        <v>1728.5231629287</v>
      </c>
      <c r="N367" s="52" t="n">
        <f aca="false">N365+M367</f>
        <v>2036.86058391814</v>
      </c>
      <c r="O367" s="52" t="n">
        <f aca="false">O365+N367</f>
        <v>2401.43783684595</v>
      </c>
      <c r="P367" s="52" t="n">
        <f aca="false">P365+O367</f>
        <v>2926.47414823023</v>
      </c>
      <c r="Q367" s="52" t="n">
        <f aca="false">Q365+P367</f>
        <v>3501.83100021857</v>
      </c>
      <c r="R367" s="52" t="n">
        <f aca="false">R365+Q367</f>
        <v>4070.90144023373</v>
      </c>
      <c r="S367" s="52" t="n">
        <f aca="false">S365+R367</f>
        <v>4507.02521062929</v>
      </c>
      <c r="T367" s="52" t="n">
        <f aca="false">T365+S367</f>
        <v>5018.03835088641</v>
      </c>
      <c r="U367" s="52" t="n">
        <f aca="false">U365+T367</f>
        <v>5583.55243707794</v>
      </c>
      <c r="V367" s="52" t="n">
        <f aca="false">V365+U367</f>
        <v>6123.17925694609</v>
      </c>
      <c r="W367" s="52" t="n">
        <f aca="false">W365+V367</f>
        <v>6718.8301164554</v>
      </c>
      <c r="X367" s="52" t="n">
        <f aca="false">X365+W367</f>
        <v>7323.78241910035</v>
      </c>
      <c r="Y367" s="52" t="n">
        <f aca="false">Y365+X367</f>
        <v>7912.1160511772</v>
      </c>
      <c r="Z367" s="52" t="n">
        <f aca="false">Z365+Y367</f>
        <v>8539.20772899464</v>
      </c>
      <c r="AA367" s="52" t="n">
        <f aca="false">AA365+Z367</f>
        <v>9260.29937615897</v>
      </c>
      <c r="AB367" s="52" t="n">
        <f aca="false">AB365+AA367</f>
        <v>10273.548825615</v>
      </c>
      <c r="AC367" s="52" t="n">
        <f aca="false">AC365+AB367</f>
        <v>11362.0040493206</v>
      </c>
      <c r="AD367" s="52" t="n">
        <f aca="false">AD365+AC367</f>
        <v>12414.8515117741</v>
      </c>
      <c r="AE367" s="52" t="n">
        <f aca="false">AE365+AD367</f>
        <v>13203.9910439658</v>
      </c>
      <c r="AF367" s="52" t="n">
        <f aca="false">AF365+AE367</f>
        <v>14108.5727952858</v>
      </c>
      <c r="AG367" s="52" t="n">
        <f aca="false">AG365+AF367</f>
        <v>15088.0304628562</v>
      </c>
      <c r="AH367" s="52" t="n">
        <f aca="false">AH365+AG367</f>
        <v>16002.5437931427</v>
      </c>
      <c r="AI367" s="52" t="n">
        <f aca="false">AI365+AH367</f>
        <v>16990.7014142978</v>
      </c>
      <c r="AJ367" s="52" t="n">
        <f aca="false">AJ365+AI367</f>
        <v>17967.6598426035</v>
      </c>
      <c r="AK367" s="52" t="n">
        <f aca="false">AK365+AJ367</f>
        <v>18891.4210231139</v>
      </c>
      <c r="AL367" s="52" t="n">
        <f aca="false">AL365+AK367</f>
        <v>19849.785568171</v>
      </c>
      <c r="AM367" s="53" t="n">
        <f aca="false">N367</f>
        <v>2036.86058391814</v>
      </c>
      <c r="AN367" s="53" t="n">
        <f aca="false">Z367</f>
        <v>8539.20772899464</v>
      </c>
      <c r="AO367" s="53" t="n">
        <f aca="false">AL367</f>
        <v>19849.785568171</v>
      </c>
      <c r="AP367" s="53" t="n">
        <f aca="false">AL367</f>
        <v>19849.785568171</v>
      </c>
    </row>
    <row r="368" customFormat="false" ht="15" hidden="false" customHeight="false" outlineLevel="0" collapsed="false">
      <c r="A368" s="7" t="s">
        <v>784</v>
      </c>
      <c r="B368" s="9" t="s">
        <v>342</v>
      </c>
      <c r="C368" s="52" t="n">
        <f aca="false">C366</f>
        <v>10.45</v>
      </c>
      <c r="D368" s="52" t="n">
        <f aca="false">D366+C368</f>
        <v>55.352</v>
      </c>
      <c r="E368" s="52" t="n">
        <f aca="false">E366+D368</f>
        <v>143.119145</v>
      </c>
      <c r="F368" s="52" t="n">
        <f aca="false">F366+E368</f>
        <v>263.954760270833</v>
      </c>
      <c r="G368" s="52" t="n">
        <f aca="false">G366+F368</f>
        <v>392.597642884933</v>
      </c>
      <c r="H368" s="52" t="n">
        <f aca="false">H366+G368</f>
        <v>590.413189981051</v>
      </c>
      <c r="I368" s="52" t="n">
        <f aca="false">I366+H368</f>
        <v>845.779114481785</v>
      </c>
      <c r="J368" s="52" t="n">
        <f aca="false">J366+I368</f>
        <v>1109.80947637657</v>
      </c>
      <c r="K368" s="52" t="n">
        <f aca="false">K366+J368</f>
        <v>1424.05603413217</v>
      </c>
      <c r="L368" s="52" t="n">
        <f aca="false">L366+K368</f>
        <v>1759.47668854439</v>
      </c>
      <c r="M368" s="52" t="n">
        <f aca="false">M366+L368</f>
        <v>2094.88544096335</v>
      </c>
      <c r="N368" s="52" t="n">
        <f aca="false">N366+M368</f>
        <v>2468.57394535836</v>
      </c>
      <c r="O368" s="52" t="n">
        <f aca="false">O366+N368</f>
        <v>2910.60559631839</v>
      </c>
      <c r="P368" s="52" t="n">
        <f aca="false">P366+O368</f>
        <v>3547.46808954813</v>
      </c>
      <c r="Q368" s="52" t="n">
        <f aca="false">Q366+P368</f>
        <v>4245.57735489493</v>
      </c>
      <c r="R368" s="52" t="n">
        <f aca="false">R366+Q368</f>
        <v>4936.17059701176</v>
      </c>
      <c r="S368" s="52" t="n">
        <f aca="false">S366+R368</f>
        <v>5465.55974703784</v>
      </c>
      <c r="T368" s="52" t="n">
        <f aca="false">T366+S368</f>
        <v>6086.16341466105</v>
      </c>
      <c r="U368" s="52" t="n">
        <f aca="false">U366+T368</f>
        <v>6773.28397307159</v>
      </c>
      <c r="V368" s="52" t="n">
        <f aca="false">V366+U368</f>
        <v>7429.25213778584</v>
      </c>
      <c r="W368" s="52" t="n">
        <f aca="false">W366+V368</f>
        <v>8153.74668271799</v>
      </c>
      <c r="X368" s="52" t="n">
        <f aca="false">X366+W368</f>
        <v>8900.61460964534</v>
      </c>
      <c r="Y368" s="52" t="n">
        <f aca="false">Y366+X368</f>
        <v>9637.43365509052</v>
      </c>
      <c r="Z368" s="52" t="n">
        <f aca="false">Z366+Y368</f>
        <v>10434.6957535126</v>
      </c>
      <c r="AA368" s="52" t="n">
        <f aca="false">AA366+Z368</f>
        <v>11367.1465223258</v>
      </c>
      <c r="AB368" s="52" t="n">
        <f aca="false">AB366+AA368</f>
        <v>12701.6551395568</v>
      </c>
      <c r="AC368" s="52" t="n">
        <f aca="false">AC366+AB368</f>
        <v>14162.4272054854</v>
      </c>
      <c r="AD368" s="52" t="n">
        <f aca="false">AD366+AC368</f>
        <v>15579.4979735394</v>
      </c>
      <c r="AE368" s="52" t="n">
        <f aca="false">AE366+AD368</f>
        <v>16645.2774526973</v>
      </c>
      <c r="AF368" s="52" t="n">
        <f aca="false">AF366+AE368</f>
        <v>17872.7472019552</v>
      </c>
      <c r="AG368" s="52" t="n">
        <f aca="false">AG366+AF368</f>
        <v>19208.3919687064</v>
      </c>
      <c r="AH368" s="52" t="n">
        <f aca="false">AH366+AG368</f>
        <v>20461.7668545511</v>
      </c>
      <c r="AI368" s="52" t="n">
        <f aca="false">AI366+AH368</f>
        <v>21824.1789160794</v>
      </c>
      <c r="AJ368" s="52" t="n">
        <f aca="false">AJ366+AI368</f>
        <v>23177.0561984674</v>
      </c>
      <c r="AK368" s="52" t="n">
        <f aca="false">AK366+AJ368</f>
        <v>24459.4043906548</v>
      </c>
      <c r="AL368" s="52" t="n">
        <f aca="false">AL366+AK368</f>
        <v>25796.5975838655</v>
      </c>
      <c r="AM368" s="53" t="n">
        <f aca="false">N368</f>
        <v>2468.57394535836</v>
      </c>
      <c r="AN368" s="53" t="n">
        <f aca="false">Z368</f>
        <v>10434.6957535126</v>
      </c>
      <c r="AO368" s="53" t="n">
        <f aca="false">AL368</f>
        <v>25796.5975838655</v>
      </c>
      <c r="AP368" s="53" t="n">
        <f aca="false">AL368</f>
        <v>25796.5975838655</v>
      </c>
    </row>
    <row r="369" customFormat="false" ht="15" hidden="false" customHeight="false" outlineLevel="0" collapsed="false">
      <c r="A369" s="57" t="s">
        <v>785</v>
      </c>
      <c r="B369" s="58" t="s">
        <v>101</v>
      </c>
      <c r="C369" s="59" t="n">
        <f aca="false">C278+C288+C298+C308+C318+C328+C338+C348+C358</f>
        <v>93.1237296428571</v>
      </c>
      <c r="D369" s="59" t="n">
        <f aca="false">D278+D288+D298+D308+D318+D328+D338+D348+D358</f>
        <v>471.9350376</v>
      </c>
      <c r="E369" s="59" t="n">
        <f aca="false">E278+E288+E298+E308+E318+E328+E338+E348+E358</f>
        <v>968.178047886</v>
      </c>
      <c r="F369" s="59" t="n">
        <f aca="false">F278+F288+F298+F308+F318+F328+F338+F348+F358</f>
        <v>1372.95707327036</v>
      </c>
      <c r="G369" s="59" t="n">
        <f aca="false">G278+G288+G298+G308+G318+G328+G338+G348+G358</f>
        <v>1479.15755710926</v>
      </c>
      <c r="H369" s="59" t="n">
        <f aca="false">H278+H288+H298+H308+H318+H328+H338+H348+H358</f>
        <v>2288.1948798794</v>
      </c>
      <c r="I369" s="59" t="n">
        <f aca="false">I278+I288+I298+I308+I318+I328+I338+I348+I358</f>
        <v>3019.9874991456</v>
      </c>
      <c r="J369" s="59" t="n">
        <f aca="false">J278+J288+J298+J308+J318+J328+J338+J348+J358</f>
        <v>3137.61294993368</v>
      </c>
      <c r="K369" s="59" t="n">
        <f aca="false">K278+K288+K298+K308+K318+K328+K338+K348+K358</f>
        <v>3734.92803416578</v>
      </c>
      <c r="L369" s="59" t="n">
        <f aca="false">L278+L288+L298+L308+L318+L328+L338+L348+L358</f>
        <v>4014.70876856941</v>
      </c>
      <c r="M369" s="59" t="n">
        <f aca="false">M278+M288+M298+M308+M318+M328+M338+M348+M358</f>
        <v>4117.0502900752</v>
      </c>
      <c r="N369" s="59" t="n">
        <f aca="false">N278+N288+N298+N308+N318+N328+N338+N348+N358</f>
        <v>4660.8365127404</v>
      </c>
      <c r="O369" s="59" t="n">
        <f aca="false">O278+O288+O298+O308+O318+O328+O338+O348+O358</f>
        <v>5519.70311017475</v>
      </c>
      <c r="P369" s="59" t="n">
        <f aca="false">P278+P288+P298+P308+P318+P328+P338+P348+P358</f>
        <v>7854.74868312673</v>
      </c>
      <c r="Q369" s="59" t="n">
        <f aca="false">Q278+Q288+Q298+Q308+Q318+Q328+Q338+Q348+Q358</f>
        <v>8553.64692552098</v>
      </c>
      <c r="R369" s="59" t="n">
        <f aca="false">R278+R288+R298+R308+R318+R328+R338+R348+R358</f>
        <v>8667.50985672023</v>
      </c>
      <c r="S369" s="59" t="n">
        <f aca="false">S278+S288+S298+S308+S318+S328+S338+S348+S358</f>
        <v>6743.94587237712</v>
      </c>
      <c r="T369" s="59" t="n">
        <f aca="false">T278+T288+T298+T308+T318+T328+T338+T348+T358</f>
        <v>7849.82470417473</v>
      </c>
      <c r="U369" s="59" t="n">
        <f aca="false">U278+U288+U298+U308+U318+U328+U338+U348+U358</f>
        <v>8613.80497429753</v>
      </c>
      <c r="V369" s="59" t="n">
        <f aca="false">V278+V288+V298+V308+V318+V328+V338+V348+V358</f>
        <v>8161.09609835756</v>
      </c>
      <c r="W369" s="59" t="n">
        <f aca="false">W278+W288+W298+W308+W318+W328+W338+W348+W358</f>
        <v>8815.88616329749</v>
      </c>
      <c r="X369" s="59" t="n">
        <f aca="false">X278+X288+X298+X308+X318+X328+X338+X348+X358</f>
        <v>9185.56399997922</v>
      </c>
      <c r="Y369" s="59" t="n">
        <f aca="false">Y278+Y288+Y298+Y308+Y318+Y328+Y338+Y348+Y358</f>
        <v>9516.70521022673</v>
      </c>
      <c r="Z369" s="59" t="n">
        <f aca="false">Z278+Z288+Z298+Z308+Z318+Z328+Z338+Z348+Z358</f>
        <v>10308.3048929471</v>
      </c>
      <c r="AA369" s="59" t="n">
        <f aca="false">AA278+AA288+AA298+AA308+AA318+AA328+AA338+AA348+AA358</f>
        <v>11744.8527660836</v>
      </c>
      <c r="AB369" s="59" t="n">
        <f aca="false">AB278+AB288+AB298+AB308+AB318+AB328+AB338+AB348+AB358</f>
        <v>16270.5802515219</v>
      </c>
      <c r="AC369" s="59" t="n">
        <f aca="false">AC278+AC288+AC298+AC308+AC318+AC328+AC338+AC348+AC358</f>
        <v>17501.8626611932</v>
      </c>
      <c r="AD369" s="59" t="n">
        <f aca="false">AD278+AD288+AD298+AD308+AD318+AD328+AD338+AD348+AD358</f>
        <v>17350.7507833663</v>
      </c>
      <c r="AE369" s="59" t="n">
        <f aca="false">AE278+AE288+AE298+AE308+AE318+AE328+AE338+AE348+AE358</f>
        <v>13221.5606344841</v>
      </c>
      <c r="AF369" s="59" t="n">
        <f aca="false">AF278+AF288+AF298+AF308+AF318+AF328+AF338+AF348+AF358</f>
        <v>15123.4059170195</v>
      </c>
      <c r="AG369" s="59" t="n">
        <f aca="false">AG278+AG288+AG298+AG308+AG318+AG328+AG338+AG348+AG358</f>
        <v>16319.749282892</v>
      </c>
      <c r="AH369" s="59" t="n">
        <f aca="false">AH278+AH288+AH298+AH308+AH318+AH328+AH338+AH348+AH358</f>
        <v>15207.6804939871</v>
      </c>
      <c r="AI369" s="59" t="n">
        <f aca="false">AI278+AI288+AI298+AI308+AI318+AI328+AI338+AI348+AI358</f>
        <v>16213.2941706917</v>
      </c>
      <c r="AJ369" s="59" t="n">
        <f aca="false">AJ278+AJ288+AJ298+AJ308+AJ318+AJ328+AJ338+AJ348+AJ358</f>
        <v>16296.8073154371</v>
      </c>
      <c r="AK369" s="59" t="n">
        <f aca="false">AK278+AK288+AK298+AK308+AK318+AK328+AK338+AK348+AK358</f>
        <v>16165.8862313831</v>
      </c>
      <c r="AL369" s="59" t="n">
        <f aca="false">AL278+AL288+AL298+AL308+AL318+AL328+AL338+AL348+AL358</f>
        <v>16926.1393482689</v>
      </c>
      <c r="AM369" s="60" t="n">
        <f aca="false">SUMIF($C$6:$AL$6,1,C369:AL369)</f>
        <v>29358.670380018</v>
      </c>
      <c r="AN369" s="60" t="n">
        <f aca="false">SUMIF($C$6:$AL$6,2,C369:AL369)</f>
        <v>99790.7404912002</v>
      </c>
      <c r="AO369" s="60" t="n">
        <f aca="false">SUMIF($C$6:$AL$6,3,C369:AL369)</f>
        <v>188342.569856329</v>
      </c>
      <c r="AP369" s="60" t="n">
        <f aca="false">SUM(C369:AL369)</f>
        <v>317491.980727547</v>
      </c>
    </row>
    <row r="370" customFormat="false" ht="15" hidden="false" customHeight="false" outlineLevel="0" collapsed="false">
      <c r="A370" s="57" t="s">
        <v>786</v>
      </c>
      <c r="B370" s="58" t="s">
        <v>101</v>
      </c>
      <c r="C370" s="59" t="n">
        <f aca="false">C279+C289+C299+C309+C319+C329+C339+C349+C359</f>
        <v>79.0480620867857</v>
      </c>
      <c r="D370" s="59" t="n">
        <f aca="false">D279+D289+D299+D309+D319+D329+D339+D349+D359</f>
        <v>320.5784524176</v>
      </c>
      <c r="E370" s="59" t="n">
        <f aca="false">E279+E289+E299+E309+E319+E329+E339+E349+E359</f>
        <v>606.170482601436</v>
      </c>
      <c r="F370" s="59" t="n">
        <f aca="false">F279+F289+F299+F309+F319+F329+F339+F349+F359</f>
        <v>818.624248753187</v>
      </c>
      <c r="G370" s="59" t="n">
        <f aca="false">G279+G289+G299+G309+G319+G329+G339+G349+G359</f>
        <v>864.916268064282</v>
      </c>
      <c r="H370" s="59" t="n">
        <f aca="false">H279+H289+H299+H309+H319+H329+H339+H349+H359</f>
        <v>1326.93276185259</v>
      </c>
      <c r="I370" s="59" t="n">
        <f aca="false">I279+I289+I299+I309+I319+I329+I339+I349+I359</f>
        <v>1698.6447497527</v>
      </c>
      <c r="J370" s="59" t="n">
        <f aca="false">J279+J289+J299+J309+J319+J329+J339+J349+J359</f>
        <v>1756.95990979073</v>
      </c>
      <c r="K370" s="59" t="n">
        <f aca="false">K279+K289+K299+K309+K319+K329+K339+K349+K359</f>
        <v>2106.84698390306</v>
      </c>
      <c r="L370" s="59" t="n">
        <f aca="false">L279+L289+L299+L309+L319+L329+L339+L349+L359</f>
        <v>2285.26065496951</v>
      </c>
      <c r="M370" s="59" t="n">
        <f aca="false">M279+M289+M299+M309+M319+M329+M339+M349+M359</f>
        <v>2411.65575082451</v>
      </c>
      <c r="N370" s="59" t="n">
        <f aca="false">N279+N289+N299+N309+N319+N329+N339+N349+N359</f>
        <v>2785.56446579345</v>
      </c>
      <c r="O370" s="59" t="n">
        <f aca="false">O279+O289+O299+O309+O319+O329+O339+O349+O359</f>
        <v>3315.45310277584</v>
      </c>
      <c r="P370" s="59" t="n">
        <f aca="false">P279+P289+P299+P309+P319+P329+P339+P349+P359</f>
        <v>4696.81897369938</v>
      </c>
      <c r="Q370" s="59" t="n">
        <f aca="false">Q279+Q289+Q299+Q309+Q319+Q329+Q339+Q349+Q359</f>
        <v>5113.42827820397</v>
      </c>
      <c r="R370" s="59" t="n">
        <f aca="false">R279+R289+R299+R309+R319+R329+R339+R349+R359</f>
        <v>5290.69604007889</v>
      </c>
      <c r="S370" s="59" t="n">
        <f aca="false">S279+S289+S299+S309+S319+S329+S339+S349+S359</f>
        <v>4173.89877017221</v>
      </c>
      <c r="T370" s="59" t="n">
        <f aca="false">T279+T289+T299+T309+T319+T329+T339+T349+T359</f>
        <v>4854.6308781622</v>
      </c>
      <c r="U370" s="59" t="n">
        <f aca="false">U279+U289+U299+U309+U319+U329+U339+U349+U359</f>
        <v>5317.10657536151</v>
      </c>
      <c r="V370" s="59" t="n">
        <f aca="false">V279+V289+V299+V309+V319+V329+V339+V349+V359</f>
        <v>5032.80876352538</v>
      </c>
      <c r="W370" s="59" t="n">
        <f aca="false">W279+W289+W299+W309+W319+W329+W339+W349+W359</f>
        <v>5379.61026063735</v>
      </c>
      <c r="X370" s="59" t="n">
        <f aca="false">X279+X289+X299+X309+X319+X329+X339+X349+X359</f>
        <v>5621.89256784535</v>
      </c>
      <c r="Y370" s="59" t="n">
        <f aca="false">Y279+Y289+Y299+Y309+Y319+Y329+Y339+Y349+Y359</f>
        <v>5985.1733227218</v>
      </c>
      <c r="Z370" s="59" t="n">
        <f aca="false">Z279+Z289+Z299+Z309+Z319+Z329+Z339+Z349+Z359</f>
        <v>6461.26678517922</v>
      </c>
      <c r="AA370" s="59" t="n">
        <f aca="false">AA279+AA289+AA299+AA309+AA319+AA329+AA339+AA349+AA359</f>
        <v>7189.26665264045</v>
      </c>
      <c r="AB370" s="59" t="n">
        <f aca="false">AB279+AB289+AB299+AB309+AB319+AB329+AB339+AB349+AB359</f>
        <v>9663.17421949042</v>
      </c>
      <c r="AC370" s="59" t="n">
        <f aca="false">AC279+AC289+AC299+AC309+AC319+AC329+AC339+AC349+AC359</f>
        <v>10175.2841470451</v>
      </c>
      <c r="AD370" s="59" t="n">
        <f aca="false">AD279+AD289+AD299+AD309+AD319+AD329+AD339+AD349+AD359</f>
        <v>10247.384158683</v>
      </c>
      <c r="AE370" s="59" t="n">
        <f aca="false">AE279+AE289+AE299+AE309+AE319+AE329+AE339+AE349+AE359</f>
        <v>7878.56250416263</v>
      </c>
      <c r="AF370" s="59" t="n">
        <f aca="false">AF279+AF289+AF299+AF309+AF319+AF329+AF339+AF349+AF359</f>
        <v>8959.97663401419</v>
      </c>
      <c r="AG370" s="59" t="n">
        <f aca="false">AG279+AG289+AG299+AG309+AG319+AG329+AG339+AG349+AG359</f>
        <v>9601.23851020864</v>
      </c>
      <c r="AH370" s="59" t="n">
        <f aca="false">AH279+AH289+AH299+AH309+AH319+AH329+AH339+AH349+AH359</f>
        <v>8891.51468428991</v>
      </c>
      <c r="AI370" s="59" t="n">
        <f aca="false">AI279+AI289+AI299+AI309+AI319+AI329+AI339+AI349+AI359</f>
        <v>9328.77984278378</v>
      </c>
      <c r="AJ370" s="59" t="n">
        <f aca="false">AJ279+AJ289+AJ299+AJ309+AJ319+AJ329+AJ339+AJ349+AJ359</f>
        <v>9453.33520715118</v>
      </c>
      <c r="AK370" s="59" t="n">
        <f aca="false">AK279+AK289+AK299+AK309+AK319+AK329+AK339+AK349+AK359</f>
        <v>9684.61946285858</v>
      </c>
      <c r="AL370" s="59" t="n">
        <f aca="false">AL279+AL289+AL299+AL309+AL319+AL329+AL339+AL349+AL359</f>
        <v>10155.2028784453</v>
      </c>
      <c r="AM370" s="60" t="n">
        <f aca="false">SUMIF($C$6:$AL$6,1,C370:AL370)</f>
        <v>17061.2027908099</v>
      </c>
      <c r="AN370" s="60" t="n">
        <f aca="false">SUMIF($C$6:$AL$6,2,C370:AL370)</f>
        <v>61242.7843183631</v>
      </c>
      <c r="AO370" s="60" t="n">
        <f aca="false">SUMIF($C$6:$AL$6,3,C370:AL370)</f>
        <v>111228.338901773</v>
      </c>
      <c r="AP370" s="60" t="n">
        <f aca="false">SUM(C370:AL370)</f>
        <v>189532.326010946</v>
      </c>
    </row>
    <row r="371" customFormat="false" ht="15" hidden="false" customHeight="false" outlineLevel="0" collapsed="false">
      <c r="A371" s="7" t="s">
        <v>787</v>
      </c>
      <c r="B371" s="9" t="s">
        <v>96</v>
      </c>
      <c r="C371" s="37" t="n">
        <f aca="false">IF(C369=0,0,C370/C369)</f>
        <v>0.848849830112543</v>
      </c>
      <c r="D371" s="37" t="n">
        <f aca="false">IF(D369=0,0,D370/D369)</f>
        <v>0.679285127986861</v>
      </c>
      <c r="E371" s="37" t="n">
        <f aca="false">IF(E369=0,0,E370/E369)</f>
        <v>0.626094016410513</v>
      </c>
      <c r="F371" s="37" t="n">
        <f aca="false">IF(F369=0,0,F370/F369)</f>
        <v>0.596248975798811</v>
      </c>
      <c r="G371" s="37" t="n">
        <f aca="false">IF(G369=0,0,G370/G369)</f>
        <v>0.584735726026779</v>
      </c>
      <c r="H371" s="37" t="n">
        <f aca="false">IF(H369=0,0,H370/H369)</f>
        <v>0.579903737011473</v>
      </c>
      <c r="I371" s="37" t="n">
        <f aca="false">IF(I369=0,0,I370/I369)</f>
        <v>0.56246747717773</v>
      </c>
      <c r="J371" s="37" t="n">
        <f aca="false">IF(J369=0,0,J370/J369)</f>
        <v>0.55996706344161</v>
      </c>
      <c r="K371" s="37" t="n">
        <f aca="false">IF(K369=0,0,K370/K369)</f>
        <v>0.56409306006177</v>
      </c>
      <c r="L371" s="37" t="n">
        <f aca="false">IF(L369=0,0,L370/L369)</f>
        <v>0.569222024984849</v>
      </c>
      <c r="M371" s="37" t="n">
        <f aca="false">IF(M369=0,0,M370/M369)</f>
        <v>0.585772720978947</v>
      </c>
      <c r="N371" s="37" t="n">
        <f aca="false">IF(N369=0,0,N370/N369)</f>
        <v>0.597653330722737</v>
      </c>
      <c r="O371" s="37" t="n">
        <f aca="false">IF(O369=0,0,O370/O369)</f>
        <v>0.600657868113287</v>
      </c>
      <c r="P371" s="37" t="n">
        <f aca="false">IF(P369=0,0,P370/P369)</f>
        <v>0.597959166254282</v>
      </c>
      <c r="Q371" s="37" t="n">
        <f aca="false">IF(Q369=0,0,Q370/Q369)</f>
        <v>0.597806797817123</v>
      </c>
      <c r="R371" s="37" t="n">
        <f aca="false">IF(R369=0,0,R370/R369)</f>
        <v>0.610405540638275</v>
      </c>
      <c r="S371" s="37" t="n">
        <f aca="false">IF(S369=0,0,S370/S369)</f>
        <v>0.61891047899247</v>
      </c>
      <c r="T371" s="37" t="n">
        <f aca="false">IF(T369=0,0,T370/T369)</f>
        <v>0.618438125832337</v>
      </c>
      <c r="U371" s="37" t="n">
        <f aca="false">IF(U369=0,0,U370/U369)</f>
        <v>0.617277334607303</v>
      </c>
      <c r="V371" s="37" t="n">
        <f aca="false">IF(V369=0,0,V370/V369)</f>
        <v>0.616682943426955</v>
      </c>
      <c r="W371" s="37" t="n">
        <f aca="false">IF(W369=0,0,W370/W369)</f>
        <v>0.610217754743008</v>
      </c>
      <c r="X371" s="37" t="n">
        <f aca="false">IF(X369=0,0,X370/X369)</f>
        <v>0.612035642869406</v>
      </c>
      <c r="Y371" s="37" t="n">
        <f aca="false">IF(Y369=0,0,Y370/Y369)</f>
        <v>0.628912337884553</v>
      </c>
      <c r="Z371" s="37" t="n">
        <f aca="false">IF(Z369=0,0,Z370/Z369)</f>
        <v>0.62680206418807</v>
      </c>
      <c r="AA371" s="37" t="n">
        <f aca="false">IF(AA369=0,0,AA370/AA369)</f>
        <v>0.612120628144559</v>
      </c>
      <c r="AB371" s="37" t="n">
        <f aca="false">IF(AB369=0,0,AB370/AB369)</f>
        <v>0.593904708382269</v>
      </c>
      <c r="AC371" s="37" t="n">
        <f aca="false">IF(AC369=0,0,AC370/AC369)</f>
        <v>0.58138292729303</v>
      </c>
      <c r="AD371" s="37" t="n">
        <f aca="false">IF(AD369=0,0,AD370/AD369)</f>
        <v>0.590601772028613</v>
      </c>
      <c r="AE371" s="37" t="n">
        <f aca="false">IF(AE369=0,0,AE370/AE369)</f>
        <v>0.595887484236465</v>
      </c>
      <c r="AF371" s="37" t="n">
        <f aca="false">IF(AF369=0,0,AF370/AF369)</f>
        <v>0.592457590781906</v>
      </c>
      <c r="AG371" s="37" t="n">
        <f aca="false">IF(AG369=0,0,AG370/AG369)</f>
        <v>0.58832022133291</v>
      </c>
      <c r="AH371" s="37" t="n">
        <f aca="false">IF(AH369=0,0,AH370/AH369)</f>
        <v>0.584672638789689</v>
      </c>
      <c r="AI371" s="37" t="n">
        <f aca="false">IF(AI369=0,0,AI370/AI369)</f>
        <v>0.57537843602734</v>
      </c>
      <c r="AJ371" s="37" t="n">
        <f aca="false">IF(AJ369=0,0,AJ370/AJ369)</f>
        <v>0.58007283415547</v>
      </c>
      <c r="AK371" s="37" t="n">
        <f aca="false">IF(AK369=0,0,AK370/AK369)</f>
        <v>0.599077546646199</v>
      </c>
      <c r="AL371" s="37" t="n">
        <f aca="false">IF(AL369=0,0,AL370/AL369)</f>
        <v>0.599971598336386</v>
      </c>
    </row>
    <row r="372" customFormat="false" ht="15" hidden="false" customHeight="false" outlineLevel="0" collapsed="false">
      <c r="A372" s="7" t="s">
        <v>788</v>
      </c>
      <c r="B372" s="9" t="s">
        <v>101</v>
      </c>
      <c r="C372" s="8" t="n">
        <f aca="false">IF(C$4&gt;=Assumptions!$E$179,CHOOSE(C$6,Assumptions!$E$180,Assumptions!$E$181,Assumptions!$E$182),0)</f>
        <v>0</v>
      </c>
      <c r="D372" s="8" t="n">
        <f aca="false">IF(D$4&gt;=Assumptions!$E$179,CHOOSE(D$6,Assumptions!$E$180,Assumptions!$E$181,Assumptions!$E$182),0)</f>
        <v>300</v>
      </c>
      <c r="E372" s="8" t="n">
        <f aca="false">IF(E$4&gt;=Assumptions!$E$179,CHOOSE(E$6,Assumptions!$E$180,Assumptions!$E$181,Assumptions!$E$182),0)</f>
        <v>300</v>
      </c>
      <c r="F372" s="8" t="n">
        <f aca="false">IF(F$4&gt;=Assumptions!$E$179,CHOOSE(F$6,Assumptions!$E$180,Assumptions!$E$181,Assumptions!$E$182),0)</f>
        <v>300</v>
      </c>
      <c r="G372" s="8" t="n">
        <f aca="false">IF(G$4&gt;=Assumptions!$E$179,CHOOSE(G$6,Assumptions!$E$180,Assumptions!$E$181,Assumptions!$E$182),0)</f>
        <v>300</v>
      </c>
      <c r="H372" s="8" t="n">
        <f aca="false">IF(H$4&gt;=Assumptions!$E$179,CHOOSE(H$6,Assumptions!$E$180,Assumptions!$E$181,Assumptions!$E$182),0)</f>
        <v>300</v>
      </c>
      <c r="I372" s="8" t="n">
        <f aca="false">IF(I$4&gt;=Assumptions!$E$179,CHOOSE(I$6,Assumptions!$E$180,Assumptions!$E$181,Assumptions!$E$182),0)</f>
        <v>300</v>
      </c>
      <c r="J372" s="8" t="n">
        <f aca="false">IF(J$4&gt;=Assumptions!$E$179,CHOOSE(J$6,Assumptions!$E$180,Assumptions!$E$181,Assumptions!$E$182),0)</f>
        <v>300</v>
      </c>
      <c r="K372" s="8" t="n">
        <f aca="false">IF(K$4&gt;=Assumptions!$E$179,CHOOSE(K$6,Assumptions!$E$180,Assumptions!$E$181,Assumptions!$E$182),0)</f>
        <v>300</v>
      </c>
      <c r="L372" s="8" t="n">
        <f aca="false">IF(L$4&gt;=Assumptions!$E$179,CHOOSE(L$6,Assumptions!$E$180,Assumptions!$E$181,Assumptions!$E$182),0)</f>
        <v>300</v>
      </c>
      <c r="M372" s="8" t="n">
        <f aca="false">IF(M$4&gt;=Assumptions!$E$179,CHOOSE(M$6,Assumptions!$E$180,Assumptions!$E$181,Assumptions!$E$182),0)</f>
        <v>300</v>
      </c>
      <c r="N372" s="8" t="n">
        <f aca="false">IF(N$4&gt;=Assumptions!$E$179,CHOOSE(N$6,Assumptions!$E$180,Assumptions!$E$181,Assumptions!$E$182),0)</f>
        <v>300</v>
      </c>
      <c r="O372" s="8" t="n">
        <f aca="false">IF(O$4&gt;=Assumptions!$E$179,CHOOSE(O$6,Assumptions!$E$180,Assumptions!$E$181,Assumptions!$E$182),0)</f>
        <v>600</v>
      </c>
      <c r="P372" s="8" t="n">
        <f aca="false">IF(P$4&gt;=Assumptions!$E$179,CHOOSE(P$6,Assumptions!$E$180,Assumptions!$E$181,Assumptions!$E$182),0)</f>
        <v>600</v>
      </c>
      <c r="Q372" s="8" t="n">
        <f aca="false">IF(Q$4&gt;=Assumptions!$E$179,CHOOSE(Q$6,Assumptions!$E$180,Assumptions!$E$181,Assumptions!$E$182),0)</f>
        <v>600</v>
      </c>
      <c r="R372" s="8" t="n">
        <f aca="false">IF(R$4&gt;=Assumptions!$E$179,CHOOSE(R$6,Assumptions!$E$180,Assumptions!$E$181,Assumptions!$E$182),0)</f>
        <v>600</v>
      </c>
      <c r="S372" s="8" t="n">
        <f aca="false">IF(S$4&gt;=Assumptions!$E$179,CHOOSE(S$6,Assumptions!$E$180,Assumptions!$E$181,Assumptions!$E$182),0)</f>
        <v>600</v>
      </c>
      <c r="T372" s="8" t="n">
        <f aca="false">IF(T$4&gt;=Assumptions!$E$179,CHOOSE(T$6,Assumptions!$E$180,Assumptions!$E$181,Assumptions!$E$182),0)</f>
        <v>600</v>
      </c>
      <c r="U372" s="8" t="n">
        <f aca="false">IF(U$4&gt;=Assumptions!$E$179,CHOOSE(U$6,Assumptions!$E$180,Assumptions!$E$181,Assumptions!$E$182),0)</f>
        <v>600</v>
      </c>
      <c r="V372" s="8" t="n">
        <f aca="false">IF(V$4&gt;=Assumptions!$E$179,CHOOSE(V$6,Assumptions!$E$180,Assumptions!$E$181,Assumptions!$E$182),0)</f>
        <v>600</v>
      </c>
      <c r="W372" s="8" t="n">
        <f aca="false">IF(W$4&gt;=Assumptions!$E$179,CHOOSE(W$6,Assumptions!$E$180,Assumptions!$E$181,Assumptions!$E$182),0)</f>
        <v>600</v>
      </c>
      <c r="X372" s="8" t="n">
        <f aca="false">IF(X$4&gt;=Assumptions!$E$179,CHOOSE(X$6,Assumptions!$E$180,Assumptions!$E$181,Assumptions!$E$182),0)</f>
        <v>600</v>
      </c>
      <c r="Y372" s="8" t="n">
        <f aca="false">IF(Y$4&gt;=Assumptions!$E$179,CHOOSE(Y$6,Assumptions!$E$180,Assumptions!$E$181,Assumptions!$E$182),0)</f>
        <v>600</v>
      </c>
      <c r="Z372" s="8" t="n">
        <f aca="false">IF(Z$4&gt;=Assumptions!$E$179,CHOOSE(Z$6,Assumptions!$E$180,Assumptions!$E$181,Assumptions!$E$182),0)</f>
        <v>600</v>
      </c>
      <c r="AA372" s="8" t="n">
        <f aca="false">IF(AA$4&gt;=Assumptions!$E$179,CHOOSE(AA$6,Assumptions!$E$180,Assumptions!$E$181,Assumptions!$E$182),0)</f>
        <v>900</v>
      </c>
      <c r="AB372" s="8" t="n">
        <f aca="false">IF(AB$4&gt;=Assumptions!$E$179,CHOOSE(AB$6,Assumptions!$E$180,Assumptions!$E$181,Assumptions!$E$182),0)</f>
        <v>900</v>
      </c>
      <c r="AC372" s="8" t="n">
        <f aca="false">IF(AC$4&gt;=Assumptions!$E$179,CHOOSE(AC$6,Assumptions!$E$180,Assumptions!$E$181,Assumptions!$E$182),0)</f>
        <v>900</v>
      </c>
      <c r="AD372" s="8" t="n">
        <f aca="false">IF(AD$4&gt;=Assumptions!$E$179,CHOOSE(AD$6,Assumptions!$E$180,Assumptions!$E$181,Assumptions!$E$182),0)</f>
        <v>900</v>
      </c>
      <c r="AE372" s="8" t="n">
        <f aca="false">IF(AE$4&gt;=Assumptions!$E$179,CHOOSE(AE$6,Assumptions!$E$180,Assumptions!$E$181,Assumptions!$E$182),0)</f>
        <v>900</v>
      </c>
      <c r="AF372" s="8" t="n">
        <f aca="false">IF(AF$4&gt;=Assumptions!$E$179,CHOOSE(AF$6,Assumptions!$E$180,Assumptions!$E$181,Assumptions!$E$182),0)</f>
        <v>900</v>
      </c>
      <c r="AG372" s="8" t="n">
        <f aca="false">IF(AG$4&gt;=Assumptions!$E$179,CHOOSE(AG$6,Assumptions!$E$180,Assumptions!$E$181,Assumptions!$E$182),0)</f>
        <v>900</v>
      </c>
      <c r="AH372" s="8" t="n">
        <f aca="false">IF(AH$4&gt;=Assumptions!$E$179,CHOOSE(AH$6,Assumptions!$E$180,Assumptions!$E$181,Assumptions!$E$182),0)</f>
        <v>900</v>
      </c>
      <c r="AI372" s="8" t="n">
        <f aca="false">IF(AI$4&gt;=Assumptions!$E$179,CHOOSE(AI$6,Assumptions!$E$180,Assumptions!$E$181,Assumptions!$E$182),0)</f>
        <v>900</v>
      </c>
      <c r="AJ372" s="8" t="n">
        <f aca="false">IF(AJ$4&gt;=Assumptions!$E$179,CHOOSE(AJ$6,Assumptions!$E$180,Assumptions!$E$181,Assumptions!$E$182),0)</f>
        <v>900</v>
      </c>
      <c r="AK372" s="8" t="n">
        <f aca="false">IF(AK$4&gt;=Assumptions!$E$179,CHOOSE(AK$6,Assumptions!$E$180,Assumptions!$E$181,Assumptions!$E$182),0)</f>
        <v>900</v>
      </c>
      <c r="AL372" s="8" t="n">
        <f aca="false">IF(AL$4&gt;=Assumptions!$E$179,CHOOSE(AL$6,Assumptions!$E$180,Assumptions!$E$181,Assumptions!$E$182),0)</f>
        <v>900</v>
      </c>
      <c r="AM372" s="45" t="n">
        <f aca="false">SUMIF($C$6:$AL$6,1,C372:AL372)</f>
        <v>3300</v>
      </c>
      <c r="AN372" s="45" t="n">
        <f aca="false">SUMIF($C$6:$AL$6,2,C372:AL372)</f>
        <v>7200</v>
      </c>
      <c r="AO372" s="45" t="n">
        <f aca="false">SUMIF($C$6:$AL$6,3,C372:AL372)</f>
        <v>10800</v>
      </c>
      <c r="AP372" s="45" t="n">
        <f aca="false">SUM(C372:AL372)</f>
        <v>21300</v>
      </c>
    </row>
    <row r="373" customFormat="false" ht="15" hidden="false" customHeight="false" outlineLevel="0" collapsed="false">
      <c r="A373" s="7" t="s">
        <v>789</v>
      </c>
      <c r="B373" s="9" t="s">
        <v>101</v>
      </c>
      <c r="C373" s="8" t="n">
        <f aca="false">'Monthly Operating Costs'!O$33</f>
        <v>1237.3185</v>
      </c>
      <c r="D373" s="8" t="n">
        <f aca="false">'Monthly Operating Costs'!P$33</f>
        <v>735.7185</v>
      </c>
      <c r="E373" s="8" t="n">
        <f aca="false">'Monthly Operating Costs'!Q$33</f>
        <v>814.3685</v>
      </c>
      <c r="F373" s="8" t="n">
        <f aca="false">'Monthly Operating Costs'!R$33</f>
        <v>1226.8685</v>
      </c>
      <c r="G373" s="8" t="n">
        <f aca="false">'Monthly Operating Costs'!S$33</f>
        <v>944.1685</v>
      </c>
      <c r="H373" s="8" t="n">
        <f aca="false">'Monthly Operating Costs'!T$33</f>
        <v>814.3685</v>
      </c>
      <c r="I373" s="8" t="n">
        <f aca="false">'Monthly Operating Costs'!U$33</f>
        <v>2244.3685</v>
      </c>
      <c r="J373" s="8" t="n">
        <f aca="false">'Monthly Operating Costs'!V$33</f>
        <v>814.3685</v>
      </c>
      <c r="K373" s="8" t="n">
        <f aca="false">'Monthly Operating Costs'!W$33</f>
        <v>814.3685</v>
      </c>
      <c r="L373" s="8" t="n">
        <f aca="false">'Monthly Operating Costs'!X$33</f>
        <v>814.3685</v>
      </c>
      <c r="M373" s="8" t="n">
        <f aca="false">'Monthly Operating Costs'!Y$33</f>
        <v>814.3685</v>
      </c>
      <c r="N373" s="8" t="n">
        <f aca="false">'Monthly Operating Costs'!Z$33</f>
        <v>814.3685</v>
      </c>
      <c r="O373" s="8" t="n">
        <f aca="false">'Monthly Operating Costs'!AA$33</f>
        <v>1667.4185</v>
      </c>
      <c r="P373" s="8" t="n">
        <f aca="false">'Monthly Operating Costs'!AB$33</f>
        <v>835.8185</v>
      </c>
      <c r="Q373" s="8" t="n">
        <f aca="false">'Monthly Operating Costs'!AC$33</f>
        <v>835.8185</v>
      </c>
      <c r="R373" s="8" t="n">
        <f aca="false">'Monthly Operating Costs'!AD$33</f>
        <v>1248.3185</v>
      </c>
      <c r="S373" s="8" t="n">
        <f aca="false">'Monthly Operating Costs'!AE$33</f>
        <v>965.6185</v>
      </c>
      <c r="T373" s="8" t="n">
        <f aca="false">'Monthly Operating Costs'!AF$33</f>
        <v>835.8185</v>
      </c>
      <c r="U373" s="8" t="n">
        <f aca="false">'Monthly Operating Costs'!AG$33</f>
        <v>2265.8185</v>
      </c>
      <c r="V373" s="8" t="n">
        <f aca="false">'Monthly Operating Costs'!AH$33</f>
        <v>835.8185</v>
      </c>
      <c r="W373" s="8" t="n">
        <f aca="false">'Monthly Operating Costs'!AI$33</f>
        <v>835.8185</v>
      </c>
      <c r="X373" s="8" t="n">
        <f aca="false">'Monthly Operating Costs'!AJ$33</f>
        <v>835.8185</v>
      </c>
      <c r="Y373" s="8" t="n">
        <f aca="false">'Monthly Operating Costs'!AK$33</f>
        <v>835.8185</v>
      </c>
      <c r="Z373" s="8" t="n">
        <f aca="false">'Monthly Operating Costs'!AL$33</f>
        <v>835.8185</v>
      </c>
      <c r="AA373" s="8" t="n">
        <f aca="false">'Monthly Operating Costs'!AM$33</f>
        <v>1667.4185</v>
      </c>
      <c r="AB373" s="8" t="n">
        <f aca="false">'Monthly Operating Costs'!AN$33</f>
        <v>835.8185</v>
      </c>
      <c r="AC373" s="8" t="n">
        <f aca="false">'Monthly Operating Costs'!AO$33</f>
        <v>835.8185</v>
      </c>
      <c r="AD373" s="8" t="n">
        <f aca="false">'Monthly Operating Costs'!AP$33</f>
        <v>1248.3185</v>
      </c>
      <c r="AE373" s="8" t="n">
        <f aca="false">'Monthly Operating Costs'!AQ$33</f>
        <v>965.6185</v>
      </c>
      <c r="AF373" s="8" t="n">
        <f aca="false">'Monthly Operating Costs'!AR$33</f>
        <v>835.8185</v>
      </c>
      <c r="AG373" s="8" t="n">
        <f aca="false">'Monthly Operating Costs'!AS$33</f>
        <v>2265.8185</v>
      </c>
      <c r="AH373" s="8" t="n">
        <f aca="false">'Monthly Operating Costs'!AT$33</f>
        <v>835.8185</v>
      </c>
      <c r="AI373" s="8" t="n">
        <f aca="false">'Monthly Operating Costs'!AU$33</f>
        <v>835.8185</v>
      </c>
      <c r="AJ373" s="8" t="n">
        <f aca="false">'Monthly Operating Costs'!AV$33</f>
        <v>835.8185</v>
      </c>
      <c r="AK373" s="8" t="n">
        <f aca="false">'Monthly Operating Costs'!AW$33</f>
        <v>835.8185</v>
      </c>
      <c r="AL373" s="8" t="n">
        <f aca="false">'Monthly Operating Costs'!AX$33</f>
        <v>835.8185</v>
      </c>
      <c r="AM373" s="45" t="n">
        <f aca="false">SUMIF($C$6:$AL$6,1,C373:AL373)</f>
        <v>12089.022</v>
      </c>
      <c r="AN373" s="45" t="n">
        <f aca="false">SUMIF($C$6:$AL$6,2,C373:AL373)</f>
        <v>12833.722</v>
      </c>
      <c r="AO373" s="45" t="n">
        <f aca="false">SUMIF($C$6:$AL$6,3,C373:AL373)</f>
        <v>12833.722</v>
      </c>
      <c r="AP373" s="45" t="n">
        <f aca="false">SUM(C373:AL373)</f>
        <v>37756.466</v>
      </c>
    </row>
    <row r="374" customFormat="false" ht="15" hidden="false" customHeight="false" outlineLevel="0" collapsed="false">
      <c r="A374" s="7" t="s">
        <v>790</v>
      </c>
      <c r="B374" s="9" t="s">
        <v>101</v>
      </c>
      <c r="C374" s="8" t="n">
        <f aca="false">IF(AND(Assumptions!$E$146=1,$B$265&gt;0,C$4&gt;=$B$265),Assumptions!$C$60+Assumptions!$C$61,0)+IF(C351=1,'Retail Readiness Costs'!$H$29,0)</f>
        <v>0</v>
      </c>
      <c r="D374" s="8" t="n">
        <f aca="false">IF(AND(Assumptions!$E$146=1,$B$265&gt;0,D$4&gt;=$B$265),Assumptions!$C$60+Assumptions!$C$61,0)+IF(D351=1,'Retail Readiness Costs'!$H$29,0)</f>
        <v>0</v>
      </c>
      <c r="E374" s="8" t="n">
        <f aca="false">IF(AND(Assumptions!$E$146=1,$B$265&gt;0,E$4&gt;=$B$265),Assumptions!$C$60+Assumptions!$C$61,0)+IF(E351=1,'Retail Readiness Costs'!$H$29,0)</f>
        <v>0</v>
      </c>
      <c r="F374" s="8" t="n">
        <f aca="false">IF(AND(Assumptions!$E$146=1,$B$265&gt;0,F$4&gt;=$B$265),Assumptions!$C$60+Assumptions!$C$61,0)+IF(F351=1,'Retail Readiness Costs'!$H$29,0)</f>
        <v>0</v>
      </c>
      <c r="G374" s="8" t="n">
        <f aca="false">IF(AND(Assumptions!$E$146=1,$B$265&gt;0,G$4&gt;=$B$265),Assumptions!$C$60+Assumptions!$C$61,0)+IF(G351=1,'Retail Readiness Costs'!$H$29,0)</f>
        <v>0</v>
      </c>
      <c r="H374" s="8" t="n">
        <f aca="false">IF(AND(Assumptions!$E$146=1,$B$265&gt;0,H$4&gt;=$B$265),Assumptions!$C$60+Assumptions!$C$61,0)+IF(H351=1,'Retail Readiness Costs'!$H$29,0)</f>
        <v>0</v>
      </c>
      <c r="I374" s="8" t="n">
        <f aca="false">IF(AND(Assumptions!$E$146=1,$B$265&gt;0,I$4&gt;=$B$265),Assumptions!$C$60+Assumptions!$C$61,0)+IF(I351=1,'Retail Readiness Costs'!$H$29,0)</f>
        <v>0</v>
      </c>
      <c r="J374" s="8" t="n">
        <f aca="false">IF(AND(Assumptions!$E$146=1,$B$265&gt;0,J$4&gt;=$B$265),Assumptions!$C$60+Assumptions!$C$61,0)+IF(J351=1,'Retail Readiness Costs'!$H$29,0)</f>
        <v>139.99</v>
      </c>
      <c r="K374" s="8" t="n">
        <f aca="false">IF(AND(Assumptions!$E$146=1,$B$265&gt;0,K$4&gt;=$B$265),Assumptions!$C$60+Assumptions!$C$61,0)+IF(K351=1,'Retail Readiness Costs'!$H$29,0)</f>
        <v>139.99</v>
      </c>
      <c r="L374" s="8" t="n">
        <f aca="false">IF(AND(Assumptions!$E$146=1,$B$265&gt;0,L$4&gt;=$B$265),Assumptions!$C$60+Assumptions!$C$61,0)+IF(L351=1,'Retail Readiness Costs'!$H$29,0)</f>
        <v>139.99</v>
      </c>
      <c r="M374" s="8" t="n">
        <f aca="false">IF(AND(Assumptions!$E$146=1,$B$265&gt;0,M$4&gt;=$B$265),Assumptions!$C$60+Assumptions!$C$61,0)+IF(M351=1,'Retail Readiness Costs'!$H$29,0)</f>
        <v>139.99</v>
      </c>
      <c r="N374" s="8" t="n">
        <f aca="false">IF(AND(Assumptions!$E$146=1,$B$265&gt;0,N$4&gt;=$B$265),Assumptions!$C$60+Assumptions!$C$61,0)+IF(N351=1,'Retail Readiness Costs'!$H$29,0)</f>
        <v>139.99</v>
      </c>
      <c r="O374" s="8" t="n">
        <f aca="false">IF(AND(Assumptions!$E$146=1,$B$265&gt;0,O$4&gt;=$B$265),Assumptions!$C$60+Assumptions!$C$61,0)+IF(O351=1,'Retail Readiness Costs'!$H$29,0)</f>
        <v>139.99</v>
      </c>
      <c r="P374" s="8" t="n">
        <f aca="false">IF(AND(Assumptions!$E$146=1,$B$265&gt;0,P$4&gt;=$B$265),Assumptions!$C$60+Assumptions!$C$61,0)+IF(P351=1,'Retail Readiness Costs'!$H$29,0)</f>
        <v>139.99</v>
      </c>
      <c r="Q374" s="8" t="n">
        <f aca="false">IF(AND(Assumptions!$E$146=1,$B$265&gt;0,Q$4&gt;=$B$265),Assumptions!$C$60+Assumptions!$C$61,0)+IF(Q351=1,'Retail Readiness Costs'!$H$29,0)</f>
        <v>139.99</v>
      </c>
      <c r="R374" s="8" t="n">
        <f aca="false">IF(AND(Assumptions!$E$146=1,$B$265&gt;0,R$4&gt;=$B$265),Assumptions!$C$60+Assumptions!$C$61,0)+IF(R351=1,'Retail Readiness Costs'!$H$29,0)</f>
        <v>139.99</v>
      </c>
      <c r="S374" s="8" t="n">
        <f aca="false">IF(AND(Assumptions!$E$146=1,$B$265&gt;0,S$4&gt;=$B$265),Assumptions!$C$60+Assumptions!$C$61,0)+IF(S351=1,'Retail Readiness Costs'!$H$29,0)</f>
        <v>139.99</v>
      </c>
      <c r="T374" s="8" t="n">
        <f aca="false">IF(AND(Assumptions!$E$146=1,$B$265&gt;0,T$4&gt;=$B$265),Assumptions!$C$60+Assumptions!$C$61,0)+IF(T351=1,'Retail Readiness Costs'!$H$29,0)</f>
        <v>139.99</v>
      </c>
      <c r="U374" s="8" t="n">
        <f aca="false">IF(AND(Assumptions!$E$146=1,$B$265&gt;0,U$4&gt;=$B$265),Assumptions!$C$60+Assumptions!$C$61,0)+IF(U351=1,'Retail Readiness Costs'!$H$29,0)</f>
        <v>139.99</v>
      </c>
      <c r="V374" s="8" t="n">
        <f aca="false">IF(AND(Assumptions!$E$146=1,$B$265&gt;0,V$4&gt;=$B$265),Assumptions!$C$60+Assumptions!$C$61,0)+IF(V351=1,'Retail Readiness Costs'!$H$29,0)</f>
        <v>139.99</v>
      </c>
      <c r="W374" s="8" t="n">
        <f aca="false">IF(AND(Assumptions!$E$146=1,$B$265&gt;0,W$4&gt;=$B$265),Assumptions!$C$60+Assumptions!$C$61,0)+IF(W351=1,'Retail Readiness Costs'!$H$29,0)</f>
        <v>139.99</v>
      </c>
      <c r="X374" s="8" t="n">
        <f aca="false">IF(AND(Assumptions!$E$146=1,$B$265&gt;0,X$4&gt;=$B$265),Assumptions!$C$60+Assumptions!$C$61,0)+IF(X351=1,'Retail Readiness Costs'!$H$29,0)</f>
        <v>498.49</v>
      </c>
      <c r="Y374" s="8" t="n">
        <f aca="false">IF(AND(Assumptions!$E$146=1,$B$265&gt;0,Y$4&gt;=$B$265),Assumptions!$C$60+Assumptions!$C$61,0)+IF(Y351=1,'Retail Readiness Costs'!$H$29,0)</f>
        <v>498.49</v>
      </c>
      <c r="Z374" s="8" t="n">
        <f aca="false">IF(AND(Assumptions!$E$146=1,$B$265&gt;0,Z$4&gt;=$B$265),Assumptions!$C$60+Assumptions!$C$61,0)+IF(Z351=1,'Retail Readiness Costs'!$H$29,0)</f>
        <v>498.49</v>
      </c>
      <c r="AA374" s="8" t="n">
        <f aca="false">IF(AND(Assumptions!$E$146=1,$B$265&gt;0,AA$4&gt;=$B$265),Assumptions!$C$60+Assumptions!$C$61,0)+IF(AA351=1,'Retail Readiness Costs'!$H$29,0)</f>
        <v>498.49</v>
      </c>
      <c r="AB374" s="8" t="n">
        <f aca="false">IF(AND(Assumptions!$E$146=1,$B$265&gt;0,AB$4&gt;=$B$265),Assumptions!$C$60+Assumptions!$C$61,0)+IF(AB351=1,'Retail Readiness Costs'!$H$29,0)</f>
        <v>498.49</v>
      </c>
      <c r="AC374" s="8" t="n">
        <f aca="false">IF(AND(Assumptions!$E$146=1,$B$265&gt;0,AC$4&gt;=$B$265),Assumptions!$C$60+Assumptions!$C$61,0)+IF(AC351=1,'Retail Readiness Costs'!$H$29,0)</f>
        <v>498.49</v>
      </c>
      <c r="AD374" s="8" t="n">
        <f aca="false">IF(AND(Assumptions!$E$146=1,$B$265&gt;0,AD$4&gt;=$B$265),Assumptions!$C$60+Assumptions!$C$61,0)+IF(AD351=1,'Retail Readiness Costs'!$H$29,0)</f>
        <v>498.49</v>
      </c>
      <c r="AE374" s="8" t="n">
        <f aca="false">IF(AND(Assumptions!$E$146=1,$B$265&gt;0,AE$4&gt;=$B$265),Assumptions!$C$60+Assumptions!$C$61,0)+IF(AE351=1,'Retail Readiness Costs'!$H$29,0)</f>
        <v>498.49</v>
      </c>
      <c r="AF374" s="8" t="n">
        <f aca="false">IF(AND(Assumptions!$E$146=1,$B$265&gt;0,AF$4&gt;=$B$265),Assumptions!$C$60+Assumptions!$C$61,0)+IF(AF351=1,'Retail Readiness Costs'!$H$29,0)</f>
        <v>498.49</v>
      </c>
      <c r="AG374" s="8" t="n">
        <f aca="false">IF(AND(Assumptions!$E$146=1,$B$265&gt;0,AG$4&gt;=$B$265),Assumptions!$C$60+Assumptions!$C$61,0)+IF(AG351=1,'Retail Readiness Costs'!$H$29,0)</f>
        <v>498.49</v>
      </c>
      <c r="AH374" s="8" t="n">
        <f aca="false">IF(AND(Assumptions!$E$146=1,$B$265&gt;0,AH$4&gt;=$B$265),Assumptions!$C$60+Assumptions!$C$61,0)+IF(AH351=1,'Retail Readiness Costs'!$H$29,0)</f>
        <v>498.49</v>
      </c>
      <c r="AI374" s="8" t="n">
        <f aca="false">IF(AND(Assumptions!$E$146=1,$B$265&gt;0,AI$4&gt;=$B$265),Assumptions!$C$60+Assumptions!$C$61,0)+IF(AI351=1,'Retail Readiness Costs'!$H$29,0)</f>
        <v>498.49</v>
      </c>
      <c r="AJ374" s="8" t="n">
        <f aca="false">IF(AND(Assumptions!$E$146=1,$B$265&gt;0,AJ$4&gt;=$B$265),Assumptions!$C$60+Assumptions!$C$61,0)+IF(AJ351=1,'Retail Readiness Costs'!$H$29,0)</f>
        <v>498.49</v>
      </c>
      <c r="AK374" s="8" t="n">
        <f aca="false">IF(AND(Assumptions!$E$146=1,$B$265&gt;0,AK$4&gt;=$B$265),Assumptions!$C$60+Assumptions!$C$61,0)+IF(AK351=1,'Retail Readiness Costs'!$H$29,0)</f>
        <v>498.49</v>
      </c>
      <c r="AL374" s="8" t="n">
        <f aca="false">IF(AND(Assumptions!$E$146=1,$B$265&gt;0,AL$4&gt;=$B$265),Assumptions!$C$60+Assumptions!$C$61,0)+IF(AL351=1,'Retail Readiness Costs'!$H$29,0)</f>
        <v>498.49</v>
      </c>
      <c r="AM374" s="45" t="n">
        <f aca="false">SUMIF($C$6:$AL$6,1,C374:AL374)</f>
        <v>699.95</v>
      </c>
      <c r="AN374" s="45" t="n">
        <f aca="false">SUMIF($C$6:$AL$6,2,C374:AL374)</f>
        <v>2755.38</v>
      </c>
      <c r="AO374" s="45" t="n">
        <f aca="false">SUMIF($C$6:$AL$6,3,C374:AL374)</f>
        <v>5981.88</v>
      </c>
      <c r="AP374" s="45" t="n">
        <f aca="false">SUM(C374:AL374)</f>
        <v>9437.21</v>
      </c>
    </row>
    <row r="375" customFormat="false" ht="15" hidden="false" customHeight="false" outlineLevel="0" collapsed="false">
      <c r="A375" s="57" t="s">
        <v>791</v>
      </c>
      <c r="B375" s="58" t="s">
        <v>101</v>
      </c>
      <c r="C375" s="59" t="n">
        <f aca="false">C370-C372-C373-C374</f>
        <v>-1158.27043791321</v>
      </c>
      <c r="D375" s="59" t="n">
        <f aca="false">D370-D372-D373-D374</f>
        <v>-715.1400475824</v>
      </c>
      <c r="E375" s="59" t="n">
        <f aca="false">E370-E372-E373-E374</f>
        <v>-508.198017398564</v>
      </c>
      <c r="F375" s="59" t="n">
        <f aca="false">F370-F372-F373-F374</f>
        <v>-708.244251246813</v>
      </c>
      <c r="G375" s="59" t="n">
        <f aca="false">G370-G372-G373-G374</f>
        <v>-379.252231935718</v>
      </c>
      <c r="H375" s="59" t="n">
        <f aca="false">H370-H372-H373-H374</f>
        <v>212.564261852586</v>
      </c>
      <c r="I375" s="59" t="n">
        <f aca="false">I370-I372-I373-I374</f>
        <v>-845.723750247296</v>
      </c>
      <c r="J375" s="59" t="n">
        <f aca="false">J370-J372-J373-J374</f>
        <v>502.601409790731</v>
      </c>
      <c r="K375" s="59" t="n">
        <f aca="false">K370-K372-K373-K374</f>
        <v>852.488483903064</v>
      </c>
      <c r="L375" s="59" t="n">
        <f aca="false">L370-L372-L373-L374</f>
        <v>1030.90215496951</v>
      </c>
      <c r="M375" s="59" t="n">
        <f aca="false">M370-M372-M373-M374</f>
        <v>1157.29725082451</v>
      </c>
      <c r="N375" s="59" t="n">
        <f aca="false">N370-N372-N373-N374</f>
        <v>1531.20596579345</v>
      </c>
      <c r="O375" s="59" t="n">
        <f aca="false">O370-O372-O373-O374</f>
        <v>908.044602775841</v>
      </c>
      <c r="P375" s="59" t="n">
        <f aca="false">P370-P372-P373-P374</f>
        <v>3121.01047369938</v>
      </c>
      <c r="Q375" s="59" t="n">
        <f aca="false">Q370-Q372-Q373-Q374</f>
        <v>3537.61977820397</v>
      </c>
      <c r="R375" s="59" t="n">
        <f aca="false">R370-R372-R373-R374</f>
        <v>3302.38754007889</v>
      </c>
      <c r="S375" s="59" t="n">
        <f aca="false">S370-S372-S373-S374</f>
        <v>2468.29027017221</v>
      </c>
      <c r="T375" s="59" t="n">
        <f aca="false">T370-T372-T373-T374</f>
        <v>3278.8223781622</v>
      </c>
      <c r="U375" s="59" t="n">
        <f aca="false">U370-U372-U373-U374</f>
        <v>2311.29807536151</v>
      </c>
      <c r="V375" s="59" t="n">
        <f aca="false">V370-V372-V373-V374</f>
        <v>3457.00026352538</v>
      </c>
      <c r="W375" s="59" t="n">
        <f aca="false">W370-W372-W373-W374</f>
        <v>3803.80176063735</v>
      </c>
      <c r="X375" s="59" t="n">
        <f aca="false">X370-X372-X373-X374</f>
        <v>3687.58406784535</v>
      </c>
      <c r="Y375" s="59" t="n">
        <f aca="false">Y370-Y372-Y373-Y374</f>
        <v>4050.8648227218</v>
      </c>
      <c r="Z375" s="59" t="n">
        <f aca="false">Z370-Z372-Z373-Z374</f>
        <v>4526.95828517922</v>
      </c>
      <c r="AA375" s="59" t="n">
        <f aca="false">AA370-AA372-AA373-AA374</f>
        <v>4123.35815264045</v>
      </c>
      <c r="AB375" s="59" t="n">
        <f aca="false">AB370-AB372-AB373-AB374</f>
        <v>7428.86571949042</v>
      </c>
      <c r="AC375" s="59" t="n">
        <f aca="false">AC370-AC372-AC373-AC374</f>
        <v>7940.97564704508</v>
      </c>
      <c r="AD375" s="59" t="n">
        <f aca="false">AD370-AD372-AD373-AD374</f>
        <v>7600.57565868297</v>
      </c>
      <c r="AE375" s="59" t="n">
        <f aca="false">AE370-AE372-AE373-AE374</f>
        <v>5514.45400416263</v>
      </c>
      <c r="AF375" s="59" t="n">
        <f aca="false">AF370-AF372-AF373-AF374</f>
        <v>6725.66813401419</v>
      </c>
      <c r="AG375" s="59" t="n">
        <f aca="false">AG370-AG372-AG373-AG374</f>
        <v>5936.93001020864</v>
      </c>
      <c r="AH375" s="59" t="n">
        <f aca="false">AH370-AH372-AH373-AH374</f>
        <v>6657.20618428991</v>
      </c>
      <c r="AI375" s="59" t="n">
        <f aca="false">AI370-AI372-AI373-AI374</f>
        <v>7094.47134278378</v>
      </c>
      <c r="AJ375" s="59" t="n">
        <f aca="false">AJ370-AJ372-AJ373-AJ374</f>
        <v>7219.02670715118</v>
      </c>
      <c r="AK375" s="59" t="n">
        <f aca="false">AK370-AK372-AK373-AK374</f>
        <v>7450.31096285858</v>
      </c>
      <c r="AL375" s="59" t="n">
        <f aca="false">AL370-AL372-AL373-AL374</f>
        <v>7920.89437844529</v>
      </c>
      <c r="AM375" s="60" t="n">
        <f aca="false">SUMIF($C$6:$AL$6,1,C375:AL375)</f>
        <v>972.230790809848</v>
      </c>
      <c r="AN375" s="60" t="n">
        <f aca="false">SUMIF($C$6:$AL$6,2,C375:AL375)</f>
        <v>38453.6823183631</v>
      </c>
      <c r="AO375" s="60" t="n">
        <f aca="false">SUMIF($C$6:$AL$6,3,C375:AL375)</f>
        <v>81612.7369017731</v>
      </c>
      <c r="AP375" s="60" t="n">
        <f aca="false">SUM(C375:AL375)</f>
        <v>121038.650010946</v>
      </c>
    </row>
    <row r="376" customFormat="false" ht="15" hidden="false" customHeight="false" outlineLevel="0" collapsed="false">
      <c r="A376" s="7" t="s">
        <v>792</v>
      </c>
      <c r="B376" s="9" t="s">
        <v>101</v>
      </c>
      <c r="C376" s="8" t="n">
        <f aca="false">SUMPRODUCT(('Startup Costs'!$F$6:$F$32=C$4)*'Startup Costs'!$G$6:$G$32*'Startup Costs'!$E$6:$E$32)</f>
        <v>4253.5</v>
      </c>
      <c r="D376" s="8" t="n">
        <f aca="false">SUMPRODUCT(('Startup Costs'!$F$6:$F$32=D$4)*'Startup Costs'!$G$6:$G$32*'Startup Costs'!$E$6:$E$32)</f>
        <v>1420</v>
      </c>
      <c r="E376" s="8" t="n">
        <f aca="false">SUMPRODUCT(('Startup Costs'!$F$6:$F$32=E$4)*'Startup Costs'!$G$6:$G$32*'Startup Costs'!$E$6:$E$32)</f>
        <v>1975</v>
      </c>
      <c r="F376" s="8" t="n">
        <f aca="false">SUMPRODUCT(('Startup Costs'!$F$6:$F$32=F$4)*'Startup Costs'!$G$6:$G$32*'Startup Costs'!$E$6:$E$32)</f>
        <v>650</v>
      </c>
      <c r="G376" s="8" t="n">
        <f aca="false">SUMPRODUCT(('Startup Costs'!$F$6:$F$32=G$4)*'Startup Costs'!$G$6:$G$32*'Startup Costs'!$E$6:$E$32)</f>
        <v>1037.5</v>
      </c>
      <c r="H376" s="8" t="n">
        <f aca="false">SUMPRODUCT(('Startup Costs'!$F$6:$F$32=H$4)*'Startup Costs'!$G$6:$G$32*'Startup Costs'!$E$6:$E$32)</f>
        <v>4250</v>
      </c>
      <c r="I376" s="8" t="n">
        <f aca="false">SUMPRODUCT(('Startup Costs'!$F$6:$F$32=I$4)*'Startup Costs'!$G$6:$G$32*'Startup Costs'!$E$6:$E$32)</f>
        <v>5250</v>
      </c>
      <c r="J376" s="8" t="n">
        <f aca="false">SUMPRODUCT(('Startup Costs'!$F$6:$F$32=J$4)*'Startup Costs'!$G$6:$G$32*'Startup Costs'!$E$6:$E$32)</f>
        <v>0</v>
      </c>
      <c r="K376" s="8" t="n">
        <f aca="false">SUMPRODUCT(('Startup Costs'!$F$6:$F$32=K$4)*'Startup Costs'!$G$6:$G$32*'Startup Costs'!$E$6:$E$32)</f>
        <v>687.5</v>
      </c>
      <c r="L376" s="8" t="n">
        <f aca="false">SUMPRODUCT(('Startup Costs'!$F$6:$F$32=L$4)*'Startup Costs'!$G$6:$G$32*'Startup Costs'!$E$6:$E$32)</f>
        <v>262.5</v>
      </c>
      <c r="M376" s="8" t="n">
        <f aca="false">SUMPRODUCT(('Startup Costs'!$F$6:$F$32=M$4)*'Startup Costs'!$G$6:$G$32*'Startup Costs'!$E$6:$E$32)</f>
        <v>0</v>
      </c>
      <c r="N376" s="8" t="n">
        <f aca="false">SUMPRODUCT(('Startup Costs'!$F$6:$F$32=N$4)*'Startup Costs'!$G$6:$G$32*'Startup Costs'!$E$6:$E$32)</f>
        <v>0</v>
      </c>
      <c r="O376" s="8" t="n">
        <f aca="false">SUMPRODUCT(('Startup Costs'!$F$6:$F$32=O$4)*'Startup Costs'!$G$6:$G$32*'Startup Costs'!$E$6:$E$32)</f>
        <v>0</v>
      </c>
      <c r="P376" s="8" t="n">
        <f aca="false">SUMPRODUCT(('Startup Costs'!$F$6:$F$32=P$4)*'Startup Costs'!$G$6:$G$32*'Startup Costs'!$E$6:$E$32)</f>
        <v>0</v>
      </c>
      <c r="Q376" s="8" t="n">
        <f aca="false">SUMPRODUCT(('Startup Costs'!$F$6:$F$32=Q$4)*'Startup Costs'!$G$6:$G$32*'Startup Costs'!$E$6:$E$32)</f>
        <v>0</v>
      </c>
      <c r="R376" s="8" t="n">
        <f aca="false">SUMPRODUCT(('Startup Costs'!$F$6:$F$32=R$4)*'Startup Costs'!$G$6:$G$32*'Startup Costs'!$E$6:$E$32)</f>
        <v>0</v>
      </c>
      <c r="S376" s="8" t="n">
        <f aca="false">SUMPRODUCT(('Startup Costs'!$F$6:$F$32=S$4)*'Startup Costs'!$G$6:$G$32*'Startup Costs'!$E$6:$E$32)</f>
        <v>0</v>
      </c>
      <c r="T376" s="8" t="n">
        <f aca="false">SUMPRODUCT(('Startup Costs'!$F$6:$F$32=T$4)*'Startup Costs'!$G$6:$G$32*'Startup Costs'!$E$6:$E$32)</f>
        <v>0</v>
      </c>
      <c r="U376" s="8" t="n">
        <f aca="false">SUMPRODUCT(('Startup Costs'!$F$6:$F$32=U$4)*'Startup Costs'!$G$6:$G$32*'Startup Costs'!$E$6:$E$32)</f>
        <v>0</v>
      </c>
      <c r="V376" s="8" t="n">
        <f aca="false">SUMPRODUCT(('Startup Costs'!$F$6:$F$32=V$4)*'Startup Costs'!$G$6:$G$32*'Startup Costs'!$E$6:$E$32)</f>
        <v>0</v>
      </c>
      <c r="W376" s="8" t="n">
        <f aca="false">SUMPRODUCT(('Startup Costs'!$F$6:$F$32=W$4)*'Startup Costs'!$G$6:$G$32*'Startup Costs'!$E$6:$E$32)</f>
        <v>0</v>
      </c>
      <c r="X376" s="8" t="n">
        <f aca="false">SUMPRODUCT(('Startup Costs'!$F$6:$F$32=X$4)*'Startup Costs'!$G$6:$G$32*'Startup Costs'!$E$6:$E$32)</f>
        <v>0</v>
      </c>
      <c r="Y376" s="8" t="n">
        <f aca="false">SUMPRODUCT(('Startup Costs'!$F$6:$F$32=Y$4)*'Startup Costs'!$G$6:$G$32*'Startup Costs'!$E$6:$E$32)</f>
        <v>0</v>
      </c>
      <c r="Z376" s="8" t="n">
        <f aca="false">SUMPRODUCT(('Startup Costs'!$F$6:$F$32=Z$4)*'Startup Costs'!$G$6:$G$32*'Startup Costs'!$E$6:$E$32)</f>
        <v>0</v>
      </c>
      <c r="AA376" s="8" t="n">
        <f aca="false">SUMPRODUCT(('Startup Costs'!$F$6:$F$32=AA$4)*'Startup Costs'!$G$6:$G$32*'Startup Costs'!$E$6:$E$32)</f>
        <v>0</v>
      </c>
      <c r="AB376" s="8" t="n">
        <f aca="false">SUMPRODUCT(('Startup Costs'!$F$6:$F$32=AB$4)*'Startup Costs'!$G$6:$G$32*'Startup Costs'!$E$6:$E$32)</f>
        <v>0</v>
      </c>
      <c r="AC376" s="8" t="n">
        <f aca="false">SUMPRODUCT(('Startup Costs'!$F$6:$F$32=AC$4)*'Startup Costs'!$G$6:$G$32*'Startup Costs'!$E$6:$E$32)</f>
        <v>0</v>
      </c>
      <c r="AD376" s="8" t="n">
        <f aca="false">SUMPRODUCT(('Startup Costs'!$F$6:$F$32=AD$4)*'Startup Costs'!$G$6:$G$32*'Startup Costs'!$E$6:$E$32)</f>
        <v>0</v>
      </c>
      <c r="AE376" s="8" t="n">
        <f aca="false">SUMPRODUCT(('Startup Costs'!$F$6:$F$32=AE$4)*'Startup Costs'!$G$6:$G$32*'Startup Costs'!$E$6:$E$32)</f>
        <v>0</v>
      </c>
      <c r="AF376" s="8" t="n">
        <f aca="false">SUMPRODUCT(('Startup Costs'!$F$6:$F$32=AF$4)*'Startup Costs'!$G$6:$G$32*'Startup Costs'!$E$6:$E$32)</f>
        <v>0</v>
      </c>
      <c r="AG376" s="8" t="n">
        <f aca="false">SUMPRODUCT(('Startup Costs'!$F$6:$F$32=AG$4)*'Startup Costs'!$G$6:$G$32*'Startup Costs'!$E$6:$E$32)</f>
        <v>0</v>
      </c>
      <c r="AH376" s="8" t="n">
        <f aca="false">SUMPRODUCT(('Startup Costs'!$F$6:$F$32=AH$4)*'Startup Costs'!$G$6:$G$32*'Startup Costs'!$E$6:$E$32)</f>
        <v>0</v>
      </c>
      <c r="AI376" s="8" t="n">
        <f aca="false">SUMPRODUCT(('Startup Costs'!$F$6:$F$32=AI$4)*'Startup Costs'!$G$6:$G$32*'Startup Costs'!$E$6:$E$32)</f>
        <v>0</v>
      </c>
      <c r="AJ376" s="8" t="n">
        <f aca="false">SUMPRODUCT(('Startup Costs'!$F$6:$F$32=AJ$4)*'Startup Costs'!$G$6:$G$32*'Startup Costs'!$E$6:$E$32)</f>
        <v>0</v>
      </c>
      <c r="AK376" s="8" t="n">
        <f aca="false">SUMPRODUCT(('Startup Costs'!$F$6:$F$32=AK$4)*'Startup Costs'!$G$6:$G$32*'Startup Costs'!$E$6:$E$32)</f>
        <v>0</v>
      </c>
      <c r="AL376" s="8" t="n">
        <f aca="false">SUMPRODUCT(('Startup Costs'!$F$6:$F$32=AL$4)*'Startup Costs'!$G$6:$G$32*'Startup Costs'!$E$6:$E$32)</f>
        <v>0</v>
      </c>
      <c r="AM376" s="45" t="n">
        <f aca="false">SUMIF($C$6:$AL$6,1,C376:AL376)</f>
        <v>19786</v>
      </c>
      <c r="AN376" s="45" t="n">
        <f aca="false">SUMIF($C$6:$AL$6,2,C376:AL376)</f>
        <v>0</v>
      </c>
      <c r="AO376" s="45" t="n">
        <f aca="false">SUMIF($C$6:$AL$6,3,C376:AL376)</f>
        <v>0</v>
      </c>
      <c r="AP376" s="45" t="n">
        <f aca="false">SUM(C376:AL376)</f>
        <v>19786</v>
      </c>
    </row>
    <row r="377" customFormat="false" ht="15" hidden="false" customHeight="false" outlineLevel="0" collapsed="false">
      <c r="A377" s="7" t="s">
        <v>793</v>
      </c>
      <c r="B377" s="9" t="s">
        <v>101</v>
      </c>
      <c r="C377" s="8" t="n">
        <f aca="false">IF(AND(Assumptions!$E$146=1,C$4=$B$265),'Retail Readiness Costs'!$H$14,0)+IF(AND(Assumptions!$E$164=1,C$4=MAX(1,Assumptions!$E$165-Assumptions!$C$67)),'Retail Readiness Costs'!$H$23,0)+IF(AND(Assumptions!$E$155=1,C$4=Assumptions!$E$156),Assumptions!$C$66,0)</f>
        <v>0</v>
      </c>
      <c r="D377" s="8" t="n">
        <f aca="false">IF(AND(Assumptions!$E$146=1,D$4=$B$265),'Retail Readiness Costs'!$H$14,0)+IF(AND(Assumptions!$E$164=1,D$4=MAX(1,Assumptions!$E$165-Assumptions!$C$67)),'Retail Readiness Costs'!$H$23,0)+IF(AND(Assumptions!$E$155=1,D$4=Assumptions!$E$156),Assumptions!$C$66,0)</f>
        <v>0</v>
      </c>
      <c r="E377" s="8" t="n">
        <f aca="false">IF(AND(Assumptions!$E$146=1,E$4=$B$265),'Retail Readiness Costs'!$H$14,0)+IF(AND(Assumptions!$E$164=1,E$4=MAX(1,Assumptions!$E$165-Assumptions!$C$67)),'Retail Readiness Costs'!$H$23,0)+IF(AND(Assumptions!$E$155=1,E$4=Assumptions!$E$156),Assumptions!$C$66,0)</f>
        <v>0</v>
      </c>
      <c r="F377" s="8" t="n">
        <f aca="false">IF(AND(Assumptions!$E$146=1,F$4=$B$265),'Retail Readiness Costs'!$H$14,0)+IF(AND(Assumptions!$E$164=1,F$4=MAX(1,Assumptions!$E$165-Assumptions!$C$67)),'Retail Readiness Costs'!$H$23,0)+IF(AND(Assumptions!$E$155=1,F$4=Assumptions!$E$156),Assumptions!$C$66,0)</f>
        <v>0</v>
      </c>
      <c r="G377" s="8" t="n">
        <f aca="false">IF(AND(Assumptions!$E$146=1,G$4=$B$265),'Retail Readiness Costs'!$H$14,0)+IF(AND(Assumptions!$E$164=1,G$4=MAX(1,Assumptions!$E$165-Assumptions!$C$67)),'Retail Readiness Costs'!$H$23,0)+IF(AND(Assumptions!$E$155=1,G$4=Assumptions!$E$156),Assumptions!$C$66,0)</f>
        <v>0</v>
      </c>
      <c r="H377" s="8" t="n">
        <f aca="false">IF(AND(Assumptions!$E$146=1,H$4=$B$265),'Retail Readiness Costs'!$H$14,0)+IF(AND(Assumptions!$E$164=1,H$4=MAX(1,Assumptions!$E$165-Assumptions!$C$67)),'Retail Readiness Costs'!$H$23,0)+IF(AND(Assumptions!$E$155=1,H$4=Assumptions!$E$156),Assumptions!$C$66,0)</f>
        <v>0</v>
      </c>
      <c r="I377" s="8" t="n">
        <f aca="false">IF(AND(Assumptions!$E$146=1,I$4=$B$265),'Retail Readiness Costs'!$H$14,0)+IF(AND(Assumptions!$E$164=1,I$4=MAX(1,Assumptions!$E$165-Assumptions!$C$67)),'Retail Readiness Costs'!$H$23,0)+IF(AND(Assumptions!$E$155=1,I$4=Assumptions!$E$156),Assumptions!$C$66,0)</f>
        <v>0</v>
      </c>
      <c r="J377" s="8" t="n">
        <f aca="false">IF(AND(Assumptions!$E$146=1,J$4=$B$265),'Retail Readiness Costs'!$H$14,0)+IF(AND(Assumptions!$E$164=1,J$4=MAX(1,Assumptions!$E$165-Assumptions!$C$67)),'Retail Readiness Costs'!$H$23,0)+IF(AND(Assumptions!$E$155=1,J$4=Assumptions!$E$156),Assumptions!$C$66,0)</f>
        <v>1875</v>
      </c>
      <c r="K377" s="8" t="n">
        <f aca="false">IF(AND(Assumptions!$E$146=1,K$4=$B$265),'Retail Readiness Costs'!$H$14,0)+IF(AND(Assumptions!$E$164=1,K$4=MAX(1,Assumptions!$E$165-Assumptions!$C$67)),'Retail Readiness Costs'!$H$23,0)+IF(AND(Assumptions!$E$155=1,K$4=Assumptions!$E$156),Assumptions!$C$66,0)</f>
        <v>0</v>
      </c>
      <c r="L377" s="8" t="n">
        <f aca="false">IF(AND(Assumptions!$E$146=1,L$4=$B$265),'Retail Readiness Costs'!$H$14,0)+IF(AND(Assumptions!$E$164=1,L$4=MAX(1,Assumptions!$E$165-Assumptions!$C$67)),'Retail Readiness Costs'!$H$23,0)+IF(AND(Assumptions!$E$155=1,L$4=Assumptions!$E$156),Assumptions!$C$66,0)</f>
        <v>179</v>
      </c>
      <c r="M377" s="8" t="n">
        <f aca="false">IF(AND(Assumptions!$E$146=1,M$4=$B$265),'Retail Readiness Costs'!$H$14,0)+IF(AND(Assumptions!$E$164=1,M$4=MAX(1,Assumptions!$E$165-Assumptions!$C$67)),'Retail Readiness Costs'!$H$23,0)+IF(AND(Assumptions!$E$155=1,M$4=Assumptions!$E$156),Assumptions!$C$66,0)</f>
        <v>0</v>
      </c>
      <c r="N377" s="8" t="n">
        <f aca="false">IF(AND(Assumptions!$E$146=1,N$4=$B$265),'Retail Readiness Costs'!$H$14,0)+IF(AND(Assumptions!$E$164=1,N$4=MAX(1,Assumptions!$E$165-Assumptions!$C$67)),'Retail Readiness Costs'!$H$23,0)+IF(AND(Assumptions!$E$155=1,N$4=Assumptions!$E$156),Assumptions!$C$66,0)</f>
        <v>0</v>
      </c>
      <c r="O377" s="8" t="n">
        <f aca="false">IF(AND(Assumptions!$E$146=1,O$4=$B$265),'Retail Readiness Costs'!$H$14,0)+IF(AND(Assumptions!$E$164=1,O$4=MAX(1,Assumptions!$E$165-Assumptions!$C$67)),'Retail Readiness Costs'!$H$23,0)+IF(AND(Assumptions!$E$155=1,O$4=Assumptions!$E$156),Assumptions!$C$66,0)</f>
        <v>0</v>
      </c>
      <c r="P377" s="8" t="n">
        <f aca="false">IF(AND(Assumptions!$E$146=1,P$4=$B$265),'Retail Readiness Costs'!$H$14,0)+IF(AND(Assumptions!$E$164=1,P$4=MAX(1,Assumptions!$E$165-Assumptions!$C$67)),'Retail Readiness Costs'!$H$23,0)+IF(AND(Assumptions!$E$155=1,P$4=Assumptions!$E$156),Assumptions!$C$66,0)</f>
        <v>0</v>
      </c>
      <c r="Q377" s="8" t="n">
        <f aca="false">IF(AND(Assumptions!$E$146=1,Q$4=$B$265),'Retail Readiness Costs'!$H$14,0)+IF(AND(Assumptions!$E$164=1,Q$4=MAX(1,Assumptions!$E$165-Assumptions!$C$67)),'Retail Readiness Costs'!$H$23,0)+IF(AND(Assumptions!$E$155=1,Q$4=Assumptions!$E$156),Assumptions!$C$66,0)</f>
        <v>0</v>
      </c>
      <c r="R377" s="8" t="n">
        <f aca="false">IF(AND(Assumptions!$E$146=1,R$4=$B$265),'Retail Readiness Costs'!$H$14,0)+IF(AND(Assumptions!$E$164=1,R$4=MAX(1,Assumptions!$E$165-Assumptions!$C$67)),'Retail Readiness Costs'!$H$23,0)+IF(AND(Assumptions!$E$155=1,R$4=Assumptions!$E$156),Assumptions!$C$66,0)</f>
        <v>0</v>
      </c>
      <c r="S377" s="8" t="n">
        <f aca="false">IF(AND(Assumptions!$E$146=1,S$4=$B$265),'Retail Readiness Costs'!$H$14,0)+IF(AND(Assumptions!$E$164=1,S$4=MAX(1,Assumptions!$E$165-Assumptions!$C$67)),'Retail Readiness Costs'!$H$23,0)+IF(AND(Assumptions!$E$155=1,S$4=Assumptions!$E$156),Assumptions!$C$66,0)</f>
        <v>0</v>
      </c>
      <c r="T377" s="8" t="n">
        <f aca="false">IF(AND(Assumptions!$E$146=1,T$4=$B$265),'Retail Readiness Costs'!$H$14,0)+IF(AND(Assumptions!$E$164=1,T$4=MAX(1,Assumptions!$E$165-Assumptions!$C$67)),'Retail Readiness Costs'!$H$23,0)+IF(AND(Assumptions!$E$155=1,T$4=Assumptions!$E$156),Assumptions!$C$66,0)</f>
        <v>0</v>
      </c>
      <c r="U377" s="8" t="n">
        <f aca="false">IF(AND(Assumptions!$E$146=1,U$4=$B$265),'Retail Readiness Costs'!$H$14,0)+IF(AND(Assumptions!$E$164=1,U$4=MAX(1,Assumptions!$E$165-Assumptions!$C$67)),'Retail Readiness Costs'!$H$23,0)+IF(AND(Assumptions!$E$155=1,U$4=Assumptions!$E$156),Assumptions!$C$66,0)</f>
        <v>5100</v>
      </c>
      <c r="V377" s="8" t="n">
        <f aca="false">IF(AND(Assumptions!$E$146=1,V$4=$B$265),'Retail Readiness Costs'!$H$14,0)+IF(AND(Assumptions!$E$164=1,V$4=MAX(1,Assumptions!$E$165-Assumptions!$C$67)),'Retail Readiness Costs'!$H$23,0)+IF(AND(Assumptions!$E$155=1,V$4=Assumptions!$E$156),Assumptions!$C$66,0)</f>
        <v>0</v>
      </c>
      <c r="W377" s="8" t="n">
        <f aca="false">IF(AND(Assumptions!$E$146=1,W$4=$B$265),'Retail Readiness Costs'!$H$14,0)+IF(AND(Assumptions!$E$164=1,W$4=MAX(1,Assumptions!$E$165-Assumptions!$C$67)),'Retail Readiness Costs'!$H$23,0)+IF(AND(Assumptions!$E$155=1,W$4=Assumptions!$E$156),Assumptions!$C$66,0)</f>
        <v>0</v>
      </c>
      <c r="X377" s="8" t="n">
        <f aca="false">IF(AND(Assumptions!$E$146=1,X$4=$B$265),'Retail Readiness Costs'!$H$14,0)+IF(AND(Assumptions!$E$164=1,X$4=MAX(1,Assumptions!$E$165-Assumptions!$C$67)),'Retail Readiness Costs'!$H$23,0)+IF(AND(Assumptions!$E$155=1,X$4=Assumptions!$E$156),Assumptions!$C$66,0)</f>
        <v>0</v>
      </c>
      <c r="Y377" s="8" t="n">
        <f aca="false">IF(AND(Assumptions!$E$146=1,Y$4=$B$265),'Retail Readiness Costs'!$H$14,0)+IF(AND(Assumptions!$E$164=1,Y$4=MAX(1,Assumptions!$E$165-Assumptions!$C$67)),'Retail Readiness Costs'!$H$23,0)+IF(AND(Assumptions!$E$155=1,Y$4=Assumptions!$E$156),Assumptions!$C$66,0)</f>
        <v>0</v>
      </c>
      <c r="Z377" s="8" t="n">
        <f aca="false">IF(AND(Assumptions!$E$146=1,Z$4=$B$265),'Retail Readiness Costs'!$H$14,0)+IF(AND(Assumptions!$E$164=1,Z$4=MAX(1,Assumptions!$E$165-Assumptions!$C$67)),'Retail Readiness Costs'!$H$23,0)+IF(AND(Assumptions!$E$155=1,Z$4=Assumptions!$E$156),Assumptions!$C$66,0)</f>
        <v>0</v>
      </c>
      <c r="AA377" s="8" t="n">
        <f aca="false">IF(AND(Assumptions!$E$146=1,AA$4=$B$265),'Retail Readiness Costs'!$H$14,0)+IF(AND(Assumptions!$E$164=1,AA$4=MAX(1,Assumptions!$E$165-Assumptions!$C$67)),'Retail Readiness Costs'!$H$23,0)+IF(AND(Assumptions!$E$155=1,AA$4=Assumptions!$E$156),Assumptions!$C$66,0)</f>
        <v>0</v>
      </c>
      <c r="AB377" s="8" t="n">
        <f aca="false">IF(AND(Assumptions!$E$146=1,AB$4=$B$265),'Retail Readiness Costs'!$H$14,0)+IF(AND(Assumptions!$E$164=1,AB$4=MAX(1,Assumptions!$E$165-Assumptions!$C$67)),'Retail Readiness Costs'!$H$23,0)+IF(AND(Assumptions!$E$155=1,AB$4=Assumptions!$E$156),Assumptions!$C$66,0)</f>
        <v>0</v>
      </c>
      <c r="AC377" s="8" t="n">
        <f aca="false">IF(AND(Assumptions!$E$146=1,AC$4=$B$265),'Retail Readiness Costs'!$H$14,0)+IF(AND(Assumptions!$E$164=1,AC$4=MAX(1,Assumptions!$E$165-Assumptions!$C$67)),'Retail Readiness Costs'!$H$23,0)+IF(AND(Assumptions!$E$155=1,AC$4=Assumptions!$E$156),Assumptions!$C$66,0)</f>
        <v>0</v>
      </c>
      <c r="AD377" s="8" t="n">
        <f aca="false">IF(AND(Assumptions!$E$146=1,AD$4=$B$265),'Retail Readiness Costs'!$H$14,0)+IF(AND(Assumptions!$E$164=1,AD$4=MAX(1,Assumptions!$E$165-Assumptions!$C$67)),'Retail Readiness Costs'!$H$23,0)+IF(AND(Assumptions!$E$155=1,AD$4=Assumptions!$E$156),Assumptions!$C$66,0)</f>
        <v>0</v>
      </c>
      <c r="AE377" s="8" t="n">
        <f aca="false">IF(AND(Assumptions!$E$146=1,AE$4=$B$265),'Retail Readiness Costs'!$H$14,0)+IF(AND(Assumptions!$E$164=1,AE$4=MAX(1,Assumptions!$E$165-Assumptions!$C$67)),'Retail Readiness Costs'!$H$23,0)+IF(AND(Assumptions!$E$155=1,AE$4=Assumptions!$E$156),Assumptions!$C$66,0)</f>
        <v>0</v>
      </c>
      <c r="AF377" s="8" t="n">
        <f aca="false">IF(AND(Assumptions!$E$146=1,AF$4=$B$265),'Retail Readiness Costs'!$H$14,0)+IF(AND(Assumptions!$E$164=1,AF$4=MAX(1,Assumptions!$E$165-Assumptions!$C$67)),'Retail Readiness Costs'!$H$23,0)+IF(AND(Assumptions!$E$155=1,AF$4=Assumptions!$E$156),Assumptions!$C$66,0)</f>
        <v>0</v>
      </c>
      <c r="AG377" s="8" t="n">
        <f aca="false">IF(AND(Assumptions!$E$146=1,AG$4=$B$265),'Retail Readiness Costs'!$H$14,0)+IF(AND(Assumptions!$E$164=1,AG$4=MAX(1,Assumptions!$E$165-Assumptions!$C$67)),'Retail Readiness Costs'!$H$23,0)+IF(AND(Assumptions!$E$155=1,AG$4=Assumptions!$E$156),Assumptions!$C$66,0)</f>
        <v>0</v>
      </c>
      <c r="AH377" s="8" t="n">
        <f aca="false">IF(AND(Assumptions!$E$146=1,AH$4=$B$265),'Retail Readiness Costs'!$H$14,0)+IF(AND(Assumptions!$E$164=1,AH$4=MAX(1,Assumptions!$E$165-Assumptions!$C$67)),'Retail Readiness Costs'!$H$23,0)+IF(AND(Assumptions!$E$155=1,AH$4=Assumptions!$E$156),Assumptions!$C$66,0)</f>
        <v>0</v>
      </c>
      <c r="AI377" s="8" t="n">
        <f aca="false">IF(AND(Assumptions!$E$146=1,AI$4=$B$265),'Retail Readiness Costs'!$H$14,0)+IF(AND(Assumptions!$E$164=1,AI$4=MAX(1,Assumptions!$E$165-Assumptions!$C$67)),'Retail Readiness Costs'!$H$23,0)+IF(AND(Assumptions!$E$155=1,AI$4=Assumptions!$E$156),Assumptions!$C$66,0)</f>
        <v>0</v>
      </c>
      <c r="AJ377" s="8" t="n">
        <f aca="false">IF(AND(Assumptions!$E$146=1,AJ$4=$B$265),'Retail Readiness Costs'!$H$14,0)+IF(AND(Assumptions!$E$164=1,AJ$4=MAX(1,Assumptions!$E$165-Assumptions!$C$67)),'Retail Readiness Costs'!$H$23,0)+IF(AND(Assumptions!$E$155=1,AJ$4=Assumptions!$E$156),Assumptions!$C$66,0)</f>
        <v>0</v>
      </c>
      <c r="AK377" s="8" t="n">
        <f aca="false">IF(AND(Assumptions!$E$146=1,AK$4=$B$265),'Retail Readiness Costs'!$H$14,0)+IF(AND(Assumptions!$E$164=1,AK$4=MAX(1,Assumptions!$E$165-Assumptions!$C$67)),'Retail Readiness Costs'!$H$23,0)+IF(AND(Assumptions!$E$155=1,AK$4=Assumptions!$E$156),Assumptions!$C$66,0)</f>
        <v>0</v>
      </c>
      <c r="AL377" s="8" t="n">
        <f aca="false">IF(AND(Assumptions!$E$146=1,AL$4=$B$265),'Retail Readiness Costs'!$H$14,0)+IF(AND(Assumptions!$E$164=1,AL$4=MAX(1,Assumptions!$E$165-Assumptions!$C$67)),'Retail Readiness Costs'!$H$23,0)+IF(AND(Assumptions!$E$155=1,AL$4=Assumptions!$E$156),Assumptions!$C$66,0)</f>
        <v>0</v>
      </c>
      <c r="AM377" s="45" t="n">
        <f aca="false">SUMIF($C$6:$AL$6,1,C377:AL377)</f>
        <v>2054</v>
      </c>
      <c r="AN377" s="45" t="n">
        <f aca="false">SUMIF($C$6:$AL$6,2,C377:AL377)</f>
        <v>5100</v>
      </c>
      <c r="AO377" s="45" t="n">
        <f aca="false">SUMIF($C$6:$AL$6,3,C377:AL377)</f>
        <v>0</v>
      </c>
      <c r="AP377" s="45" t="n">
        <f aca="false">SUM(C377:AL377)</f>
        <v>7154</v>
      </c>
    </row>
    <row r="378" customFormat="false" ht="15" hidden="false" customHeight="false" outlineLevel="0" collapsed="false">
      <c r="A378" s="7" t="s">
        <v>794</v>
      </c>
      <c r="B378" s="9" t="s">
        <v>101</v>
      </c>
      <c r="C378" s="17" t="n">
        <f aca="false">C375-C376-C377</f>
        <v>-5411.77043791322</v>
      </c>
      <c r="D378" s="17" t="n">
        <f aca="false">D375-D376-D377</f>
        <v>-2135.1400475824</v>
      </c>
      <c r="E378" s="17" t="n">
        <f aca="false">E375-E376-E377</f>
        <v>-2483.19801739856</v>
      </c>
      <c r="F378" s="17" t="n">
        <f aca="false">F375-F376-F377</f>
        <v>-1358.24425124681</v>
      </c>
      <c r="G378" s="17" t="n">
        <f aca="false">G375-G376-G377</f>
        <v>-1416.75223193572</v>
      </c>
      <c r="H378" s="17" t="n">
        <f aca="false">H375-H376-H377</f>
        <v>-4037.43573814741</v>
      </c>
      <c r="I378" s="17" t="n">
        <f aca="false">I375-I376-I377</f>
        <v>-6095.7237502473</v>
      </c>
      <c r="J378" s="17" t="n">
        <f aca="false">J375-J376-J377</f>
        <v>-1372.39859020927</v>
      </c>
      <c r="K378" s="17" t="n">
        <f aca="false">K375-K376-K377</f>
        <v>164.988483903064</v>
      </c>
      <c r="L378" s="17" t="n">
        <f aca="false">L375-L376-L377</f>
        <v>589.40215496951</v>
      </c>
      <c r="M378" s="17" t="n">
        <f aca="false">M375-M376-M377</f>
        <v>1157.29725082451</v>
      </c>
      <c r="N378" s="17" t="n">
        <f aca="false">N375-N376-N377</f>
        <v>1531.20596579345</v>
      </c>
      <c r="O378" s="17" t="n">
        <f aca="false">O375-O376-O377</f>
        <v>908.044602775841</v>
      </c>
      <c r="P378" s="17" t="n">
        <f aca="false">P375-P376-P377</f>
        <v>3121.01047369938</v>
      </c>
      <c r="Q378" s="17" t="n">
        <f aca="false">Q375-Q376-Q377</f>
        <v>3537.61977820397</v>
      </c>
      <c r="R378" s="17" t="n">
        <f aca="false">R375-R376-R377</f>
        <v>3302.38754007889</v>
      </c>
      <c r="S378" s="17" t="n">
        <f aca="false">S375-S376-S377</f>
        <v>2468.29027017221</v>
      </c>
      <c r="T378" s="17" t="n">
        <f aca="false">T375-T376-T377</f>
        <v>3278.8223781622</v>
      </c>
      <c r="U378" s="17" t="n">
        <f aca="false">U375-U376-U377</f>
        <v>-2788.70192463849</v>
      </c>
      <c r="V378" s="17" t="n">
        <f aca="false">V375-V376-V377</f>
        <v>3457.00026352538</v>
      </c>
      <c r="W378" s="17" t="n">
        <f aca="false">W375-W376-W377</f>
        <v>3803.80176063735</v>
      </c>
      <c r="X378" s="17" t="n">
        <f aca="false">X375-X376-X377</f>
        <v>3687.58406784535</v>
      </c>
      <c r="Y378" s="17" t="n">
        <f aca="false">Y375-Y376-Y377</f>
        <v>4050.8648227218</v>
      </c>
      <c r="Z378" s="17" t="n">
        <f aca="false">Z375-Z376-Z377</f>
        <v>4526.95828517922</v>
      </c>
      <c r="AA378" s="17" t="n">
        <f aca="false">AA375-AA376-AA377</f>
        <v>4123.35815264045</v>
      </c>
      <c r="AB378" s="17" t="n">
        <f aca="false">AB375-AB376-AB377</f>
        <v>7428.86571949042</v>
      </c>
      <c r="AC378" s="17" t="n">
        <f aca="false">AC375-AC376-AC377</f>
        <v>7940.97564704508</v>
      </c>
      <c r="AD378" s="17" t="n">
        <f aca="false">AD375-AD376-AD377</f>
        <v>7600.57565868297</v>
      </c>
      <c r="AE378" s="17" t="n">
        <f aca="false">AE375-AE376-AE377</f>
        <v>5514.45400416263</v>
      </c>
      <c r="AF378" s="17" t="n">
        <f aca="false">AF375-AF376-AF377</f>
        <v>6725.66813401419</v>
      </c>
      <c r="AG378" s="17" t="n">
        <f aca="false">AG375-AG376-AG377</f>
        <v>5936.93001020864</v>
      </c>
      <c r="AH378" s="17" t="n">
        <f aca="false">AH375-AH376-AH377</f>
        <v>6657.20618428991</v>
      </c>
      <c r="AI378" s="17" t="n">
        <f aca="false">AI375-AI376-AI377</f>
        <v>7094.47134278378</v>
      </c>
      <c r="AJ378" s="17" t="n">
        <f aca="false">AJ375-AJ376-AJ377</f>
        <v>7219.02670715118</v>
      </c>
      <c r="AK378" s="17" t="n">
        <f aca="false">AK375-AK376-AK377</f>
        <v>7450.31096285858</v>
      </c>
      <c r="AL378" s="17" t="n">
        <f aca="false">AL375-AL376-AL377</f>
        <v>7920.89437844529</v>
      </c>
      <c r="AM378" s="45" t="n">
        <f aca="false">SUMIF($C$6:$AL$6,1,C378:AL378)</f>
        <v>-20867.7692091902</v>
      </c>
      <c r="AN378" s="45" t="n">
        <f aca="false">SUMIF($C$6:$AL$6,2,C378:AL378)</f>
        <v>33353.6823183631</v>
      </c>
      <c r="AO378" s="45" t="n">
        <f aca="false">SUMIF($C$6:$AL$6,3,C378:AL378)</f>
        <v>81612.7369017731</v>
      </c>
      <c r="AP378" s="45" t="n">
        <f aca="false">SUM(C378:AL378)</f>
        <v>94098.6500109461</v>
      </c>
    </row>
    <row r="379" customFormat="false" ht="15" hidden="false" customHeight="false" outlineLevel="0" collapsed="false">
      <c r="A379" s="7" t="s">
        <v>795</v>
      </c>
      <c r="B379" s="9" t="s">
        <v>101</v>
      </c>
      <c r="C379" s="17" t="n">
        <f aca="false">C378</f>
        <v>-5411.77043791322</v>
      </c>
      <c r="D379" s="17" t="n">
        <f aca="false">D378+C379</f>
        <v>-7546.91048549562</v>
      </c>
      <c r="E379" s="17" t="n">
        <f aca="false">E378+D379</f>
        <v>-10030.1085028942</v>
      </c>
      <c r="F379" s="17" t="n">
        <f aca="false">F378+E379</f>
        <v>-11388.352754141</v>
      </c>
      <c r="G379" s="17" t="n">
        <f aca="false">G378+F379</f>
        <v>-12805.1049860767</v>
      </c>
      <c r="H379" s="17" t="n">
        <f aca="false">H378+G379</f>
        <v>-16842.5407242241</v>
      </c>
      <c r="I379" s="17" t="n">
        <f aca="false">I378+H379</f>
        <v>-22938.2644744714</v>
      </c>
      <c r="J379" s="17" t="n">
        <f aca="false">J378+I379</f>
        <v>-24310.6630646807</v>
      </c>
      <c r="K379" s="17" t="n">
        <f aca="false">K378+J379</f>
        <v>-24145.6745807776</v>
      </c>
      <c r="L379" s="17" t="n">
        <f aca="false">L378+K379</f>
        <v>-23556.2724258081</v>
      </c>
      <c r="M379" s="17" t="n">
        <f aca="false">M378+L379</f>
        <v>-22398.9751749836</v>
      </c>
      <c r="N379" s="17" t="n">
        <f aca="false">N378+M379</f>
        <v>-20867.7692091902</v>
      </c>
      <c r="O379" s="17" t="n">
        <f aca="false">O378+N379</f>
        <v>-19959.7246064143</v>
      </c>
      <c r="P379" s="17" t="n">
        <f aca="false">P378+O379</f>
        <v>-16838.7141327149</v>
      </c>
      <c r="Q379" s="17" t="n">
        <f aca="false">Q378+P379</f>
        <v>-13301.094354511</v>
      </c>
      <c r="R379" s="17" t="n">
        <f aca="false">R378+Q379</f>
        <v>-9998.70681443208</v>
      </c>
      <c r="S379" s="17" t="n">
        <f aca="false">S378+R379</f>
        <v>-7530.41654425986</v>
      </c>
      <c r="T379" s="17" t="n">
        <f aca="false">T378+S379</f>
        <v>-4251.59416609766</v>
      </c>
      <c r="U379" s="17" t="n">
        <f aca="false">U378+T379</f>
        <v>-7040.29609073615</v>
      </c>
      <c r="V379" s="17" t="n">
        <f aca="false">V378+U379</f>
        <v>-3583.29582721077</v>
      </c>
      <c r="W379" s="17" t="n">
        <f aca="false">W378+V379</f>
        <v>220.505933426583</v>
      </c>
      <c r="X379" s="17" t="n">
        <f aca="false">X378+W379</f>
        <v>3908.09000127194</v>
      </c>
      <c r="Y379" s="17" t="n">
        <f aca="false">Y378+X379</f>
        <v>7958.95482399374</v>
      </c>
      <c r="Z379" s="17" t="n">
        <f aca="false">Z378+Y379</f>
        <v>12485.913109173</v>
      </c>
      <c r="AA379" s="17" t="n">
        <f aca="false">AA378+Z379</f>
        <v>16609.2712618134</v>
      </c>
      <c r="AB379" s="17" t="n">
        <f aca="false">AB378+AA379</f>
        <v>24038.1369813038</v>
      </c>
      <c r="AC379" s="17" t="n">
        <f aca="false">AC378+AB379</f>
        <v>31979.1126283489</v>
      </c>
      <c r="AD379" s="17" t="n">
        <f aca="false">AD378+AC379</f>
        <v>39579.6882870319</v>
      </c>
      <c r="AE379" s="17" t="n">
        <f aca="false">AE378+AD379</f>
        <v>45094.1422911945</v>
      </c>
      <c r="AF379" s="17" t="n">
        <f aca="false">AF378+AE379</f>
        <v>51819.8104252087</v>
      </c>
      <c r="AG379" s="17" t="n">
        <f aca="false">AG378+AF379</f>
        <v>57756.7404354173</v>
      </c>
      <c r="AH379" s="17" t="n">
        <f aca="false">AH378+AG379</f>
        <v>64413.9466197072</v>
      </c>
      <c r="AI379" s="17" t="n">
        <f aca="false">AI378+AH379</f>
        <v>71508.417962491</v>
      </c>
      <c r="AJ379" s="17" t="n">
        <f aca="false">AJ378+AI379</f>
        <v>78727.4446696422</v>
      </c>
      <c r="AK379" s="17" t="n">
        <f aca="false">AK378+AJ379</f>
        <v>86177.7556325008</v>
      </c>
      <c r="AL379" s="17" t="n">
        <f aca="false">AL378+AK379</f>
        <v>94098.6500109461</v>
      </c>
      <c r="AM379" s="45" t="n">
        <f aca="false">N379</f>
        <v>-20867.7692091902</v>
      </c>
      <c r="AN379" s="45" t="n">
        <f aca="false">Z379</f>
        <v>12485.913109173</v>
      </c>
      <c r="AO379" s="45" t="n">
        <f aca="false">AL379</f>
        <v>94098.6500109461</v>
      </c>
      <c r="AP379" s="45" t="n">
        <f aca="false">AL379</f>
        <v>94098.6500109461</v>
      </c>
    </row>
    <row r="380" customFormat="false" ht="15" hidden="false" customHeight="false" outlineLevel="0" collapsed="false">
      <c r="A380" s="5" t="s">
        <v>796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</row>
    <row r="381" customFormat="false" ht="15" hidden="false" customHeight="false" outlineLevel="0" collapsed="false">
      <c r="A381" s="7" t="s">
        <v>797</v>
      </c>
      <c r="B381" s="9" t="s">
        <v>342</v>
      </c>
      <c r="C381" s="52" t="n">
        <f aca="false">C336+C356</f>
        <v>-0</v>
      </c>
      <c r="D381" s="52" t="n">
        <f aca="false">D336+D356</f>
        <v>-0</v>
      </c>
      <c r="E381" s="52" t="n">
        <f aca="false">E336+E356</f>
        <v>-0</v>
      </c>
      <c r="F381" s="52" t="n">
        <f aca="false">F336+F356</f>
        <v>0</v>
      </c>
      <c r="G381" s="52" t="n">
        <f aca="false">G336+G356</f>
        <v>2.925</v>
      </c>
      <c r="H381" s="52" t="n">
        <f aca="false">H336+H356</f>
        <v>6.89</v>
      </c>
      <c r="I381" s="52" t="n">
        <f aca="false">I336+I356</f>
        <v>11.502855</v>
      </c>
      <c r="J381" s="52" t="n">
        <f aca="false">J336+J356</f>
        <v>14.7090476</v>
      </c>
      <c r="K381" s="52" t="n">
        <f aca="false">K336+K356</f>
        <v>20.5152506</v>
      </c>
      <c r="L381" s="52" t="n">
        <f aca="false">L336+L356</f>
        <v>24.79062882504</v>
      </c>
      <c r="M381" s="52" t="n">
        <f aca="false">M336+M356</f>
        <v>23.5119542856432</v>
      </c>
      <c r="N381" s="52" t="n">
        <f aca="false">N336+N356</f>
        <v>24.9226715427818</v>
      </c>
      <c r="O381" s="52" t="n">
        <f aca="false">O336+O356</f>
        <v>29.2474880752057</v>
      </c>
      <c r="P381" s="52" t="n">
        <f aca="false">P336+P356</f>
        <v>42.0240223396377</v>
      </c>
      <c r="Q381" s="52" t="n">
        <f aca="false">Q336+Q356</f>
        <v>45.8223474357203</v>
      </c>
      <c r="R381" s="52" t="n">
        <f aca="false">R336+R356</f>
        <v>44.5495044513947</v>
      </c>
      <c r="S381" s="52" t="n">
        <f aca="false">S336+S356</f>
        <v>33.6794253652544</v>
      </c>
      <c r="T381" s="52" t="n">
        <f aca="false">T336+T356</f>
        <v>39.2926629261302</v>
      </c>
      <c r="U381" s="52" t="n">
        <f aca="false">U336+U356</f>
        <v>43.3201608760585</v>
      </c>
      <c r="V381" s="52" t="n">
        <f aca="false">V336+V356</f>
        <v>41.1541528322556</v>
      </c>
      <c r="W381" s="52" t="n">
        <f aca="false">W336+W356</f>
        <v>45.4861689198614</v>
      </c>
      <c r="X381" s="52" t="n">
        <f aca="false">X336+X356</f>
        <v>59.6224534975618</v>
      </c>
      <c r="Y381" s="52" t="n">
        <f aca="false">Y336+Y356</f>
        <v>70.1662260490252</v>
      </c>
      <c r="Z381" s="52" t="n">
        <f aca="false">Z336+Z356</f>
        <v>89.3723373514764</v>
      </c>
      <c r="AA381" s="52" t="n">
        <f aca="false">AA336+AA356</f>
        <v>123.327407880494</v>
      </c>
      <c r="AB381" s="52" t="n">
        <f aca="false">AB336+AB356</f>
        <v>205.269147469454</v>
      </c>
      <c r="AC381" s="52" t="n">
        <f aca="false">AC336+AC356</f>
        <v>256.200407035412</v>
      </c>
      <c r="AD381" s="52" t="n">
        <f aca="false">AD336+AD356</f>
        <v>252.604247512069</v>
      </c>
      <c r="AE381" s="52" t="n">
        <f aca="false">AE336+AE356</f>
        <v>193.758150962873</v>
      </c>
      <c r="AF381" s="52" t="n">
        <f aca="false">AF336+AF356</f>
        <v>229.457648644796</v>
      </c>
      <c r="AG381" s="52" t="n">
        <f aca="false">AG336+AG356</f>
        <v>256.904092252929</v>
      </c>
      <c r="AH381" s="52" t="n">
        <f aca="false">AH336+AH356</f>
        <v>247.955891704196</v>
      </c>
      <c r="AI381" s="52" t="n">
        <f aca="false">AI336+AI356</f>
        <v>278.551550335435</v>
      </c>
      <c r="AJ381" s="52" t="n">
        <f aca="false">AJ336+AJ356</f>
        <v>282.530448715632</v>
      </c>
      <c r="AK381" s="52" t="n">
        <f aca="false">AK336+AK356</f>
        <v>270.006114223712</v>
      </c>
      <c r="AL381" s="52" t="n">
        <f aca="false">AL336+AL356</f>
        <v>288.508858403003</v>
      </c>
      <c r="AM381" s="53" t="n">
        <f aca="false">SUMIF($C$6:$AL$6,1,C381:AL381)</f>
        <v>129.767407853465</v>
      </c>
      <c r="AN381" s="53" t="n">
        <f aca="false">SUMIF($C$6:$AL$6,2,C381:AL381)</f>
        <v>583.736950119582</v>
      </c>
      <c r="AO381" s="53" t="n">
        <f aca="false">SUMIF($C$6:$AL$6,3,C381:AL381)</f>
        <v>2885.07396514001</v>
      </c>
      <c r="AP381" s="53" t="n">
        <f aca="false">SUM(C381:AL381)</f>
        <v>3598.57832311305</v>
      </c>
    </row>
    <row r="382" customFormat="false" ht="15" hidden="false" customHeight="false" outlineLevel="0" collapsed="false">
      <c r="A382" s="7" t="s">
        <v>798</v>
      </c>
      <c r="B382" s="9" t="s">
        <v>342</v>
      </c>
      <c r="C382" s="52" t="n">
        <f aca="false">C381</f>
        <v>-0</v>
      </c>
      <c r="D382" s="52" t="n">
        <f aca="false">D381+C382</f>
        <v>-0</v>
      </c>
      <c r="E382" s="52" t="n">
        <f aca="false">E381+D382</f>
        <v>-0</v>
      </c>
      <c r="F382" s="52" t="n">
        <f aca="false">F381+E382</f>
        <v>0</v>
      </c>
      <c r="G382" s="52" t="n">
        <f aca="false">G381+F382</f>
        <v>2.925</v>
      </c>
      <c r="H382" s="52" t="n">
        <f aca="false">H381+G382</f>
        <v>9.815</v>
      </c>
      <c r="I382" s="52" t="n">
        <f aca="false">I381+H382</f>
        <v>21.317855</v>
      </c>
      <c r="J382" s="52" t="n">
        <f aca="false">J381+I382</f>
        <v>36.0269026</v>
      </c>
      <c r="K382" s="52" t="n">
        <f aca="false">K381+J382</f>
        <v>56.5421532</v>
      </c>
      <c r="L382" s="52" t="n">
        <f aca="false">L381+K382</f>
        <v>81.33278202504</v>
      </c>
      <c r="M382" s="52" t="n">
        <f aca="false">M381+L382</f>
        <v>104.844736310683</v>
      </c>
      <c r="N382" s="52" t="n">
        <f aca="false">N381+M382</f>
        <v>129.767407853465</v>
      </c>
      <c r="O382" s="52" t="n">
        <f aca="false">O381+N382</f>
        <v>159.014895928671</v>
      </c>
      <c r="P382" s="52" t="n">
        <f aca="false">P381+O382</f>
        <v>201.038918268308</v>
      </c>
      <c r="Q382" s="52" t="n">
        <f aca="false">Q381+P382</f>
        <v>246.861265704029</v>
      </c>
      <c r="R382" s="52" t="n">
        <f aca="false">R381+Q382</f>
        <v>291.410770155423</v>
      </c>
      <c r="S382" s="52" t="n">
        <f aca="false">S381+R382</f>
        <v>325.090195520678</v>
      </c>
      <c r="T382" s="52" t="n">
        <f aca="false">T381+S382</f>
        <v>364.382858446808</v>
      </c>
      <c r="U382" s="52" t="n">
        <f aca="false">U381+T382</f>
        <v>407.703019322867</v>
      </c>
      <c r="V382" s="52" t="n">
        <f aca="false">V381+U382</f>
        <v>448.857172155122</v>
      </c>
      <c r="W382" s="52" t="n">
        <f aca="false">W381+V382</f>
        <v>494.343341074984</v>
      </c>
      <c r="X382" s="52" t="n">
        <f aca="false">X381+W382</f>
        <v>553.965794572545</v>
      </c>
      <c r="Y382" s="52" t="n">
        <f aca="false">Y381+X382</f>
        <v>624.132020621571</v>
      </c>
      <c r="Z382" s="52" t="n">
        <f aca="false">Z381+Y382</f>
        <v>713.504357973047</v>
      </c>
      <c r="AA382" s="52" t="n">
        <f aca="false">AA381+Z382</f>
        <v>836.831765853541</v>
      </c>
      <c r="AB382" s="52" t="n">
        <f aca="false">AB381+AA382</f>
        <v>1042.10091332299</v>
      </c>
      <c r="AC382" s="52" t="n">
        <f aca="false">AC381+AB382</f>
        <v>1298.30132035841</v>
      </c>
      <c r="AD382" s="52" t="n">
        <f aca="false">AD381+AC382</f>
        <v>1550.90556787048</v>
      </c>
      <c r="AE382" s="52" t="n">
        <f aca="false">AE381+AD382</f>
        <v>1744.66371883335</v>
      </c>
      <c r="AF382" s="52" t="n">
        <f aca="false">AF381+AE382</f>
        <v>1974.12136747815</v>
      </c>
      <c r="AG382" s="52" t="n">
        <f aca="false">AG381+AF382</f>
        <v>2231.02545973107</v>
      </c>
      <c r="AH382" s="52" t="n">
        <f aca="false">AH381+AG382</f>
        <v>2478.98135143527</v>
      </c>
      <c r="AI382" s="52" t="n">
        <f aca="false">AI381+AH382</f>
        <v>2757.53290177071</v>
      </c>
      <c r="AJ382" s="52" t="n">
        <f aca="false">AJ381+AI382</f>
        <v>3040.06335048634</v>
      </c>
      <c r="AK382" s="52" t="n">
        <f aca="false">AK381+AJ382</f>
        <v>3310.06946471005</v>
      </c>
      <c r="AL382" s="52" t="n">
        <f aca="false">AL381+AK382</f>
        <v>3598.57832311305</v>
      </c>
      <c r="AM382" s="53" t="n">
        <f aca="false">N382</f>
        <v>129.767407853465</v>
      </c>
      <c r="AN382" s="53" t="n">
        <f aca="false">Z382</f>
        <v>713.504357973047</v>
      </c>
      <c r="AO382" s="53" t="n">
        <f aca="false">AL382</f>
        <v>3598.57832311305</v>
      </c>
      <c r="AP382" s="53" t="n">
        <f aca="false">AL382</f>
        <v>3598.57832311305</v>
      </c>
    </row>
    <row r="383" customFormat="false" ht="15" hidden="false" customHeight="false" outlineLevel="0" collapsed="false">
      <c r="A383" s="7" t="s">
        <v>799</v>
      </c>
      <c r="B383" s="9" t="s">
        <v>239</v>
      </c>
      <c r="C383" s="52" t="n">
        <f aca="false">IF($B$267=0,0,IF(C$4=$B$265,$B$267,IF(C$4&gt;$B$265,(INT(C382/$B$267)-INT(0/$B$267))*$B$267,0)))</f>
        <v>0</v>
      </c>
      <c r="D383" s="52" t="n">
        <f aca="false">IF($B$267=0,0,IF(D$4=$B$265,$B$267,IF(D$4&gt;$B$265,(INT(D382/$B$267)-INT(C382/$B$267))*$B$267,0)))</f>
        <v>0</v>
      </c>
      <c r="E383" s="52" t="n">
        <f aca="false">IF($B$267=0,0,IF(E$4=$B$265,$B$267,IF(E$4&gt;$B$265,(INT(E382/$B$267)-INT(D382/$B$267))*$B$267,0)))</f>
        <v>0</v>
      </c>
      <c r="F383" s="52" t="n">
        <f aca="false">IF($B$267=0,0,IF(F$4=$B$265,$B$267,IF(F$4&gt;$B$265,(INT(F382/$B$267)-INT(E382/$B$267))*$B$267,0)))</f>
        <v>0</v>
      </c>
      <c r="G383" s="52" t="n">
        <f aca="false">IF($B$267=0,0,IF(G$4=$B$265,$B$267,IF(G$4&gt;$B$265,(INT(G382/$B$267)-INT(F382/$B$267))*$B$267,0)))</f>
        <v>0</v>
      </c>
      <c r="H383" s="52" t="n">
        <f aca="false">IF($B$267=0,0,IF(H$4=$B$265,$B$267,IF(H$4&gt;$B$265,(INT(H382/$B$267)-INT(G382/$B$267))*$B$267,0)))</f>
        <v>0</v>
      </c>
      <c r="I383" s="52" t="n">
        <f aca="false">IF($B$267=0,0,IF(I$4=$B$265,$B$267,IF(I$4&gt;$B$265,(INT(I382/$B$267)-INT(H382/$B$267))*$B$267,0)))</f>
        <v>0</v>
      </c>
      <c r="J383" s="52" t="n">
        <f aca="false">IF($B$267=0,0,IF(J$4=$B$265,$B$267,IF(J$4&gt;$B$265,(INT(J382/$B$267)-INT(I382/$B$267))*$B$267,0)))</f>
        <v>1000</v>
      </c>
      <c r="K383" s="52" t="n">
        <f aca="false">IF($B$267=0,0,IF(K$4=$B$265,$B$267,IF(K$4&gt;$B$265,(INT(K382/$B$267)-INT(J382/$B$267))*$B$267,0)))</f>
        <v>0</v>
      </c>
      <c r="L383" s="52" t="n">
        <f aca="false">IF($B$267=0,0,IF(L$4=$B$265,$B$267,IF(L$4&gt;$B$265,(INT(L382/$B$267)-INT(K382/$B$267))*$B$267,0)))</f>
        <v>0</v>
      </c>
      <c r="M383" s="52" t="n">
        <f aca="false">IF($B$267=0,0,IF(M$4=$B$265,$B$267,IF(M$4&gt;$B$265,(INT(M382/$B$267)-INT(L382/$B$267))*$B$267,0)))</f>
        <v>0</v>
      </c>
      <c r="N383" s="52" t="n">
        <f aca="false">IF($B$267=0,0,IF(N$4=$B$265,$B$267,IF(N$4&gt;$B$265,(INT(N382/$B$267)-INT(M382/$B$267))*$B$267,0)))</f>
        <v>0</v>
      </c>
      <c r="O383" s="52" t="n">
        <f aca="false">IF($B$267=0,0,IF(O$4=$B$265,$B$267,IF(O$4&gt;$B$265,(INT(O382/$B$267)-INT(N382/$B$267))*$B$267,0)))</f>
        <v>0</v>
      </c>
      <c r="P383" s="52" t="n">
        <f aca="false">IF($B$267=0,0,IF(P$4=$B$265,$B$267,IF(P$4&gt;$B$265,(INT(P382/$B$267)-INT(O382/$B$267))*$B$267,0)))</f>
        <v>0</v>
      </c>
      <c r="Q383" s="52" t="n">
        <f aca="false">IF($B$267=0,0,IF(Q$4=$B$265,$B$267,IF(Q$4&gt;$B$265,(INT(Q382/$B$267)-INT(P382/$B$267))*$B$267,0)))</f>
        <v>0</v>
      </c>
      <c r="R383" s="52" t="n">
        <f aca="false">IF($B$267=0,0,IF(R$4=$B$265,$B$267,IF(R$4&gt;$B$265,(INT(R382/$B$267)-INT(Q382/$B$267))*$B$267,0)))</f>
        <v>0</v>
      </c>
      <c r="S383" s="52" t="n">
        <f aca="false">IF($B$267=0,0,IF(S$4=$B$265,$B$267,IF(S$4&gt;$B$265,(INT(S382/$B$267)-INT(R382/$B$267))*$B$267,0)))</f>
        <v>0</v>
      </c>
      <c r="T383" s="52" t="n">
        <f aca="false">IF($B$267=0,0,IF(T$4=$B$265,$B$267,IF(T$4&gt;$B$265,(INT(T382/$B$267)-INT(S382/$B$267))*$B$267,0)))</f>
        <v>0</v>
      </c>
      <c r="U383" s="52" t="n">
        <f aca="false">IF($B$267=0,0,IF(U$4=$B$265,$B$267,IF(U$4&gt;$B$265,(INT(U382/$B$267)-INT(T382/$B$267))*$B$267,0)))</f>
        <v>0</v>
      </c>
      <c r="V383" s="52" t="n">
        <f aca="false">IF($B$267=0,0,IF(V$4=$B$265,$B$267,IF(V$4&gt;$B$265,(INT(V382/$B$267)-INT(U382/$B$267))*$B$267,0)))</f>
        <v>0</v>
      </c>
      <c r="W383" s="52" t="n">
        <f aca="false">IF($B$267=0,0,IF(W$4=$B$265,$B$267,IF(W$4&gt;$B$265,(INT(W382/$B$267)-INT(V382/$B$267))*$B$267,0)))</f>
        <v>0</v>
      </c>
      <c r="X383" s="52" t="n">
        <f aca="false">IF($B$267=0,0,IF(X$4=$B$265,$B$267,IF(X$4&gt;$B$265,(INT(X382/$B$267)-INT(W382/$B$267))*$B$267,0)))</f>
        <v>0</v>
      </c>
      <c r="Y383" s="52" t="n">
        <f aca="false">IF($B$267=0,0,IF(Y$4=$B$265,$B$267,IF(Y$4&gt;$B$265,(INT(Y382/$B$267)-INT(X382/$B$267))*$B$267,0)))</f>
        <v>0</v>
      </c>
      <c r="Z383" s="52" t="n">
        <f aca="false">IF($B$267=0,0,IF(Z$4=$B$265,$B$267,IF(Z$4&gt;$B$265,(INT(Z382/$B$267)-INT(Y382/$B$267))*$B$267,0)))</f>
        <v>0</v>
      </c>
      <c r="AA383" s="52" t="n">
        <f aca="false">IF($B$267=0,0,IF(AA$4=$B$265,$B$267,IF(AA$4&gt;$B$265,(INT(AA382/$B$267)-INT(Z382/$B$267))*$B$267,0)))</f>
        <v>0</v>
      </c>
      <c r="AB383" s="52" t="n">
        <f aca="false">IF($B$267=0,0,IF(AB$4=$B$265,$B$267,IF(AB$4&gt;$B$265,(INT(AB382/$B$267)-INT(AA382/$B$267))*$B$267,0)))</f>
        <v>1000</v>
      </c>
      <c r="AC383" s="52" t="n">
        <f aca="false">IF($B$267=0,0,IF(AC$4=$B$265,$B$267,IF(AC$4&gt;$B$265,(INT(AC382/$B$267)-INT(AB382/$B$267))*$B$267,0)))</f>
        <v>0</v>
      </c>
      <c r="AD383" s="52" t="n">
        <f aca="false">IF($B$267=0,0,IF(AD$4=$B$265,$B$267,IF(AD$4&gt;$B$265,(INT(AD382/$B$267)-INT(AC382/$B$267))*$B$267,0)))</f>
        <v>0</v>
      </c>
      <c r="AE383" s="52" t="n">
        <f aca="false">IF($B$267=0,0,IF(AE$4=$B$265,$B$267,IF(AE$4&gt;$B$265,(INT(AE382/$B$267)-INT(AD382/$B$267))*$B$267,0)))</f>
        <v>0</v>
      </c>
      <c r="AF383" s="52" t="n">
        <f aca="false">IF($B$267=0,0,IF(AF$4=$B$265,$B$267,IF(AF$4&gt;$B$265,(INT(AF382/$B$267)-INT(AE382/$B$267))*$B$267,0)))</f>
        <v>0</v>
      </c>
      <c r="AG383" s="52" t="n">
        <f aca="false">IF($B$267=0,0,IF(AG$4=$B$265,$B$267,IF(AG$4&gt;$B$265,(INT(AG382/$B$267)-INT(AF382/$B$267))*$B$267,0)))</f>
        <v>1000</v>
      </c>
      <c r="AH383" s="52" t="n">
        <f aca="false">IF($B$267=0,0,IF(AH$4=$B$265,$B$267,IF(AH$4&gt;$B$265,(INT(AH382/$B$267)-INT(AG382/$B$267))*$B$267,0)))</f>
        <v>0</v>
      </c>
      <c r="AI383" s="52" t="n">
        <f aca="false">IF($B$267=0,0,IF(AI$4=$B$265,$B$267,IF(AI$4&gt;$B$265,(INT(AI382/$B$267)-INT(AH382/$B$267))*$B$267,0)))</f>
        <v>0</v>
      </c>
      <c r="AJ383" s="52" t="n">
        <f aca="false">IF($B$267=0,0,IF(AJ$4=$B$265,$B$267,IF(AJ$4&gt;$B$265,(INT(AJ382/$B$267)-INT(AI382/$B$267))*$B$267,0)))</f>
        <v>1000</v>
      </c>
      <c r="AK383" s="52" t="n">
        <f aca="false">IF($B$267=0,0,IF(AK$4=$B$265,$B$267,IF(AK$4&gt;$B$265,(INT(AK382/$B$267)-INT(AJ382/$B$267))*$B$267,0)))</f>
        <v>0</v>
      </c>
      <c r="AL383" s="52" t="n">
        <f aca="false">IF($B$267=0,0,IF(AL$4=$B$265,$B$267,IF(AL$4&gt;$B$265,(INT(AL382/$B$267)-INT(AK382/$B$267))*$B$267,0)))</f>
        <v>0</v>
      </c>
      <c r="AM383" s="53" t="n">
        <f aca="false">SUMIF($C$6:$AL$6,1,C383:AL383)</f>
        <v>1000</v>
      </c>
      <c r="AN383" s="53" t="n">
        <f aca="false">SUMIF($C$6:$AL$6,2,C383:AL383)</f>
        <v>0</v>
      </c>
      <c r="AO383" s="53" t="n">
        <f aca="false">SUMIF($C$6:$AL$6,3,C383:AL383)</f>
        <v>3000</v>
      </c>
      <c r="AP383" s="53" t="n">
        <f aca="false">SUM(C383:AL383)</f>
        <v>4000</v>
      </c>
    </row>
    <row r="384" customFormat="false" ht="15" hidden="false" customHeight="false" outlineLevel="0" collapsed="false">
      <c r="A384" s="7" t="s">
        <v>800</v>
      </c>
      <c r="B384" s="9" t="s">
        <v>101</v>
      </c>
      <c r="C384" s="8" t="n">
        <f aca="false">C383*Assumptions!$C$57</f>
        <v>0</v>
      </c>
      <c r="D384" s="8" t="n">
        <f aca="false">D383*Assumptions!$C$57</f>
        <v>0</v>
      </c>
      <c r="E384" s="8" t="n">
        <f aca="false">E383*Assumptions!$C$57</f>
        <v>0</v>
      </c>
      <c r="F384" s="8" t="n">
        <f aca="false">F383*Assumptions!$C$57</f>
        <v>0</v>
      </c>
      <c r="G384" s="8" t="n">
        <f aca="false">G383*Assumptions!$C$57</f>
        <v>0</v>
      </c>
      <c r="H384" s="8" t="n">
        <f aca="false">H383*Assumptions!$C$57</f>
        <v>0</v>
      </c>
      <c r="I384" s="8" t="n">
        <f aca="false">I383*Assumptions!$C$57</f>
        <v>0</v>
      </c>
      <c r="J384" s="8" t="n">
        <f aca="false">J383*Assumptions!$C$57</f>
        <v>3625</v>
      </c>
      <c r="K384" s="8" t="n">
        <f aca="false">K383*Assumptions!$C$57</f>
        <v>0</v>
      </c>
      <c r="L384" s="8" t="n">
        <f aca="false">L383*Assumptions!$C$57</f>
        <v>0</v>
      </c>
      <c r="M384" s="8" t="n">
        <f aca="false">M383*Assumptions!$C$57</f>
        <v>0</v>
      </c>
      <c r="N384" s="8" t="n">
        <f aca="false">N383*Assumptions!$C$57</f>
        <v>0</v>
      </c>
      <c r="O384" s="8" t="n">
        <f aca="false">O383*Assumptions!$C$57</f>
        <v>0</v>
      </c>
      <c r="P384" s="8" t="n">
        <f aca="false">P383*Assumptions!$C$57</f>
        <v>0</v>
      </c>
      <c r="Q384" s="8" t="n">
        <f aca="false">Q383*Assumptions!$C$57</f>
        <v>0</v>
      </c>
      <c r="R384" s="8" t="n">
        <f aca="false">R383*Assumptions!$C$57</f>
        <v>0</v>
      </c>
      <c r="S384" s="8" t="n">
        <f aca="false">S383*Assumptions!$C$57</f>
        <v>0</v>
      </c>
      <c r="T384" s="8" t="n">
        <f aca="false">T383*Assumptions!$C$57</f>
        <v>0</v>
      </c>
      <c r="U384" s="8" t="n">
        <f aca="false">U383*Assumptions!$C$57</f>
        <v>0</v>
      </c>
      <c r="V384" s="8" t="n">
        <f aca="false">V383*Assumptions!$C$57</f>
        <v>0</v>
      </c>
      <c r="W384" s="8" t="n">
        <f aca="false">W383*Assumptions!$C$57</f>
        <v>0</v>
      </c>
      <c r="X384" s="8" t="n">
        <f aca="false">X383*Assumptions!$C$57</f>
        <v>0</v>
      </c>
      <c r="Y384" s="8" t="n">
        <f aca="false">Y383*Assumptions!$C$57</f>
        <v>0</v>
      </c>
      <c r="Z384" s="8" t="n">
        <f aca="false">Z383*Assumptions!$C$57</f>
        <v>0</v>
      </c>
      <c r="AA384" s="8" t="n">
        <f aca="false">AA383*Assumptions!$C$57</f>
        <v>0</v>
      </c>
      <c r="AB384" s="8" t="n">
        <f aca="false">AB383*Assumptions!$C$57</f>
        <v>3625</v>
      </c>
      <c r="AC384" s="8" t="n">
        <f aca="false">AC383*Assumptions!$C$57</f>
        <v>0</v>
      </c>
      <c r="AD384" s="8" t="n">
        <f aca="false">AD383*Assumptions!$C$57</f>
        <v>0</v>
      </c>
      <c r="AE384" s="8" t="n">
        <f aca="false">AE383*Assumptions!$C$57</f>
        <v>0</v>
      </c>
      <c r="AF384" s="8" t="n">
        <f aca="false">AF383*Assumptions!$C$57</f>
        <v>0</v>
      </c>
      <c r="AG384" s="8" t="n">
        <f aca="false">AG383*Assumptions!$C$57</f>
        <v>3625</v>
      </c>
      <c r="AH384" s="8" t="n">
        <f aca="false">AH383*Assumptions!$C$57</f>
        <v>0</v>
      </c>
      <c r="AI384" s="8" t="n">
        <f aca="false">AI383*Assumptions!$C$57</f>
        <v>0</v>
      </c>
      <c r="AJ384" s="8" t="n">
        <f aca="false">AJ383*Assumptions!$C$57</f>
        <v>3625</v>
      </c>
      <c r="AK384" s="8" t="n">
        <f aca="false">AK383*Assumptions!$C$57</f>
        <v>0</v>
      </c>
      <c r="AL384" s="8" t="n">
        <f aca="false">AL383*Assumptions!$C$57</f>
        <v>0</v>
      </c>
      <c r="AM384" s="45" t="n">
        <f aca="false">SUMIF($C$6:$AL$6,1,C384:AL384)</f>
        <v>3625</v>
      </c>
      <c r="AN384" s="45" t="n">
        <f aca="false">SUMIF($C$6:$AL$6,2,C384:AL384)</f>
        <v>0</v>
      </c>
      <c r="AO384" s="45" t="n">
        <f aca="false">SUMIF($C$6:$AL$6,3,C384:AL384)</f>
        <v>10875</v>
      </c>
      <c r="AP384" s="45" t="n">
        <f aca="false">SUM(C384:AL384)</f>
        <v>14500</v>
      </c>
    </row>
    <row r="385" customFormat="false" ht="15" hidden="false" customHeight="false" outlineLevel="0" collapsed="false">
      <c r="A385" s="7" t="s">
        <v>801</v>
      </c>
      <c r="B385" s="9" t="s">
        <v>239</v>
      </c>
      <c r="C385" s="52" t="n">
        <f aca="false">C383</f>
        <v>0</v>
      </c>
      <c r="D385" s="52" t="n">
        <f aca="false">D383+C385</f>
        <v>0</v>
      </c>
      <c r="E385" s="52" t="n">
        <f aca="false">E383+D385</f>
        <v>0</v>
      </c>
      <c r="F385" s="52" t="n">
        <f aca="false">F383+E385</f>
        <v>0</v>
      </c>
      <c r="G385" s="52" t="n">
        <f aca="false">G383+F385</f>
        <v>0</v>
      </c>
      <c r="H385" s="52" t="n">
        <f aca="false">H383+G385</f>
        <v>0</v>
      </c>
      <c r="I385" s="52" t="n">
        <f aca="false">I383+H385</f>
        <v>0</v>
      </c>
      <c r="J385" s="52" t="n">
        <f aca="false">J383+I385</f>
        <v>1000</v>
      </c>
      <c r="K385" s="52" t="n">
        <f aca="false">K383+J385</f>
        <v>1000</v>
      </c>
      <c r="L385" s="52" t="n">
        <f aca="false">L383+K385</f>
        <v>1000</v>
      </c>
      <c r="M385" s="52" t="n">
        <f aca="false">M383+L385</f>
        <v>1000</v>
      </c>
      <c r="N385" s="52" t="n">
        <f aca="false">N383+M385</f>
        <v>1000</v>
      </c>
      <c r="O385" s="52" t="n">
        <f aca="false">O383+N385</f>
        <v>1000</v>
      </c>
      <c r="P385" s="52" t="n">
        <f aca="false">P383+O385</f>
        <v>1000</v>
      </c>
      <c r="Q385" s="52" t="n">
        <f aca="false">Q383+P385</f>
        <v>1000</v>
      </c>
      <c r="R385" s="52" t="n">
        <f aca="false">R383+Q385</f>
        <v>1000</v>
      </c>
      <c r="S385" s="52" t="n">
        <f aca="false">S383+R385</f>
        <v>1000</v>
      </c>
      <c r="T385" s="52" t="n">
        <f aca="false">T383+S385</f>
        <v>1000</v>
      </c>
      <c r="U385" s="52" t="n">
        <f aca="false">U383+T385</f>
        <v>1000</v>
      </c>
      <c r="V385" s="52" t="n">
        <f aca="false">V383+U385</f>
        <v>1000</v>
      </c>
      <c r="W385" s="52" t="n">
        <f aca="false">W383+V385</f>
        <v>1000</v>
      </c>
      <c r="X385" s="52" t="n">
        <f aca="false">X383+W385</f>
        <v>1000</v>
      </c>
      <c r="Y385" s="52" t="n">
        <f aca="false">Y383+X385</f>
        <v>1000</v>
      </c>
      <c r="Z385" s="52" t="n">
        <f aca="false">Z383+Y385</f>
        <v>1000</v>
      </c>
      <c r="AA385" s="52" t="n">
        <f aca="false">AA383+Z385</f>
        <v>1000</v>
      </c>
      <c r="AB385" s="52" t="n">
        <f aca="false">AB383+AA385</f>
        <v>2000</v>
      </c>
      <c r="AC385" s="52" t="n">
        <f aca="false">AC383+AB385</f>
        <v>2000</v>
      </c>
      <c r="AD385" s="52" t="n">
        <f aca="false">AD383+AC385</f>
        <v>2000</v>
      </c>
      <c r="AE385" s="52" t="n">
        <f aca="false">AE383+AD385</f>
        <v>2000</v>
      </c>
      <c r="AF385" s="52" t="n">
        <f aca="false">AF383+AE385</f>
        <v>2000</v>
      </c>
      <c r="AG385" s="52" t="n">
        <f aca="false">AG383+AF385</f>
        <v>3000</v>
      </c>
      <c r="AH385" s="52" t="n">
        <f aca="false">AH383+AG385</f>
        <v>3000</v>
      </c>
      <c r="AI385" s="52" t="n">
        <f aca="false">AI383+AH385</f>
        <v>3000</v>
      </c>
      <c r="AJ385" s="52" t="n">
        <f aca="false">AJ383+AI385</f>
        <v>4000</v>
      </c>
      <c r="AK385" s="52" t="n">
        <f aca="false">AK383+AJ385</f>
        <v>4000</v>
      </c>
      <c r="AL385" s="52" t="n">
        <f aca="false">AL383+AK385</f>
        <v>4000</v>
      </c>
      <c r="AM385" s="53" t="n">
        <f aca="false">N385</f>
        <v>1000</v>
      </c>
      <c r="AN385" s="53" t="n">
        <f aca="false">Z385</f>
        <v>1000</v>
      </c>
      <c r="AO385" s="53" t="n">
        <f aca="false">AL385</f>
        <v>4000</v>
      </c>
      <c r="AP385" s="53" t="n">
        <f aca="false">AL385</f>
        <v>4000</v>
      </c>
    </row>
    <row r="386" customFormat="false" ht="15" hidden="false" customHeight="false" outlineLevel="0" collapsed="false">
      <c r="A386" s="7" t="s">
        <v>802</v>
      </c>
      <c r="B386" s="9" t="s">
        <v>239</v>
      </c>
      <c r="C386" s="52" t="n">
        <f aca="false">C385-C382</f>
        <v>0</v>
      </c>
      <c r="D386" s="52" t="n">
        <f aca="false">D385-D382</f>
        <v>0</v>
      </c>
      <c r="E386" s="52" t="n">
        <f aca="false">E385-E382</f>
        <v>0</v>
      </c>
      <c r="F386" s="52" t="n">
        <f aca="false">F385-F382</f>
        <v>0</v>
      </c>
      <c r="G386" s="52" t="n">
        <f aca="false">G385-G382</f>
        <v>-2.925</v>
      </c>
      <c r="H386" s="52" t="n">
        <f aca="false">H385-H382</f>
        <v>-9.815</v>
      </c>
      <c r="I386" s="52" t="n">
        <f aca="false">I385-I382</f>
        <v>-21.317855</v>
      </c>
      <c r="J386" s="52" t="n">
        <f aca="false">J385-J382</f>
        <v>963.9730974</v>
      </c>
      <c r="K386" s="52" t="n">
        <f aca="false">K385-K382</f>
        <v>943.4578468</v>
      </c>
      <c r="L386" s="52" t="n">
        <f aca="false">L385-L382</f>
        <v>918.66721797496</v>
      </c>
      <c r="M386" s="52" t="n">
        <f aca="false">M385-M382</f>
        <v>895.155263689317</v>
      </c>
      <c r="N386" s="52" t="n">
        <f aca="false">N385-N382</f>
        <v>870.232592146535</v>
      </c>
      <c r="O386" s="52" t="n">
        <f aca="false">O385-O382</f>
        <v>840.985104071329</v>
      </c>
      <c r="P386" s="52" t="n">
        <f aca="false">P385-P382</f>
        <v>798.961081731692</v>
      </c>
      <c r="Q386" s="52" t="n">
        <f aca="false">Q385-Q382</f>
        <v>753.138734295971</v>
      </c>
      <c r="R386" s="52" t="n">
        <f aca="false">R385-R382</f>
        <v>708.589229844577</v>
      </c>
      <c r="S386" s="52" t="n">
        <f aca="false">S385-S382</f>
        <v>674.909804479322</v>
      </c>
      <c r="T386" s="52" t="n">
        <f aca="false">T385-T382</f>
        <v>635.617141553192</v>
      </c>
      <c r="U386" s="52" t="n">
        <f aca="false">U385-U382</f>
        <v>592.296980677133</v>
      </c>
      <c r="V386" s="52" t="n">
        <f aca="false">V385-V382</f>
        <v>551.142827844878</v>
      </c>
      <c r="W386" s="52" t="n">
        <f aca="false">W385-W382</f>
        <v>505.656658925016</v>
      </c>
      <c r="X386" s="52" t="n">
        <f aca="false">X385-X382</f>
        <v>446.034205427455</v>
      </c>
      <c r="Y386" s="52" t="n">
        <f aca="false">Y385-Y382</f>
        <v>375.86797937843</v>
      </c>
      <c r="Z386" s="52" t="n">
        <f aca="false">Z385-Z382</f>
        <v>286.495642026953</v>
      </c>
      <c r="AA386" s="52" t="n">
        <f aca="false">AA385-AA382</f>
        <v>163.168234146459</v>
      </c>
      <c r="AB386" s="52" t="n">
        <f aca="false">AB385-AB382</f>
        <v>957.899086677006</v>
      </c>
      <c r="AC386" s="52" t="n">
        <f aca="false">AC385-AC382</f>
        <v>701.698679641594</v>
      </c>
      <c r="AD386" s="52" t="n">
        <f aca="false">AD385-AD382</f>
        <v>449.094432129525</v>
      </c>
      <c r="AE386" s="52" t="n">
        <f aca="false">AE385-AE382</f>
        <v>255.336281166651</v>
      </c>
      <c r="AF386" s="52" t="n">
        <f aca="false">AF385-AF382</f>
        <v>25.8786325218548</v>
      </c>
      <c r="AG386" s="52" t="n">
        <f aca="false">AG385-AG382</f>
        <v>768.974540268926</v>
      </c>
      <c r="AH386" s="52" t="n">
        <f aca="false">AH385-AH382</f>
        <v>521.018648564729</v>
      </c>
      <c r="AI386" s="52" t="n">
        <f aca="false">AI385-AI382</f>
        <v>242.467098229294</v>
      </c>
      <c r="AJ386" s="52" t="n">
        <f aca="false">AJ385-AJ382</f>
        <v>959.936649513662</v>
      </c>
      <c r="AK386" s="52" t="n">
        <f aca="false">AK385-AK382</f>
        <v>689.93053528995</v>
      </c>
      <c r="AL386" s="52" t="n">
        <f aca="false">AL385-AL382</f>
        <v>401.421676886947</v>
      </c>
      <c r="AM386" s="53" t="n">
        <f aca="false">N386</f>
        <v>870.232592146535</v>
      </c>
      <c r="AN386" s="53" t="n">
        <f aca="false">Z386</f>
        <v>286.495642026953</v>
      </c>
      <c r="AO386" s="53" t="n">
        <f aca="false">AL386</f>
        <v>401.421676886947</v>
      </c>
      <c r="AP386" s="53" t="n">
        <f aca="false">AL386</f>
        <v>401.421676886947</v>
      </c>
    </row>
    <row r="387" customFormat="false" ht="15" hidden="false" customHeight="false" outlineLevel="0" collapsed="false">
      <c r="A387" s="5" t="s">
        <v>803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</row>
    <row r="388" customFormat="false" ht="15" hidden="false" customHeight="false" outlineLevel="0" collapsed="false">
      <c r="A388" s="7" t="s">
        <v>804</v>
      </c>
      <c r="B388" s="9" t="s">
        <v>71</v>
      </c>
      <c r="C388" s="42" t="str">
        <f aca="false">IF(C375&gt;=0,C$4,"")</f>
        <v/>
      </c>
      <c r="D388" s="42" t="str">
        <f aca="false">IF(D375&gt;=0,D$4,"")</f>
        <v/>
      </c>
      <c r="E388" s="42" t="str">
        <f aca="false">IF(E375&gt;=0,E$4,"")</f>
        <v/>
      </c>
      <c r="F388" s="42" t="str">
        <f aca="false">IF(F375&gt;=0,F$4,"")</f>
        <v/>
      </c>
      <c r="G388" s="42" t="str">
        <f aca="false">IF(G375&gt;=0,G$4,"")</f>
        <v/>
      </c>
      <c r="H388" s="42" t="n">
        <f aca="false">IF(H375&gt;=0,H$4,"")</f>
        <v>6</v>
      </c>
      <c r="I388" s="42" t="str">
        <f aca="false">IF(I375&gt;=0,I$4,"")</f>
        <v/>
      </c>
      <c r="J388" s="42" t="n">
        <f aca="false">IF(J375&gt;=0,J$4,"")</f>
        <v>8</v>
      </c>
      <c r="K388" s="42" t="n">
        <f aca="false">IF(K375&gt;=0,K$4,"")</f>
        <v>9</v>
      </c>
      <c r="L388" s="42" t="n">
        <f aca="false">IF(L375&gt;=0,L$4,"")</f>
        <v>10</v>
      </c>
      <c r="M388" s="42" t="n">
        <f aca="false">IF(M375&gt;=0,M$4,"")</f>
        <v>11</v>
      </c>
      <c r="N388" s="42" t="n">
        <f aca="false">IF(N375&gt;=0,N$4,"")</f>
        <v>12</v>
      </c>
      <c r="O388" s="42" t="n">
        <f aca="false">IF(O375&gt;=0,O$4,"")</f>
        <v>13</v>
      </c>
      <c r="P388" s="42" t="n">
        <f aca="false">IF(P375&gt;=0,P$4,"")</f>
        <v>14</v>
      </c>
      <c r="Q388" s="42" t="n">
        <f aca="false">IF(Q375&gt;=0,Q$4,"")</f>
        <v>15</v>
      </c>
      <c r="R388" s="42" t="n">
        <f aca="false">IF(R375&gt;=0,R$4,"")</f>
        <v>16</v>
      </c>
      <c r="S388" s="42" t="n">
        <f aca="false">IF(S375&gt;=0,S$4,"")</f>
        <v>17</v>
      </c>
      <c r="T388" s="42" t="n">
        <f aca="false">IF(T375&gt;=0,T$4,"")</f>
        <v>18</v>
      </c>
      <c r="U388" s="42" t="n">
        <f aca="false">IF(U375&gt;=0,U$4,"")</f>
        <v>19</v>
      </c>
      <c r="V388" s="42" t="n">
        <f aca="false">IF(V375&gt;=0,V$4,"")</f>
        <v>20</v>
      </c>
      <c r="W388" s="42" t="n">
        <f aca="false">IF(W375&gt;=0,W$4,"")</f>
        <v>21</v>
      </c>
      <c r="X388" s="42" t="n">
        <f aca="false">IF(X375&gt;=0,X$4,"")</f>
        <v>22</v>
      </c>
      <c r="Y388" s="42" t="n">
        <f aca="false">IF(Y375&gt;=0,Y$4,"")</f>
        <v>23</v>
      </c>
      <c r="Z388" s="42" t="n">
        <f aca="false">IF(Z375&gt;=0,Z$4,"")</f>
        <v>24</v>
      </c>
      <c r="AA388" s="42" t="n">
        <f aca="false">IF(AA375&gt;=0,AA$4,"")</f>
        <v>25</v>
      </c>
      <c r="AB388" s="42" t="n">
        <f aca="false">IF(AB375&gt;=0,AB$4,"")</f>
        <v>26</v>
      </c>
      <c r="AC388" s="42" t="n">
        <f aca="false">IF(AC375&gt;=0,AC$4,"")</f>
        <v>27</v>
      </c>
      <c r="AD388" s="42" t="n">
        <f aca="false">IF(AD375&gt;=0,AD$4,"")</f>
        <v>28</v>
      </c>
      <c r="AE388" s="42" t="n">
        <f aca="false">IF(AE375&gt;=0,AE$4,"")</f>
        <v>29</v>
      </c>
      <c r="AF388" s="42" t="n">
        <f aca="false">IF(AF375&gt;=0,AF$4,"")</f>
        <v>30</v>
      </c>
      <c r="AG388" s="42" t="n">
        <f aca="false">IF(AG375&gt;=0,AG$4,"")</f>
        <v>31</v>
      </c>
      <c r="AH388" s="42" t="n">
        <f aca="false">IF(AH375&gt;=0,AH$4,"")</f>
        <v>32</v>
      </c>
      <c r="AI388" s="42" t="n">
        <f aca="false">IF(AI375&gt;=0,AI$4,"")</f>
        <v>33</v>
      </c>
      <c r="AJ388" s="42" t="n">
        <f aca="false">IF(AJ375&gt;=0,AJ$4,"")</f>
        <v>34</v>
      </c>
      <c r="AK388" s="42" t="n">
        <f aca="false">IF(AK375&gt;=0,AK$4,"")</f>
        <v>35</v>
      </c>
      <c r="AL388" s="42" t="n">
        <f aca="false">IF(AL375&gt;=0,AL$4,"")</f>
        <v>36</v>
      </c>
    </row>
    <row r="389" customFormat="false" ht="15" hidden="false" customHeight="false" outlineLevel="0" collapsed="false">
      <c r="A389" s="7" t="s">
        <v>805</v>
      </c>
      <c r="B389" s="9" t="s">
        <v>71</v>
      </c>
      <c r="C389" s="42" t="str">
        <f aca="false">IF(COUNTIF(C375:$AL375,"&lt;0")=0,C$4,"")</f>
        <v/>
      </c>
      <c r="D389" s="42" t="str">
        <f aca="false">IF(COUNTIF(D375:$AL375,"&lt;0")=0,D$4,"")</f>
        <v/>
      </c>
      <c r="E389" s="42" t="str">
        <f aca="false">IF(COUNTIF(E375:$AL375,"&lt;0")=0,E$4,"")</f>
        <v/>
      </c>
      <c r="F389" s="42" t="str">
        <f aca="false">IF(COUNTIF(F375:$AL375,"&lt;0")=0,F$4,"")</f>
        <v/>
      </c>
      <c r="G389" s="42" t="str">
        <f aca="false">IF(COUNTIF(G375:$AL375,"&lt;0")=0,G$4,"")</f>
        <v/>
      </c>
      <c r="H389" s="42" t="str">
        <f aca="false">IF(COUNTIF(H375:$AL375,"&lt;0")=0,H$4,"")</f>
        <v/>
      </c>
      <c r="I389" s="42" t="str">
        <f aca="false">IF(COUNTIF(I375:$AL375,"&lt;0")=0,I$4,"")</f>
        <v/>
      </c>
      <c r="J389" s="42" t="n">
        <f aca="false">IF(COUNTIF(J375:$AL375,"&lt;0")=0,J$4,"")</f>
        <v>8</v>
      </c>
      <c r="K389" s="42" t="n">
        <f aca="false">IF(COUNTIF(K375:$AL375,"&lt;0")=0,K$4,"")</f>
        <v>9</v>
      </c>
      <c r="L389" s="42" t="n">
        <f aca="false">IF(COUNTIF(L375:$AL375,"&lt;0")=0,L$4,"")</f>
        <v>10</v>
      </c>
      <c r="M389" s="42" t="n">
        <f aca="false">IF(COUNTIF(M375:$AL375,"&lt;0")=0,M$4,"")</f>
        <v>11</v>
      </c>
      <c r="N389" s="42" t="n">
        <f aca="false">IF(COUNTIF(N375:$AL375,"&lt;0")=0,N$4,"")</f>
        <v>12</v>
      </c>
      <c r="O389" s="42" t="n">
        <f aca="false">IF(COUNTIF(O375:$AL375,"&lt;0")=0,O$4,"")</f>
        <v>13</v>
      </c>
      <c r="P389" s="42" t="n">
        <f aca="false">IF(COUNTIF(P375:$AL375,"&lt;0")=0,P$4,"")</f>
        <v>14</v>
      </c>
      <c r="Q389" s="42" t="n">
        <f aca="false">IF(COUNTIF(Q375:$AL375,"&lt;0")=0,Q$4,"")</f>
        <v>15</v>
      </c>
      <c r="R389" s="42" t="n">
        <f aca="false">IF(COUNTIF(R375:$AL375,"&lt;0")=0,R$4,"")</f>
        <v>16</v>
      </c>
      <c r="S389" s="42" t="n">
        <f aca="false">IF(COUNTIF(S375:$AL375,"&lt;0")=0,S$4,"")</f>
        <v>17</v>
      </c>
      <c r="T389" s="42" t="n">
        <f aca="false">IF(COUNTIF(T375:$AL375,"&lt;0")=0,T$4,"")</f>
        <v>18</v>
      </c>
      <c r="U389" s="42" t="n">
        <f aca="false">IF(COUNTIF(U375:$AL375,"&lt;0")=0,U$4,"")</f>
        <v>19</v>
      </c>
      <c r="V389" s="42" t="n">
        <f aca="false">IF(COUNTIF(V375:$AL375,"&lt;0")=0,V$4,"")</f>
        <v>20</v>
      </c>
      <c r="W389" s="42" t="n">
        <f aca="false">IF(COUNTIF(W375:$AL375,"&lt;0")=0,W$4,"")</f>
        <v>21</v>
      </c>
      <c r="X389" s="42" t="n">
        <f aca="false">IF(COUNTIF(X375:$AL375,"&lt;0")=0,X$4,"")</f>
        <v>22</v>
      </c>
      <c r="Y389" s="42" t="n">
        <f aca="false">IF(COUNTIF(Y375:$AL375,"&lt;0")=0,Y$4,"")</f>
        <v>23</v>
      </c>
      <c r="Z389" s="42" t="n">
        <f aca="false">IF(COUNTIF(Z375:$AL375,"&lt;0")=0,Z$4,"")</f>
        <v>24</v>
      </c>
      <c r="AA389" s="42" t="n">
        <f aca="false">IF(COUNTIF(AA375:$AL375,"&lt;0")=0,AA$4,"")</f>
        <v>25</v>
      </c>
      <c r="AB389" s="42" t="n">
        <f aca="false">IF(COUNTIF(AB375:$AL375,"&lt;0")=0,AB$4,"")</f>
        <v>26</v>
      </c>
      <c r="AC389" s="42" t="n">
        <f aca="false">IF(COUNTIF(AC375:$AL375,"&lt;0")=0,AC$4,"")</f>
        <v>27</v>
      </c>
      <c r="AD389" s="42" t="n">
        <f aca="false">IF(COUNTIF(AD375:$AL375,"&lt;0")=0,AD$4,"")</f>
        <v>28</v>
      </c>
      <c r="AE389" s="42" t="n">
        <f aca="false">IF(COUNTIF(AE375:$AL375,"&lt;0")=0,AE$4,"")</f>
        <v>29</v>
      </c>
      <c r="AF389" s="42" t="n">
        <f aca="false">IF(COUNTIF(AF375:$AL375,"&lt;0")=0,AF$4,"")</f>
        <v>30</v>
      </c>
      <c r="AG389" s="42" t="n">
        <f aca="false">IF(COUNTIF(AG375:$AL375,"&lt;0")=0,AG$4,"")</f>
        <v>31</v>
      </c>
      <c r="AH389" s="42" t="n">
        <f aca="false">IF(COUNTIF(AH375:$AL375,"&lt;0")=0,AH$4,"")</f>
        <v>32</v>
      </c>
      <c r="AI389" s="42" t="n">
        <f aca="false">IF(COUNTIF(AI375:$AL375,"&lt;0")=0,AI$4,"")</f>
        <v>33</v>
      </c>
      <c r="AJ389" s="42" t="n">
        <f aca="false">IF(COUNTIF(AJ375:$AL375,"&lt;0")=0,AJ$4,"")</f>
        <v>34</v>
      </c>
      <c r="AK389" s="42" t="n">
        <f aca="false">IF(COUNTIF(AK375:$AL375,"&lt;0")=0,AK$4,"")</f>
        <v>35</v>
      </c>
      <c r="AL389" s="42" t="n">
        <f aca="false">IF(COUNTIF(AL375:$AL375,"&lt;0")=0,AL$4,"")</f>
        <v>36</v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AP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18" t="s">
        <v>808</v>
      </c>
    </row>
    <row r="2" customFormat="false" ht="27.75" hidden="false" customHeight="true" outlineLevel="0" collapsed="false">
      <c r="A2" s="2" t="s">
        <v>809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741</v>
      </c>
      <c r="C4" s="38" t="n">
        <f aca="false">'36-Month Forecast'!C4</f>
        <v>1</v>
      </c>
      <c r="D4" s="38" t="n">
        <f aca="false">'36-Month Forecast'!D4</f>
        <v>2</v>
      </c>
      <c r="E4" s="38" t="n">
        <f aca="false">'36-Month Forecast'!E4</f>
        <v>3</v>
      </c>
      <c r="F4" s="38" t="n">
        <f aca="false">'36-Month Forecast'!F4</f>
        <v>4</v>
      </c>
      <c r="G4" s="38" t="n">
        <f aca="false">'36-Month Forecast'!G4</f>
        <v>5</v>
      </c>
      <c r="H4" s="38" t="n">
        <f aca="false">'36-Month Forecast'!H4</f>
        <v>6</v>
      </c>
      <c r="I4" s="38" t="n">
        <f aca="false">'36-Month Forecast'!I4</f>
        <v>7</v>
      </c>
      <c r="J4" s="38" t="n">
        <f aca="false">'36-Month Forecast'!J4</f>
        <v>8</v>
      </c>
      <c r="K4" s="38" t="n">
        <f aca="false">'36-Month Forecast'!K4</f>
        <v>9</v>
      </c>
      <c r="L4" s="38" t="n">
        <f aca="false">'36-Month Forecast'!L4</f>
        <v>10</v>
      </c>
      <c r="M4" s="38" t="n">
        <f aca="false">'36-Month Forecast'!M4</f>
        <v>11</v>
      </c>
      <c r="N4" s="38" t="n">
        <f aca="false">'36-Month Forecast'!N4</f>
        <v>12</v>
      </c>
      <c r="O4" s="38" t="n">
        <f aca="false">'36-Month Forecast'!O4</f>
        <v>13</v>
      </c>
      <c r="P4" s="38" t="n">
        <f aca="false">'36-Month Forecast'!P4</f>
        <v>14</v>
      </c>
      <c r="Q4" s="38" t="n">
        <f aca="false">'36-Month Forecast'!Q4</f>
        <v>15</v>
      </c>
      <c r="R4" s="38" t="n">
        <f aca="false">'36-Month Forecast'!R4</f>
        <v>16</v>
      </c>
      <c r="S4" s="38" t="n">
        <f aca="false">'36-Month Forecast'!S4</f>
        <v>17</v>
      </c>
      <c r="T4" s="38" t="n">
        <f aca="false">'36-Month Forecast'!T4</f>
        <v>18</v>
      </c>
      <c r="U4" s="38" t="n">
        <f aca="false">'36-Month Forecast'!U4</f>
        <v>19</v>
      </c>
      <c r="V4" s="38" t="n">
        <f aca="false">'36-Month Forecast'!V4</f>
        <v>20</v>
      </c>
      <c r="W4" s="38" t="n">
        <f aca="false">'36-Month Forecast'!W4</f>
        <v>21</v>
      </c>
      <c r="X4" s="38" t="n">
        <f aca="false">'36-Month Forecast'!X4</f>
        <v>22</v>
      </c>
      <c r="Y4" s="38" t="n">
        <f aca="false">'36-Month Forecast'!Y4</f>
        <v>23</v>
      </c>
      <c r="Z4" s="38" t="n">
        <f aca="false">'36-Month Forecast'!Z4</f>
        <v>24</v>
      </c>
      <c r="AA4" s="38" t="n">
        <f aca="false">'36-Month Forecast'!AA4</f>
        <v>25</v>
      </c>
      <c r="AB4" s="38" t="n">
        <f aca="false">'36-Month Forecast'!AB4</f>
        <v>26</v>
      </c>
      <c r="AC4" s="38" t="n">
        <f aca="false">'36-Month Forecast'!AC4</f>
        <v>27</v>
      </c>
      <c r="AD4" s="38" t="n">
        <f aca="false">'36-Month Forecast'!AD4</f>
        <v>28</v>
      </c>
      <c r="AE4" s="38" t="n">
        <f aca="false">'36-Month Forecast'!AE4</f>
        <v>29</v>
      </c>
      <c r="AF4" s="38" t="n">
        <f aca="false">'36-Month Forecast'!AF4</f>
        <v>30</v>
      </c>
      <c r="AG4" s="38" t="n">
        <f aca="false">'36-Month Forecast'!AG4</f>
        <v>31</v>
      </c>
      <c r="AH4" s="38" t="n">
        <f aca="false">'36-Month Forecast'!AH4</f>
        <v>32</v>
      </c>
      <c r="AI4" s="38" t="n">
        <f aca="false">'36-Month Forecast'!AI4</f>
        <v>33</v>
      </c>
      <c r="AJ4" s="38" t="n">
        <f aca="false">'36-Month Forecast'!AJ4</f>
        <v>34</v>
      </c>
      <c r="AK4" s="38" t="n">
        <f aca="false">'36-Month Forecast'!AK4</f>
        <v>35</v>
      </c>
      <c r="AL4" s="38" t="n">
        <f aca="false">'36-Month Forecast'!AL4</f>
        <v>36</v>
      </c>
    </row>
    <row r="5" customFormat="false" ht="15" hidden="false" customHeight="false" outlineLevel="0" collapsed="false">
      <c r="A5" s="10" t="s">
        <v>745</v>
      </c>
      <c r="C5" s="48" t="n">
        <f aca="false">'36-Month Forecast'!C5</f>
        <v>46296</v>
      </c>
      <c r="D5" s="48" t="n">
        <f aca="false">'36-Month Forecast'!D5</f>
        <v>46327</v>
      </c>
      <c r="E5" s="48" t="n">
        <f aca="false">'36-Month Forecast'!E5</f>
        <v>46357</v>
      </c>
      <c r="F5" s="48" t="n">
        <f aca="false">'36-Month Forecast'!F5</f>
        <v>46388</v>
      </c>
      <c r="G5" s="48" t="n">
        <f aca="false">'36-Month Forecast'!G5</f>
        <v>46419</v>
      </c>
      <c r="H5" s="48" t="n">
        <f aca="false">'36-Month Forecast'!H5</f>
        <v>46447</v>
      </c>
      <c r="I5" s="48" t="n">
        <f aca="false">'36-Month Forecast'!I5</f>
        <v>46478</v>
      </c>
      <c r="J5" s="48" t="n">
        <f aca="false">'36-Month Forecast'!J5</f>
        <v>46508</v>
      </c>
      <c r="K5" s="48" t="n">
        <f aca="false">'36-Month Forecast'!K5</f>
        <v>46539</v>
      </c>
      <c r="L5" s="48" t="n">
        <f aca="false">'36-Month Forecast'!L5</f>
        <v>46569</v>
      </c>
      <c r="M5" s="48" t="n">
        <f aca="false">'36-Month Forecast'!M5</f>
        <v>46600</v>
      </c>
      <c r="N5" s="48" t="n">
        <f aca="false">'36-Month Forecast'!N5</f>
        <v>46631</v>
      </c>
      <c r="O5" s="48" t="n">
        <f aca="false">'36-Month Forecast'!O5</f>
        <v>46661</v>
      </c>
      <c r="P5" s="48" t="n">
        <f aca="false">'36-Month Forecast'!P5</f>
        <v>46692</v>
      </c>
      <c r="Q5" s="48" t="n">
        <f aca="false">'36-Month Forecast'!Q5</f>
        <v>46722</v>
      </c>
      <c r="R5" s="48" t="n">
        <f aca="false">'36-Month Forecast'!R5</f>
        <v>46753</v>
      </c>
      <c r="S5" s="48" t="n">
        <f aca="false">'36-Month Forecast'!S5</f>
        <v>46784</v>
      </c>
      <c r="T5" s="48" t="n">
        <f aca="false">'36-Month Forecast'!T5</f>
        <v>46813</v>
      </c>
      <c r="U5" s="48" t="n">
        <f aca="false">'36-Month Forecast'!U5</f>
        <v>46844</v>
      </c>
      <c r="V5" s="48" t="n">
        <f aca="false">'36-Month Forecast'!V5</f>
        <v>46874</v>
      </c>
      <c r="W5" s="48" t="n">
        <f aca="false">'36-Month Forecast'!W5</f>
        <v>46905</v>
      </c>
      <c r="X5" s="48" t="n">
        <f aca="false">'36-Month Forecast'!X5</f>
        <v>46935</v>
      </c>
      <c r="Y5" s="48" t="n">
        <f aca="false">'36-Month Forecast'!Y5</f>
        <v>46966</v>
      </c>
      <c r="Z5" s="48" t="n">
        <f aca="false">'36-Month Forecast'!Z5</f>
        <v>46997</v>
      </c>
      <c r="AA5" s="48" t="n">
        <f aca="false">'36-Month Forecast'!AA5</f>
        <v>47027</v>
      </c>
      <c r="AB5" s="48" t="n">
        <f aca="false">'36-Month Forecast'!AB5</f>
        <v>47058</v>
      </c>
      <c r="AC5" s="48" t="n">
        <f aca="false">'36-Month Forecast'!AC5</f>
        <v>47088</v>
      </c>
      <c r="AD5" s="48" t="n">
        <f aca="false">'36-Month Forecast'!AD5</f>
        <v>47119</v>
      </c>
      <c r="AE5" s="48" t="n">
        <f aca="false">'36-Month Forecast'!AE5</f>
        <v>47150</v>
      </c>
      <c r="AF5" s="48" t="n">
        <f aca="false">'36-Month Forecast'!AF5</f>
        <v>47178</v>
      </c>
      <c r="AG5" s="48" t="n">
        <f aca="false">'36-Month Forecast'!AG5</f>
        <v>47209</v>
      </c>
      <c r="AH5" s="48" t="n">
        <f aca="false">'36-Month Forecast'!AH5</f>
        <v>47239</v>
      </c>
      <c r="AI5" s="48" t="n">
        <f aca="false">'36-Month Forecast'!AI5</f>
        <v>47270</v>
      </c>
      <c r="AJ5" s="48" t="n">
        <f aca="false">'36-Month Forecast'!AJ5</f>
        <v>47300</v>
      </c>
      <c r="AK5" s="48" t="n">
        <f aca="false">'36-Month Forecast'!AK5</f>
        <v>47331</v>
      </c>
      <c r="AL5" s="48" t="n">
        <f aca="false">'36-Month Forecast'!AL5</f>
        <v>47362</v>
      </c>
      <c r="AM5" s="4" t="s">
        <v>57</v>
      </c>
      <c r="AN5" s="4" t="s">
        <v>58</v>
      </c>
      <c r="AO5" s="4" t="s">
        <v>59</v>
      </c>
      <c r="AP5" s="4" t="s">
        <v>746</v>
      </c>
    </row>
    <row r="6" customFormat="false" ht="15" hidden="false" customHeight="false" outlineLevel="0" collapsed="false">
      <c r="A6" s="10" t="s">
        <v>747</v>
      </c>
      <c r="C6" s="38" t="n">
        <f aca="false">'36-Month Forecast'!C6</f>
        <v>1</v>
      </c>
      <c r="D6" s="38" t="n">
        <f aca="false">'36-Month Forecast'!D6</f>
        <v>1</v>
      </c>
      <c r="E6" s="38" t="n">
        <f aca="false">'36-Month Forecast'!E6</f>
        <v>1</v>
      </c>
      <c r="F6" s="38" t="n">
        <f aca="false">'36-Month Forecast'!F6</f>
        <v>1</v>
      </c>
      <c r="G6" s="38" t="n">
        <f aca="false">'36-Month Forecast'!G6</f>
        <v>1</v>
      </c>
      <c r="H6" s="38" t="n">
        <f aca="false">'36-Month Forecast'!H6</f>
        <v>1</v>
      </c>
      <c r="I6" s="38" t="n">
        <f aca="false">'36-Month Forecast'!I6</f>
        <v>1</v>
      </c>
      <c r="J6" s="38" t="n">
        <f aca="false">'36-Month Forecast'!J6</f>
        <v>1</v>
      </c>
      <c r="K6" s="38" t="n">
        <f aca="false">'36-Month Forecast'!K6</f>
        <v>1</v>
      </c>
      <c r="L6" s="38" t="n">
        <f aca="false">'36-Month Forecast'!L6</f>
        <v>1</v>
      </c>
      <c r="M6" s="38" t="n">
        <f aca="false">'36-Month Forecast'!M6</f>
        <v>1</v>
      </c>
      <c r="N6" s="38" t="n">
        <f aca="false">'36-Month Forecast'!N6</f>
        <v>1</v>
      </c>
      <c r="O6" s="38" t="n">
        <f aca="false">'36-Month Forecast'!O6</f>
        <v>2</v>
      </c>
      <c r="P6" s="38" t="n">
        <f aca="false">'36-Month Forecast'!P6</f>
        <v>2</v>
      </c>
      <c r="Q6" s="38" t="n">
        <f aca="false">'36-Month Forecast'!Q6</f>
        <v>2</v>
      </c>
      <c r="R6" s="38" t="n">
        <f aca="false">'36-Month Forecast'!R6</f>
        <v>2</v>
      </c>
      <c r="S6" s="38" t="n">
        <f aca="false">'36-Month Forecast'!S6</f>
        <v>2</v>
      </c>
      <c r="T6" s="38" t="n">
        <f aca="false">'36-Month Forecast'!T6</f>
        <v>2</v>
      </c>
      <c r="U6" s="38" t="n">
        <f aca="false">'36-Month Forecast'!U6</f>
        <v>2</v>
      </c>
      <c r="V6" s="38" t="n">
        <f aca="false">'36-Month Forecast'!V6</f>
        <v>2</v>
      </c>
      <c r="W6" s="38" t="n">
        <f aca="false">'36-Month Forecast'!W6</f>
        <v>2</v>
      </c>
      <c r="X6" s="38" t="n">
        <f aca="false">'36-Month Forecast'!X6</f>
        <v>2</v>
      </c>
      <c r="Y6" s="38" t="n">
        <f aca="false">'36-Month Forecast'!Y6</f>
        <v>2</v>
      </c>
      <c r="Z6" s="38" t="n">
        <f aca="false">'36-Month Forecast'!Z6</f>
        <v>2</v>
      </c>
      <c r="AA6" s="38" t="n">
        <f aca="false">'36-Month Forecast'!AA6</f>
        <v>3</v>
      </c>
      <c r="AB6" s="38" t="n">
        <f aca="false">'36-Month Forecast'!AB6</f>
        <v>3</v>
      </c>
      <c r="AC6" s="38" t="n">
        <f aca="false">'36-Month Forecast'!AC6</f>
        <v>3</v>
      </c>
      <c r="AD6" s="38" t="n">
        <f aca="false">'36-Month Forecast'!AD6</f>
        <v>3</v>
      </c>
      <c r="AE6" s="38" t="n">
        <f aca="false">'36-Month Forecast'!AE6</f>
        <v>3</v>
      </c>
      <c r="AF6" s="38" t="n">
        <f aca="false">'36-Month Forecast'!AF6</f>
        <v>3</v>
      </c>
      <c r="AG6" s="38" t="n">
        <f aca="false">'36-Month Forecast'!AG6</f>
        <v>3</v>
      </c>
      <c r="AH6" s="38" t="n">
        <f aca="false">'36-Month Forecast'!AH6</f>
        <v>3</v>
      </c>
      <c r="AI6" s="38" t="n">
        <f aca="false">'36-Month Forecast'!AI6</f>
        <v>3</v>
      </c>
      <c r="AJ6" s="38" t="n">
        <f aca="false">'36-Month Forecast'!AJ6</f>
        <v>3</v>
      </c>
      <c r="AK6" s="38" t="n">
        <f aca="false">'36-Month Forecast'!AK6</f>
        <v>3</v>
      </c>
      <c r="AL6" s="38" t="n">
        <f aca="false">'36-Month Forecast'!AL6</f>
        <v>3</v>
      </c>
    </row>
    <row r="8" customFormat="false" ht="15" hidden="false" customHeight="false" outlineLevel="0" collapsed="false">
      <c r="A8" s="3" t="s">
        <v>750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customFormat="false" ht="15" hidden="false" customHeight="false" outlineLevel="0" collapsed="false">
      <c r="A9" s="7" t="s">
        <v>810</v>
      </c>
      <c r="C9" s="8" t="n">
        <f aca="false">IF(C$4-Assumptions!$C$70&gt;=1,INDEX('36-Month Forecast'!$C$25:$AL$25,1,C$4-Assumptions!$C$70)+INDEX('36-Month Forecast'!$C$22:$AL$22,1,C$4-Assumptions!$C$70)*'Unit Economics'!$H$50,0)</f>
        <v>4.440838737875</v>
      </c>
      <c r="D9" s="8" t="n">
        <f aca="false">IF(D$4-Assumptions!$C$70&gt;=1,INDEX('36-Month Forecast'!$C$25:$AL$25,1,D$4-Assumptions!$C$70)+INDEX('36-Month Forecast'!$C$22:$AL$22,1,D$4-Assumptions!$C$70)*'Unit Economics'!$H$50,0)</f>
        <v>13.12618439574</v>
      </c>
      <c r="E9" s="8" t="n">
        <f aca="false">IF(E$4-Assumptions!$C$70&gt;=1,INDEX('36-Month Forecast'!$C$25:$AL$25,1,E$4-Assumptions!$C$70)+INDEX('36-Month Forecast'!$C$22:$AL$22,1,E$4-Assumptions!$C$70)*'Unit Economics'!$H$50,0)</f>
        <v>22.0822809796026</v>
      </c>
      <c r="F9" s="8" t="n">
        <f aca="false">IF(F$4-Assumptions!$C$70&gt;=1,INDEX('36-Month Forecast'!$C$25:$AL$25,1,F$4-Assumptions!$C$70)+INDEX('36-Month Forecast'!$C$22:$AL$22,1,F$4-Assumptions!$C$70)*'Unit Economics'!$H$50,0)</f>
        <v>25.0265851102163</v>
      </c>
      <c r="G9" s="8" t="n">
        <f aca="false">IF(G$4-Assumptions!$C$70&gt;=1,INDEX('36-Month Forecast'!$C$25:$AL$25,1,G$4-Assumptions!$C$70)+INDEX('36-Month Forecast'!$C$22:$AL$22,1,G$4-Assumptions!$C$70)*'Unit Economics'!$H$50,0)</f>
        <v>24.3258407271302</v>
      </c>
      <c r="H9" s="8" t="n">
        <f aca="false">IF(H$4-Assumptions!$C$70&gt;=1,INDEX('36-Month Forecast'!$C$25:$AL$25,1,H$4-Assumptions!$C$70)+INDEX('36-Month Forecast'!$C$22:$AL$22,1,H$4-Assumptions!$C$70)*'Unit Economics'!$H$50,0)</f>
        <v>35.0292106470675</v>
      </c>
      <c r="I9" s="8" t="n">
        <f aca="false">IF(I$4-Assumptions!$C$70&gt;=1,INDEX('36-Month Forecast'!$C$25:$AL$25,1,I$4-Assumptions!$C$70)+INDEX('36-Month Forecast'!$C$22:$AL$22,1,I$4-Assumptions!$C$70)*'Unit Economics'!$H$50,0)</f>
        <v>39.7231248737746</v>
      </c>
      <c r="J9" s="8" t="n">
        <f aca="false">IF(J$4-Assumptions!$C$70&gt;=1,INDEX('36-Month Forecast'!$C$25:$AL$25,1,J$4-Assumptions!$C$70)+INDEX('36-Month Forecast'!$C$22:$AL$22,1,J$4-Assumptions!$C$70)*'Unit Economics'!$H$50,0)</f>
        <v>38.8151677338026</v>
      </c>
      <c r="K9" s="8" t="n">
        <f aca="false">IF(K$4-Assumptions!$C$70&gt;=1,INDEX('36-Month Forecast'!$C$25:$AL$25,1,K$4-Assumptions!$C$70)+INDEX('36-Month Forecast'!$C$22:$AL$22,1,K$4-Assumptions!$C$70)*'Unit Economics'!$H$50,0)</f>
        <v>44.1267170026387</v>
      </c>
      <c r="L9" s="8" t="n">
        <f aca="false">IF(L$4-Assumptions!$C$70&gt;=1,INDEX('36-Month Forecast'!$C$25:$AL$25,1,L$4-Assumptions!$C$70)+INDEX('36-Month Forecast'!$C$22:$AL$22,1,L$4-Assumptions!$C$70)*'Unit Economics'!$H$50,0)</f>
        <v>45.2740116447073</v>
      </c>
      <c r="M9" s="8" t="n">
        <f aca="false">IF(M$4-Assumptions!$C$70&gt;=1,INDEX('36-Month Forecast'!$C$25:$AL$25,1,M$4-Assumptions!$C$70)+INDEX('36-Month Forecast'!$C$22:$AL$22,1,M$4-Assumptions!$C$70)*'Unit Economics'!$H$50,0)</f>
        <v>43.7489923050961</v>
      </c>
      <c r="N9" s="8" t="n">
        <f aca="false">IF(N$4-Assumptions!$C$70&gt;=1,INDEX('36-Month Forecast'!$C$25:$AL$25,1,N$4-Assumptions!$C$70)+INDEX('36-Month Forecast'!$C$22:$AL$22,1,N$4-Assumptions!$C$70)*'Unit Economics'!$H$50,0)</f>
        <v>47.2489116895038</v>
      </c>
      <c r="O9" s="8" t="n">
        <f aca="false">IF(O$4-Assumptions!$C$70&gt;=1,INDEX('36-Month Forecast'!$C$25:$AL$25,1,O$4-Assumptions!$C$70)+INDEX('36-Month Forecast'!$C$22:$AL$22,1,O$4-Assumptions!$C$70)*'Unit Economics'!$H$50,0)</f>
        <v>54.9199114696821</v>
      </c>
      <c r="P9" s="8" t="n">
        <f aca="false">IF(P$4-Assumptions!$C$70&gt;=1,INDEX('36-Month Forecast'!$C$25:$AL$25,1,P$4-Assumptions!$C$70)+INDEX('36-Month Forecast'!$C$22:$AL$22,1,P$4-Assumptions!$C$70)*'Unit Economics'!$H$50,0)</f>
        <v>78.1597055863266</v>
      </c>
      <c r="Q9" s="8" t="n">
        <f aca="false">IF(Q$4-Assumptions!$C$70&gt;=1,INDEX('36-Month Forecast'!$C$25:$AL$25,1,Q$4-Assumptions!$C$70)+INDEX('36-Month Forecast'!$C$22:$AL$22,1,Q$4-Assumptions!$C$70)*'Unit Economics'!$H$50,0)</f>
        <v>84.4124820332327</v>
      </c>
      <c r="R9" s="8" t="n">
        <f aca="false">IF(R$4-Assumptions!$C$70&gt;=1,INDEX('36-Month Forecast'!$C$25:$AL$25,1,R$4-Assumptions!$C$70)+INDEX('36-Month Forecast'!$C$22:$AL$22,1,R$4-Assumptions!$C$70)*'Unit Economics'!$H$50,0)</f>
        <v>81.2860938097796</v>
      </c>
      <c r="S9" s="8" t="n">
        <f aca="false">IF(S$4-Assumptions!$C$70&gt;=1,INDEX('36-Month Forecast'!$C$25:$AL$25,1,S$4-Assumptions!$C$70)+INDEX('36-Month Forecast'!$C$22:$AL$22,1,S$4-Assumptions!$C$70)*'Unit Economics'!$H$50,0)</f>
        <v>60.867027044763</v>
      </c>
      <c r="T9" s="8" t="n">
        <f aca="false">IF(T$4-Assumptions!$C$70&gt;=1,INDEX('36-Month Forecast'!$C$25:$AL$25,1,T$4-Assumptions!$C$70)+INDEX('36-Month Forecast'!$C$22:$AL$22,1,T$4-Assumptions!$C$70)*'Unit Economics'!$H$50,0)</f>
        <v>70.3352312517261</v>
      </c>
      <c r="U9" s="8" t="n">
        <f aca="false">IF(U$4-Assumptions!$C$70&gt;=1,INDEX('36-Month Forecast'!$C$25:$AL$25,1,U$4-Assumptions!$C$70)+INDEX('36-Month Forecast'!$C$22:$AL$22,1,U$4-Assumptions!$C$70)*'Unit Economics'!$H$50,0)</f>
        <v>76.8060725268849</v>
      </c>
      <c r="V9" s="8" t="n">
        <f aca="false">IF(V$4-Assumptions!$C$70&gt;=1,INDEX('36-Month Forecast'!$C$25:$AL$25,1,V$4-Assumptions!$C$70)+INDEX('36-Month Forecast'!$C$22:$AL$22,1,V$4-Assumptions!$C$70)*'Unit Economics'!$H$50,0)</f>
        <v>72.2708568157736</v>
      </c>
      <c r="W9" s="8" t="n">
        <f aca="false">IF(W$4-Assumptions!$C$70&gt;=1,INDEX('36-Month Forecast'!$C$25:$AL$25,1,W$4-Assumptions!$C$70)+INDEX('36-Month Forecast'!$C$22:$AL$22,1,W$4-Assumptions!$C$70)*'Unit Economics'!$H$50,0)</f>
        <v>79.1175695667417</v>
      </c>
      <c r="X9" s="8" t="n">
        <f aca="false">IF(X$4-Assumptions!$C$70&gt;=1,INDEX('36-Month Forecast'!$C$25:$AL$25,1,X$4-Assumptions!$C$70)+INDEX('36-Month Forecast'!$C$22:$AL$22,1,X$4-Assumptions!$C$70)*'Unit Economics'!$H$50,0)</f>
        <v>78.1681587319408</v>
      </c>
      <c r="Y9" s="8" t="n">
        <f aca="false">IF(Y$4-Assumptions!$C$70&gt;=1,INDEX('36-Month Forecast'!$C$25:$AL$25,1,Y$4-Assumptions!$C$70)+INDEX('36-Month Forecast'!$C$22:$AL$22,1,Y$4-Assumptions!$C$70)*'Unit Economics'!$H$50,0)</f>
        <v>72.7375287568796</v>
      </c>
      <c r="Z9" s="8" t="n">
        <f aca="false">IF(Z$4-Assumptions!$C$70&gt;=1,INDEX('36-Month Forecast'!$C$25:$AL$25,1,Z$4-Assumptions!$C$70)+INDEX('36-Month Forecast'!$C$22:$AL$22,1,Z$4-Assumptions!$C$70)*'Unit Economics'!$H$50,0)</f>
        <v>75.6470299071548</v>
      </c>
      <c r="AA9" s="8" t="n">
        <f aca="false">IF(AA$4-Assumptions!$C$70&gt;=1,INDEX('36-Month Forecast'!$C$25:$AL$25,1,AA$4-Assumptions!$C$70)+INDEX('36-Month Forecast'!$C$22:$AL$22,1,AA$4-Assumptions!$C$70)*'Unit Economics'!$H$50,0)</f>
        <v>86.2376140941565</v>
      </c>
      <c r="AB9" s="8" t="n">
        <f aca="false">IF(AB$4-Assumptions!$C$70&gt;=1,INDEX('36-Month Forecast'!$C$25:$AL$25,1,AB$4-Assumptions!$C$70)+INDEX('36-Month Forecast'!$C$22:$AL$22,1,AB$4-Assumptions!$C$70)*'Unit Economics'!$H$50,0)</f>
        <v>120.369553988265</v>
      </c>
      <c r="AC9" s="8" t="n">
        <f aca="false">IF(AC$4-Assumptions!$C$70&gt;=1,INDEX('36-Month Forecast'!$C$25:$AL$25,1,AC$4-Assumptions!$C$70)+INDEX('36-Month Forecast'!$C$22:$AL$22,1,AC$4-Assumptions!$C$70)*'Unit Economics'!$H$50,0)</f>
        <v>127.499135262954</v>
      </c>
      <c r="AD9" s="8" t="n">
        <f aca="false">IF(AD$4-Assumptions!$C$70&gt;=1,INDEX('36-Month Forecast'!$C$25:$AL$25,1,AD$4-Assumptions!$C$70)+INDEX('36-Month Forecast'!$C$22:$AL$22,1,AD$4-Assumptions!$C$70)*'Unit Economics'!$H$50,0)</f>
        <v>120.415849970568</v>
      </c>
      <c r="AE9" s="8" t="n">
        <f aca="false">IF(AE$4-Assumptions!$C$70&gt;=1,INDEX('36-Month Forecast'!$C$25:$AL$25,1,AE$4-Assumptions!$C$70)+INDEX('36-Month Forecast'!$C$22:$AL$22,1,AE$4-Assumptions!$C$70)*'Unit Economics'!$H$50,0)</f>
        <v>88.4334002183851</v>
      </c>
      <c r="AF9" s="8" t="n">
        <f aca="false">IF(AF$4-Assumptions!$C$70&gt;=1,INDEX('36-Month Forecast'!$C$25:$AL$25,1,AF$4-Assumptions!$C$70)+INDEX('36-Month Forecast'!$C$22:$AL$22,1,AF$4-Assumptions!$C$70)*'Unit Economics'!$H$50,0)</f>
        <v>100.224520247503</v>
      </c>
      <c r="AG9" s="8" t="n">
        <f aca="false">IF(AG$4-Assumptions!$C$70&gt;=1,INDEX('36-Month Forecast'!$C$25:$AL$25,1,AG$4-Assumptions!$C$70)+INDEX('36-Month Forecast'!$C$22:$AL$22,1,AG$4-Assumptions!$C$70)*'Unit Economics'!$H$50,0)</f>
        <v>107.340461185076</v>
      </c>
      <c r="AH9" s="8" t="n">
        <f aca="false">IF(AH$4-Assumptions!$C$70&gt;=1,INDEX('36-Month Forecast'!$C$25:$AL$25,1,AH$4-Assumptions!$C$70)+INDEX('36-Month Forecast'!$C$22:$AL$22,1,AH$4-Assumptions!$C$70)*'Unit Economics'!$H$50,0)</f>
        <v>99.0599113222271</v>
      </c>
      <c r="AI9" s="8" t="n">
        <f aca="false">IF(AI$4-Assumptions!$C$70&gt;=1,INDEX('36-Month Forecast'!$C$25:$AL$25,1,AI$4-Assumptions!$C$70)+INDEX('36-Month Forecast'!$C$22:$AL$22,1,AI$4-Assumptions!$C$70)*'Unit Economics'!$H$50,0)</f>
        <v>106.359062682812</v>
      </c>
      <c r="AJ9" s="8" t="n">
        <f aca="false">IF(AJ$4-Assumptions!$C$70&gt;=1,INDEX('36-Month Forecast'!$C$25:$AL$25,1,AJ$4-Assumptions!$C$70)+INDEX('36-Month Forecast'!$C$22:$AL$22,1,AJ$4-Assumptions!$C$70)*'Unit Economics'!$H$50,0)</f>
        <v>103.061931739645</v>
      </c>
      <c r="AK9" s="8" t="n">
        <f aca="false">IF(AK$4-Assumptions!$C$70&gt;=1,INDEX('36-Month Forecast'!$C$25:$AL$25,1,AK$4-Assumptions!$C$70)+INDEX('36-Month Forecast'!$C$22:$AL$22,1,AK$4-Assumptions!$C$70)*'Unit Economics'!$H$50,0)</f>
        <v>94.0575734929182</v>
      </c>
      <c r="AL9" s="8" t="n">
        <f aca="false">IF(AL$4-Assumptions!$C$70&gt;=1,INDEX('36-Month Forecast'!$C$25:$AL$25,1,AL$4-Assumptions!$C$70)+INDEX('36-Month Forecast'!$C$22:$AL$22,1,AL$4-Assumptions!$C$70)*'Unit Economics'!$H$50,0)</f>
        <v>95.9387249627766</v>
      </c>
      <c r="AM9" s="45" t="n">
        <f aca="false">SUMIF($C$6:$AL$6,1,C9:AL9)</f>
        <v>382.967865847155</v>
      </c>
      <c r="AN9" s="45" t="n">
        <f aca="false">SUMIF($C$6:$AL$6,2,C9:AL9)</f>
        <v>884.727667500886</v>
      </c>
      <c r="AO9" s="45" t="n">
        <f aca="false">SUMIF($C$6:$AL$6,3,C9:AL9)</f>
        <v>1248.99773916729</v>
      </c>
      <c r="AP9" s="45" t="n">
        <f aca="false">SUM(C9:AL9)</f>
        <v>2516.69327251533</v>
      </c>
    </row>
    <row r="10" customFormat="false" ht="15" hidden="false" customHeight="false" outlineLevel="0" collapsed="false">
      <c r="A10" s="7" t="s">
        <v>811</v>
      </c>
      <c r="C10" s="8" t="n">
        <f aca="false">IF(C$4-Assumptions!$C$71&gt;=1,INDEX('36-Month Forecast'!$C$35:$AL$35,1,C$4-Assumptions!$C$71)+INDEX('36-Month Forecast'!$C$32:$AL$32,1,C$4-Assumptions!$C$71)*'Unit Economics'!$H$51,0)</f>
        <v>4.99723478571429</v>
      </c>
      <c r="D10" s="8" t="n">
        <f aca="false">IF(D$4-Assumptions!$C$71&gt;=1,INDEX('36-Month Forecast'!$C$35:$AL$35,1,D$4-Assumptions!$C$71)+INDEX('36-Month Forecast'!$C$32:$AL$32,1,D$4-Assumptions!$C$71)*'Unit Economics'!$H$51,0)</f>
        <v>14.7707739771429</v>
      </c>
      <c r="E10" s="8" t="n">
        <f aca="false">IF(E$4-Assumptions!$C$71&gt;=1,INDEX('36-Month Forecast'!$C$35:$AL$35,1,E$4-Assumptions!$C$71)+INDEX('36-Month Forecast'!$C$32:$AL$32,1,E$4-Assumptions!$C$71)*'Unit Economics'!$H$51,0)</f>
        <v>24.8489866830857</v>
      </c>
      <c r="F10" s="8" t="n">
        <f aca="false">IF(F$4-Assumptions!$C$71&gt;=1,INDEX('36-Month Forecast'!$C$35:$AL$35,1,F$4-Assumptions!$C$71)+INDEX('36-Month Forecast'!$C$32:$AL$32,1,F$4-Assumptions!$C$71)*'Unit Economics'!$H$51,0)</f>
        <v>33.1319822441143</v>
      </c>
      <c r="G10" s="8" t="n">
        <f aca="false">IF(G$4-Assumptions!$C$71&gt;=1,INDEX('36-Month Forecast'!$C$35:$AL$35,1,G$4-Assumptions!$C$71)+INDEX('36-Month Forecast'!$C$32:$AL$32,1,G$4-Assumptions!$C$71)*'Unit Economics'!$H$51,0)</f>
        <v>32.2042867412791</v>
      </c>
      <c r="H10" s="8" t="n">
        <f aca="false">IF(H$4-Assumptions!$C$71&gt;=1,INDEX('36-Month Forecast'!$C$35:$AL$35,1,H$4-Assumptions!$C$71)+INDEX('36-Month Forecast'!$C$32:$AL$32,1,H$4-Assumptions!$C$71)*'Unit Economics'!$H$51,0)</f>
        <v>46.3741729074419</v>
      </c>
      <c r="I10" s="8" t="n">
        <f aca="false">IF(I$4-Assumptions!$C$71&gt;=1,INDEX('36-Month Forecast'!$C$35:$AL$35,1,I$4-Assumptions!$C$71)+INDEX('36-Month Forecast'!$C$32:$AL$32,1,I$4-Assumptions!$C$71)*'Unit Economics'!$H$51,0)</f>
        <v>52.5883120770391</v>
      </c>
      <c r="J10" s="8" t="n">
        <f aca="false">IF(J$4-Assumptions!$C$71&gt;=1,INDEX('36-Month Forecast'!$C$35:$AL$35,1,J$4-Assumptions!$C$71)+INDEX('36-Month Forecast'!$C$32:$AL$32,1,J$4-Assumptions!$C$71)*'Unit Economics'!$H$51,0)</f>
        <v>51.3862935152782</v>
      </c>
      <c r="K10" s="8" t="n">
        <f aca="false">IF(K$4-Assumptions!$C$71&gt;=1,INDEX('36-Month Forecast'!$C$35:$AL$35,1,K$4-Assumptions!$C$71)+INDEX('36-Month Forecast'!$C$32:$AL$32,1,K$4-Assumptions!$C$71)*'Unit Economics'!$H$51,0)</f>
        <v>58.4181021015795</v>
      </c>
      <c r="L10" s="8" t="n">
        <f aca="false">IF(L$4-Assumptions!$C$71&gt;=1,INDEX('36-Month Forecast'!$C$35:$AL$35,1,L$4-Assumptions!$C$71)+INDEX('36-Month Forecast'!$C$32:$AL$32,1,L$4-Assumptions!$C$71)*'Unit Economics'!$H$51,0)</f>
        <v>59.9369727562205</v>
      </c>
      <c r="M10" s="8" t="n">
        <f aca="false">IF(M$4-Assumptions!$C$71&gt;=1,INDEX('36-Month Forecast'!$C$35:$AL$35,1,M$4-Assumptions!$C$71)+INDEX('36-Month Forecast'!$C$32:$AL$32,1,M$4-Assumptions!$C$71)*'Unit Economics'!$H$51,0)</f>
        <v>57.91804314759</v>
      </c>
      <c r="N10" s="8" t="n">
        <f aca="false">IF(N$4-Assumptions!$C$71&gt;=1,INDEX('36-Month Forecast'!$C$35:$AL$35,1,N$4-Assumptions!$C$71)+INDEX('36-Month Forecast'!$C$32:$AL$32,1,N$4-Assumptions!$C$71)*'Unit Economics'!$H$51,0)</f>
        <v>62.5514865993972</v>
      </c>
      <c r="O10" s="8" t="n">
        <f aca="false">IF(O$4-Assumptions!$C$71&gt;=1,INDEX('36-Month Forecast'!$C$35:$AL$35,1,O$4-Assumptions!$C$71)+INDEX('36-Month Forecast'!$C$32:$AL$32,1,O$4-Assumptions!$C$71)*'Unit Economics'!$H$51,0)</f>
        <v>72.0077995735413</v>
      </c>
      <c r="P10" s="8" t="n">
        <f aca="false">IF(P$4-Assumptions!$C$71&gt;=1,INDEX('36-Month Forecast'!$C$35:$AL$35,1,P$4-Assumptions!$C$71)+INDEX('36-Month Forecast'!$C$32:$AL$32,1,P$4-Assumptions!$C$71)*'Unit Economics'!$H$51,0)</f>
        <v>101.493098556812</v>
      </c>
      <c r="Q10" s="8" t="n">
        <f aca="false">IF(Q$4-Assumptions!$C$71&gt;=1,INDEX('36-Month Forecast'!$C$35:$AL$35,1,Q$4-Assumptions!$C$71)+INDEX('36-Month Forecast'!$C$32:$AL$32,1,Q$4-Assumptions!$C$71)*'Unit Economics'!$H$51,0)</f>
        <v>108.558579648652</v>
      </c>
      <c r="R10" s="8" t="n">
        <f aca="false">IF(R$4-Assumptions!$C$71&gt;=1,INDEX('36-Month Forecast'!$C$35:$AL$35,1,R$4-Assumptions!$C$71)+INDEX('36-Month Forecast'!$C$32:$AL$32,1,R$4-Assumptions!$C$71)*'Unit Economics'!$H$51,0)</f>
        <v>103.532719479733</v>
      </c>
      <c r="S10" s="8" t="n">
        <f aca="false">IF(S$4-Assumptions!$C$71&gt;=1,INDEX('36-Month Forecast'!$C$35:$AL$35,1,S$4-Assumptions!$C$71)+INDEX('36-Month Forecast'!$C$32:$AL$32,1,S$4-Assumptions!$C$71)*'Unit Economics'!$H$51,0)</f>
        <v>76.77986476617</v>
      </c>
      <c r="T10" s="8" t="n">
        <f aca="false">IF(T$4-Assumptions!$C$71&gt;=1,INDEX('36-Month Forecast'!$C$35:$AL$35,1,T$4-Assumptions!$C$71)+INDEX('36-Month Forecast'!$C$32:$AL$32,1,T$4-Assumptions!$C$71)*'Unit Economics'!$H$51,0)</f>
        <v>87.870289676839</v>
      </c>
      <c r="U10" s="8" t="n">
        <f aca="false">IF(U$4-Assumptions!$C$71&gt;=1,INDEX('36-Month Forecast'!$C$35:$AL$35,1,U$4-Assumptions!$C$71)+INDEX('36-Month Forecast'!$C$32:$AL$32,1,U$4-Assumptions!$C$71)*'Unit Economics'!$H$51,0)</f>
        <v>95.0317182855014</v>
      </c>
      <c r="V10" s="8" t="n">
        <f aca="false">IF(V$4-Assumptions!$C$71&gt;=1,INDEX('36-Month Forecast'!$C$35:$AL$35,1,V$4-Assumptions!$C$71)+INDEX('36-Month Forecast'!$C$32:$AL$32,1,V$4-Assumptions!$C$71)*'Unit Economics'!$H$51,0)</f>
        <v>88.5605108022506</v>
      </c>
      <c r="W10" s="8" t="n">
        <f aca="false">IF(W$4-Assumptions!$C$71&gt;=1,INDEX('36-Month Forecast'!$C$35:$AL$35,1,W$4-Assumptions!$C$71)+INDEX('36-Month Forecast'!$C$32:$AL$32,1,W$4-Assumptions!$C$71)*'Unit Economics'!$H$51,0)</f>
        <v>96.0182380277033</v>
      </c>
      <c r="X10" s="8" t="n">
        <f aca="false">IF(X$4-Assumptions!$C$71&gt;=1,INDEX('36-Month Forecast'!$C$35:$AL$35,1,X$4-Assumptions!$C$71)+INDEX('36-Month Forecast'!$C$32:$AL$32,1,X$4-Assumptions!$C$71)*'Unit Economics'!$H$51,0)</f>
        <v>93.9538459101077</v>
      </c>
      <c r="Y10" s="8" t="n">
        <f aca="false">IF(Y$4-Assumptions!$C$71&gt;=1,INDEX('36-Month Forecast'!$C$35:$AL$35,1,Y$4-Assumptions!$C$71)+INDEX('36-Month Forecast'!$C$32:$AL$32,1,Y$4-Assumptions!$C$71)*'Unit Economics'!$H$51,0)</f>
        <v>86.5858864150518</v>
      </c>
      <c r="Z10" s="8" t="n">
        <f aca="false">IF(Z$4-Assumptions!$C$71&gt;=1,INDEX('36-Month Forecast'!$C$35:$AL$35,1,Z$4-Assumptions!$C$71)+INDEX('36-Month Forecast'!$C$32:$AL$32,1,Z$4-Assumptions!$C$71)*'Unit Economics'!$H$51,0)</f>
        <v>89.1834630075034</v>
      </c>
      <c r="AA10" s="8" t="n">
        <f aca="false">IF(AA$4-Assumptions!$C$71&gt;=1,INDEX('36-Month Forecast'!$C$35:$AL$35,1,AA$4-Assumptions!$C$71)+INDEX('36-Month Forecast'!$C$32:$AL$32,1,AA$4-Assumptions!$C$71)*'Unit Economics'!$H$51,0)</f>
        <v>100.672391477294</v>
      </c>
      <c r="AB10" s="8" t="n">
        <f aca="false">IF(AB$4-Assumptions!$C$71&gt;=1,INDEX('36-Month Forecast'!$C$35:$AL$35,1,AB$4-Assumptions!$C$71)+INDEX('36-Month Forecast'!$C$32:$AL$32,1,AB$4-Assumptions!$C$71)*'Unit Economics'!$H$51,0)</f>
        <v>139.139842115459</v>
      </c>
      <c r="AC10" s="8" t="n">
        <f aca="false">IF(AC$4-Assumptions!$C$71&gt;=1,INDEX('36-Month Forecast'!$C$35:$AL$35,1,AC$4-Assumptions!$C$71)+INDEX('36-Month Forecast'!$C$32:$AL$32,1,AC$4-Assumptions!$C$71)*'Unit Economics'!$H$51,0)</f>
        <v>145.936288249561</v>
      </c>
      <c r="AD10" s="8" t="n">
        <f aca="false">IF(AD$4-Assumptions!$C$71&gt;=1,INDEX('36-Month Forecast'!$C$35:$AL$35,1,AD$4-Assumptions!$C$71)+INDEX('36-Month Forecast'!$C$32:$AL$32,1,AD$4-Assumptions!$C$71)*'Unit Economics'!$H$51,0)</f>
        <v>136.477454751904</v>
      </c>
      <c r="AE10" s="8" t="n">
        <f aca="false">IF(AE$4-Assumptions!$C$71&gt;=1,INDEX('36-Month Forecast'!$C$35:$AL$35,1,AE$4-Assumptions!$C$71)+INDEX('36-Month Forecast'!$C$32:$AL$32,1,AE$4-Assumptions!$C$71)*'Unit Economics'!$H$51,0)</f>
        <v>99.2464050955846</v>
      </c>
      <c r="AF10" s="8" t="n">
        <f aca="false">IF(AF$4-Assumptions!$C$71&gt;=1,INDEX('36-Month Forecast'!$C$35:$AL$35,1,AF$4-Assumptions!$C$71)+INDEX('36-Month Forecast'!$C$32:$AL$32,1,AF$4-Assumptions!$C$71)*'Unit Economics'!$H$51,0)</f>
        <v>111.376521273934</v>
      </c>
      <c r="AG10" s="8" t="n">
        <f aca="false">IF(AG$4-Assumptions!$C$71&gt;=1,INDEX('36-Month Forecast'!$C$35:$AL$35,1,AG$4-Assumptions!$C$71)+INDEX('36-Month Forecast'!$C$32:$AL$32,1,AG$4-Assumptions!$C$71)*'Unit Economics'!$H$51,0)</f>
        <v>118.114800811007</v>
      </c>
      <c r="AH10" s="8" t="n">
        <f aca="false">IF(AH$4-Assumptions!$C$71&gt;=1,INDEX('36-Month Forecast'!$C$35:$AL$35,1,AH$4-Assumptions!$C$71)+INDEX('36-Month Forecast'!$C$32:$AL$32,1,AH$4-Assumptions!$C$71)*'Unit Economics'!$H$51,0)</f>
        <v>107.934429883963</v>
      </c>
      <c r="AI10" s="8" t="n">
        <f aca="false">IF(AI$4-Assumptions!$C$71&gt;=1,INDEX('36-Month Forecast'!$C$35:$AL$35,1,AI$4-Assumptions!$C$71)+INDEX('36-Month Forecast'!$C$32:$AL$32,1,AI$4-Assumptions!$C$71)*'Unit Economics'!$H$51,0)</f>
        <v>114.751341245055</v>
      </c>
      <c r="AJ10" s="8" t="n">
        <f aca="false">IF(AJ$4-Assumptions!$C$71&gt;=1,INDEX('36-Month Forecast'!$C$35:$AL$35,1,AJ$4-Assumptions!$C$71)+INDEX('36-Month Forecast'!$C$32:$AL$32,1,AJ$4-Assumptions!$C$71)*'Unit Economics'!$H$51,0)</f>
        <v>110.103911924631</v>
      </c>
      <c r="AK10" s="8" t="n">
        <f aca="false">IF(AK$4-Assumptions!$C$71&gt;=1,INDEX('36-Month Forecast'!$C$35:$AL$35,1,AK$4-Assumptions!$C$71)+INDEX('36-Month Forecast'!$C$32:$AL$32,1,AK$4-Assumptions!$C$71)*'Unit Economics'!$H$51,0)</f>
        <v>99.4991667234687</v>
      </c>
      <c r="AL10" s="8" t="n">
        <f aca="false">IF(AL$4-Assumptions!$C$71&gt;=1,INDEX('36-Month Forecast'!$C$35:$AL$35,1,AL$4-Assumptions!$C$71)+INDEX('36-Month Forecast'!$C$32:$AL$32,1,AL$4-Assumptions!$C$71)*'Unit Economics'!$H$51,0)</f>
        <v>100.494158390703</v>
      </c>
      <c r="AM10" s="45" t="n">
        <f aca="false">SUMIF($C$6:$AL$6,1,C10:AL10)</f>
        <v>499.126647535883</v>
      </c>
      <c r="AN10" s="45" t="n">
        <f aca="false">SUMIF($C$6:$AL$6,2,C10:AL10)</f>
        <v>1099.57601414987</v>
      </c>
      <c r="AO10" s="45" t="n">
        <f aca="false">SUMIF($C$6:$AL$6,3,C10:AL10)</f>
        <v>1383.74671194256</v>
      </c>
      <c r="AP10" s="45" t="n">
        <f aca="false">SUM(C10:AL10)</f>
        <v>2982.44937362831</v>
      </c>
    </row>
    <row r="11" customFormat="false" ht="15" hidden="false" customHeight="false" outlineLevel="0" collapsed="false">
      <c r="A11" s="7" t="s">
        <v>812</v>
      </c>
      <c r="C11" s="8" t="n">
        <f aca="false">IF(C$4-Assumptions!$C$72&gt;=1,INDEX('36-Month Forecast'!$C$45:$AL$45,1,C$4-Assumptions!$C$72)+INDEX('36-Month Forecast'!$C$42:$AL$42,1,C$4-Assumptions!$C$72)*'Unit Economics'!$H$52,0)</f>
        <v>0</v>
      </c>
      <c r="D11" s="8" t="n">
        <f aca="false">IF(D$4-Assumptions!$C$72&gt;=1,INDEX('36-Month Forecast'!$C$45:$AL$45,1,D$4-Assumptions!$C$72)+INDEX('36-Month Forecast'!$C$42:$AL$42,1,D$4-Assumptions!$C$72)*'Unit Economics'!$H$52,0)</f>
        <v>0</v>
      </c>
      <c r="E11" s="8" t="n">
        <f aca="false">IF(E$4-Assumptions!$C$72&gt;=1,INDEX('36-Month Forecast'!$C$45:$AL$45,1,E$4-Assumptions!$C$72)+INDEX('36-Month Forecast'!$C$42:$AL$42,1,E$4-Assumptions!$C$72)*'Unit Economics'!$H$52,0)</f>
        <v>0</v>
      </c>
      <c r="F11" s="8" t="n">
        <f aca="false">IF(F$4-Assumptions!$C$72&gt;=1,INDEX('36-Month Forecast'!$C$45:$AL$45,1,F$4-Assumptions!$C$72)+INDEX('36-Month Forecast'!$C$42:$AL$42,1,F$4-Assumptions!$C$72)*'Unit Economics'!$H$52,0)</f>
        <v>11.8599</v>
      </c>
      <c r="G11" s="8" t="n">
        <f aca="false">IF(G$4-Assumptions!$C$72&gt;=1,INDEX('36-Month Forecast'!$C$45:$AL$45,1,G$4-Assumptions!$C$72)+INDEX('36-Month Forecast'!$C$42:$AL$42,1,G$4-Assumptions!$C$72)*'Unit Economics'!$H$52,0)</f>
        <v>26.110026</v>
      </c>
      <c r="H11" s="8" t="n">
        <f aca="false">IF(H$4-Assumptions!$C$72&gt;=1,INDEX('36-Month Forecast'!$C$45:$AL$45,1,H$4-Assumptions!$C$72)+INDEX('36-Month Forecast'!$C$42:$AL$42,1,H$4-Assumptions!$C$72)*'Unit Economics'!$H$52,0)</f>
        <v>38.4397605</v>
      </c>
      <c r="I11" s="8" t="n">
        <f aca="false">IF(I$4-Assumptions!$C$72&gt;=1,INDEX('36-Month Forecast'!$C$45:$AL$45,1,I$4-Assumptions!$C$72)+INDEX('36-Month Forecast'!$C$42:$AL$42,1,I$4-Assumptions!$C$72)*'Unit Economics'!$H$52,0)</f>
        <v>39.1163002848</v>
      </c>
      <c r="J11" s="8" t="n">
        <f aca="false">IF(J$4-Assumptions!$C$72&gt;=1,INDEX('36-Month Forecast'!$C$45:$AL$45,1,J$4-Assumptions!$C$72)+INDEX('36-Month Forecast'!$C$42:$AL$42,1,J$4-Assumptions!$C$72)*'Unit Economics'!$H$52,0)</f>
        <v>57.5878865304</v>
      </c>
      <c r="K11" s="8" t="n">
        <f aca="false">IF(K$4-Assumptions!$C$72&gt;=1,INDEX('36-Month Forecast'!$C$45:$AL$45,1,K$4-Assumptions!$C$72)+INDEX('36-Month Forecast'!$C$42:$AL$42,1,K$4-Assumptions!$C$72)*'Unit Economics'!$H$52,0)</f>
        <v>76.9143812500022</v>
      </c>
      <c r="L11" s="8" t="n">
        <f aca="false">IF(L$4-Assumptions!$C$72&gt;=1,INDEX('36-Month Forecast'!$C$45:$AL$45,1,L$4-Assumptions!$C$72)+INDEX('36-Month Forecast'!$C$42:$AL$42,1,L$4-Assumptions!$C$72)*'Unit Economics'!$H$52,0)</f>
        <v>73.7645542083355</v>
      </c>
      <c r="M11" s="8" t="n">
        <f aca="false">IF(M$4-Assumptions!$C$72&gt;=1,INDEX('36-Month Forecast'!$C$45:$AL$45,1,M$4-Assumptions!$C$72)+INDEX('36-Month Forecast'!$C$42:$AL$42,1,M$4-Assumptions!$C$72)*'Unit Economics'!$H$52,0)</f>
        <v>82.3057131166691</v>
      </c>
      <c r="N11" s="8" t="n">
        <f aca="false">IF(N$4-Assumptions!$C$72&gt;=1,INDEX('36-Month Forecast'!$C$45:$AL$45,1,N$4-Assumptions!$C$72)+INDEX('36-Month Forecast'!$C$42:$AL$42,1,N$4-Assumptions!$C$72)*'Unit Economics'!$H$52,0)</f>
        <v>82.8818531084858</v>
      </c>
      <c r="O11" s="8" t="n">
        <f aca="false">IF(O$4-Assumptions!$C$72&gt;=1,INDEX('36-Month Forecast'!$C$45:$AL$45,1,O$4-Assumptions!$C$72)+INDEX('36-Month Forecast'!$C$42:$AL$42,1,O$4-Assumptions!$C$72)*'Unit Economics'!$H$52,0)</f>
        <v>78.606894369206</v>
      </c>
      <c r="P11" s="8" t="n">
        <f aca="false">IF(P$4-Assumptions!$C$72&gt;=1,INDEX('36-Month Forecast'!$C$45:$AL$45,1,P$4-Assumptions!$C$72)+INDEX('36-Month Forecast'!$C$42:$AL$42,1,P$4-Assumptions!$C$72)*'Unit Economics'!$H$52,0)</f>
        <v>83.3233080313583</v>
      </c>
      <c r="Q11" s="8" t="n">
        <f aca="false">IF(Q$4-Assumptions!$C$72&gt;=1,INDEX('36-Month Forecast'!$C$45:$AL$45,1,Q$4-Assumptions!$C$72)+INDEX('36-Month Forecast'!$C$42:$AL$42,1,Q$4-Assumptions!$C$72)*'Unit Economics'!$H$52,0)</f>
        <v>95.9198316572755</v>
      </c>
      <c r="R11" s="8" t="n">
        <f aca="false">IF(R$4-Assumptions!$C$72&gt;=1,INDEX('36-Month Forecast'!$C$45:$AL$45,1,R$4-Assumptions!$C$72)+INDEX('36-Month Forecast'!$C$42:$AL$42,1,R$4-Assumptions!$C$72)*'Unit Economics'!$H$52,0)</f>
        <v>135.196478514834</v>
      </c>
      <c r="S11" s="8" t="n">
        <f aca="false">IF(S$4-Assumptions!$C$72&gt;=1,INDEX('36-Month Forecast'!$C$45:$AL$45,1,S$4-Assumptions!$C$72)+INDEX('36-Month Forecast'!$C$42:$AL$42,1,S$4-Assumptions!$C$72)*'Unit Economics'!$H$52,0)</f>
        <v>144.608233365289</v>
      </c>
      <c r="T11" s="8" t="n">
        <f aca="false">IF(T$4-Assumptions!$C$72&gt;=1,INDEX('36-Month Forecast'!$C$45:$AL$45,1,T$4-Assumptions!$C$72)+INDEX('36-Month Forecast'!$C$42:$AL$42,1,T$4-Assumptions!$C$72)*'Unit Economics'!$H$52,0)</f>
        <v>137.913407746526</v>
      </c>
      <c r="U11" s="8" t="n">
        <f aca="false">IF(U$4-Assumptions!$C$72&gt;=1,INDEX('36-Month Forecast'!$C$45:$AL$45,1,U$4-Assumptions!$C$72)+INDEX('36-Month Forecast'!$C$42:$AL$42,1,U$4-Assumptions!$C$72)*'Unit Economics'!$H$52,0)</f>
        <v>102.276583184824</v>
      </c>
      <c r="V11" s="8" t="n">
        <f aca="false">IF(V$4-Assumptions!$C$72&gt;=1,INDEX('36-Month Forecast'!$C$45:$AL$45,1,V$4-Assumptions!$C$72)+INDEX('36-Month Forecast'!$C$42:$AL$42,1,V$4-Assumptions!$C$72)*'Unit Economics'!$H$52,0)</f>
        <v>117.049867422631</v>
      </c>
      <c r="W11" s="8" t="n">
        <f aca="false">IF(W$4-Assumptions!$C$72&gt;=1,INDEX('36-Month Forecast'!$C$45:$AL$45,1,W$4-Assumptions!$C$72)+INDEX('36-Month Forecast'!$C$42:$AL$42,1,W$4-Assumptions!$C$72)*'Unit Economics'!$H$52,0)</f>
        <v>126.589431617576</v>
      </c>
      <c r="X11" s="8" t="n">
        <f aca="false">IF(X$4-Assumptions!$C$72&gt;=1,INDEX('36-Month Forecast'!$C$45:$AL$45,1,X$4-Assumptions!$C$72)+INDEX('36-Month Forecast'!$C$42:$AL$42,1,X$4-Assumptions!$C$72)*'Unit Economics'!$H$52,0)</f>
        <v>117.969294131236</v>
      </c>
      <c r="Y11" s="8" t="n">
        <f aca="false">IF(Y$4-Assumptions!$C$72&gt;=1,INDEX('36-Month Forecast'!$C$45:$AL$45,1,Y$4-Assumptions!$C$72)+INDEX('36-Month Forecast'!$C$42:$AL$42,1,Y$4-Assumptions!$C$72)*'Unit Economics'!$H$52,0)</f>
        <v>127.90355047913</v>
      </c>
      <c r="Z11" s="8" t="n">
        <f aca="false">IF(Z$4-Assumptions!$C$72&gt;=1,INDEX('36-Month Forecast'!$C$45:$AL$45,1,Z$4-Assumptions!$C$72)+INDEX('36-Month Forecast'!$C$42:$AL$42,1,Z$4-Assumptions!$C$72)*'Unit Economics'!$H$52,0)</f>
        <v>125.153624143828</v>
      </c>
      <c r="AA11" s="8" t="n">
        <f aca="false">IF(AA$4-Assumptions!$C$72&gt;=1,INDEX('36-Month Forecast'!$C$45:$AL$45,1,AA$4-Assumptions!$C$72)+INDEX('36-Month Forecast'!$C$42:$AL$42,1,AA$4-Assumptions!$C$72)*'Unit Economics'!$H$52,0)</f>
        <v>115.338945197812</v>
      </c>
      <c r="AB11" s="8" t="n">
        <f aca="false">IF(AB$4-Assumptions!$C$72&gt;=1,INDEX('36-Month Forecast'!$C$45:$AL$45,1,AB$4-Assumptions!$C$72)+INDEX('36-Month Forecast'!$C$42:$AL$42,1,AB$4-Assumptions!$C$72)*'Unit Economics'!$H$52,0)</f>
        <v>118.799113553747</v>
      </c>
      <c r="AC11" s="8" t="n">
        <f aca="false">IF(AC$4-Assumptions!$C$72&gt;=1,INDEX('36-Month Forecast'!$C$45:$AL$45,1,AC$4-Assumptions!$C$72)+INDEX('36-Month Forecast'!$C$42:$AL$42,1,AC$4-Assumptions!$C$72)*'Unit Economics'!$H$52,0)</f>
        <v>134.10323465273</v>
      </c>
      <c r="AD11" s="8" t="n">
        <f aca="false">IF(AD$4-Assumptions!$C$72&gt;=1,INDEX('36-Month Forecast'!$C$45:$AL$45,1,AD$4-Assumptions!$C$72)+INDEX('36-Month Forecast'!$C$42:$AL$42,1,AD$4-Assumptions!$C$72)*'Unit Economics'!$H$52,0)</f>
        <v>185.344786420036</v>
      </c>
      <c r="AE11" s="8" t="n">
        <f aca="false">IF(AE$4-Assumptions!$C$72&gt;=1,INDEX('36-Month Forecast'!$C$45:$AL$45,1,AE$4-Assumptions!$C$72)+INDEX('36-Month Forecast'!$C$42:$AL$42,1,AE$4-Assumptions!$C$72)*'Unit Economics'!$H$52,0)</f>
        <v>194.398166372091</v>
      </c>
      <c r="AF11" s="8" t="n">
        <f aca="false">IF(AF$4-Assumptions!$C$72&gt;=1,INDEX('36-Month Forecast'!$C$45:$AL$45,1,AF$4-Assumptions!$C$72)+INDEX('36-Month Forecast'!$C$42:$AL$42,1,AF$4-Assumptions!$C$72)*'Unit Economics'!$H$52,0)</f>
        <v>181.798285218345</v>
      </c>
      <c r="AG11" s="8" t="n">
        <f aca="false">IF(AG$4-Assumptions!$C$72&gt;=1,INDEX('36-Month Forecast'!$C$45:$AL$45,1,AG$4-Assumptions!$C$72)+INDEX('36-Month Forecast'!$C$42:$AL$42,1,AG$4-Assumptions!$C$72)*'Unit Economics'!$H$52,0)</f>
        <v>132.20371301078</v>
      </c>
      <c r="AH11" s="8" t="n">
        <f aca="false">IF(AH$4-Assumptions!$C$72&gt;=1,INDEX('36-Month Forecast'!$C$45:$AL$45,1,AH$4-Assumptions!$C$72)+INDEX('36-Month Forecast'!$C$42:$AL$42,1,AH$4-Assumptions!$C$72)*'Unit Economics'!$H$52,0)</f>
        <v>148.361944600987</v>
      </c>
      <c r="AI11" s="8" t="n">
        <f aca="false">IF(AI$4-Assumptions!$C$72&gt;=1,INDEX('36-Month Forecast'!$C$45:$AL$45,1,AI$4-Assumptions!$C$72)+INDEX('36-Month Forecast'!$C$42:$AL$42,1,AI$4-Assumptions!$C$72)*'Unit Economics'!$H$52,0)</f>
        <v>157.337842249346</v>
      </c>
      <c r="AJ11" s="8" t="n">
        <f aca="false">IF(AJ$4-Assumptions!$C$72&gt;=1,INDEX('36-Month Forecast'!$C$45:$AL$45,1,AJ$4-Assumptions!$C$72)+INDEX('36-Month Forecast'!$C$42:$AL$42,1,AJ$4-Assumptions!$C$72)*'Unit Economics'!$H$52,0)</f>
        <v>143.776818703093</v>
      </c>
      <c r="AK11" s="8" t="n">
        <f aca="false">IF(AK$4-Assumptions!$C$72&gt;=1,INDEX('36-Month Forecast'!$C$45:$AL$45,1,AK$4-Assumptions!$C$72)+INDEX('36-Month Forecast'!$C$42:$AL$42,1,AK$4-Assumptions!$C$72)*'Unit Economics'!$H$52,0)</f>
        <v>152.857459884341</v>
      </c>
      <c r="AL11" s="8" t="n">
        <f aca="false">IF(AL$4-Assumptions!$C$72&gt;=1,INDEX('36-Month Forecast'!$C$45:$AL$45,1,AL$4-Assumptions!$C$72)+INDEX('36-Month Forecast'!$C$42:$AL$42,1,AL$4-Assumptions!$C$72)*'Unit Economics'!$H$52,0)</f>
        <v>146.666732759025</v>
      </c>
      <c r="AM11" s="45" t="n">
        <f aca="false">SUMIF($C$6:$AL$6,1,C11:AL11)</f>
        <v>488.980374998693</v>
      </c>
      <c r="AN11" s="45" t="n">
        <f aca="false">SUMIF($C$6:$AL$6,2,C11:AL11)</f>
        <v>1392.51050466371</v>
      </c>
      <c r="AO11" s="45" t="n">
        <f aca="false">SUMIF($C$6:$AL$6,3,C11:AL11)</f>
        <v>1810.98704262233</v>
      </c>
      <c r="AP11" s="45" t="n">
        <f aca="false">SUM(C11:AL11)</f>
        <v>3692.47792228474</v>
      </c>
    </row>
    <row r="12" customFormat="false" ht="15" hidden="false" customHeight="false" outlineLevel="0" collapsed="false">
      <c r="A12" s="7" t="s">
        <v>813</v>
      </c>
      <c r="C12" s="8" t="n">
        <f aca="false">IF(C$4-Assumptions!$C$73&gt;=1,INDEX('36-Month Forecast'!$C$55:$AL$55,1,C$4-Assumptions!$C$73)+INDEX('36-Month Forecast'!$C$52:$AL$52,1,C$4-Assumptions!$C$73)*'Unit Economics'!$H$53,0)</f>
        <v>0</v>
      </c>
      <c r="D12" s="8" t="n">
        <f aca="false">IF(D$4-Assumptions!$C$73&gt;=1,INDEX('36-Month Forecast'!$C$55:$AL$55,1,D$4-Assumptions!$C$73)+INDEX('36-Month Forecast'!$C$52:$AL$52,1,D$4-Assumptions!$C$73)*'Unit Economics'!$H$53,0)</f>
        <v>0</v>
      </c>
      <c r="E12" s="8" t="n">
        <f aca="false">IF(E$4-Assumptions!$C$73&gt;=1,INDEX('36-Month Forecast'!$C$55:$AL$55,1,E$4-Assumptions!$C$73)+INDEX('36-Month Forecast'!$C$52:$AL$52,1,E$4-Assumptions!$C$73)*'Unit Economics'!$H$53,0)</f>
        <v>0</v>
      </c>
      <c r="F12" s="8" t="n">
        <f aca="false">IF(F$4-Assumptions!$C$73&gt;=1,INDEX('36-Month Forecast'!$C$55:$AL$55,1,F$4-Assumptions!$C$73)+INDEX('36-Month Forecast'!$C$52:$AL$52,1,F$4-Assumptions!$C$73)*'Unit Economics'!$H$53,0)</f>
        <v>-0</v>
      </c>
      <c r="G12" s="8" t="n">
        <f aca="false">IF(G$4-Assumptions!$C$73&gt;=1,INDEX('36-Month Forecast'!$C$55:$AL$55,1,G$4-Assumptions!$C$73)+INDEX('36-Month Forecast'!$C$52:$AL$52,1,G$4-Assumptions!$C$73)*'Unit Economics'!$H$53,0)</f>
        <v>0</v>
      </c>
      <c r="H12" s="8" t="n">
        <f aca="false">IF(H$4-Assumptions!$C$73&gt;=1,INDEX('36-Month Forecast'!$C$55:$AL$55,1,H$4-Assumptions!$C$73)+INDEX('36-Month Forecast'!$C$52:$AL$52,1,H$4-Assumptions!$C$73)*'Unit Economics'!$H$53,0)</f>
        <v>0.837314999999999</v>
      </c>
      <c r="I12" s="8" t="n">
        <f aca="false">IF(I$4-Assumptions!$C$73&gt;=1,INDEX('36-Month Forecast'!$C$55:$AL$55,1,I$4-Assumptions!$C$73)+INDEX('36-Month Forecast'!$C$52:$AL$52,1,I$4-Assumptions!$C$73)*'Unit Economics'!$H$53,0)</f>
        <v>1.61260666666667</v>
      </c>
      <c r="J12" s="8" t="n">
        <f aca="false">IF(J$4-Assumptions!$C$73&gt;=1,INDEX('36-Month Forecast'!$C$55:$AL$55,1,J$4-Assumptions!$C$73)+INDEX('36-Month Forecast'!$C$52:$AL$52,1,J$4-Assumptions!$C$73)*'Unit Economics'!$H$53,0)</f>
        <v>1.811279808</v>
      </c>
      <c r="K12" s="8" t="n">
        <f aca="false">IF(K$4-Assumptions!$C$73&gt;=1,INDEX('36-Month Forecast'!$C$55:$AL$55,1,K$4-Assumptions!$C$73)+INDEX('36-Month Forecast'!$C$52:$AL$52,1,K$4-Assumptions!$C$73)*'Unit Economics'!$H$53,0)</f>
        <v>2.79071259306666</v>
      </c>
      <c r="L12" s="8" t="n">
        <f aca="false">IF(L$4-Assumptions!$C$73&gt;=1,INDEX('36-Month Forecast'!$C$55:$AL$55,1,L$4-Assumptions!$C$73)+INDEX('36-Month Forecast'!$C$52:$AL$52,1,L$4-Assumptions!$C$73)*'Unit Economics'!$H$53,0)</f>
        <v>3.809322689536</v>
      </c>
      <c r="M12" s="8" t="n">
        <f aca="false">IF(M$4-Assumptions!$C$73&gt;=1,INDEX('36-Month Forecast'!$C$55:$AL$55,1,M$4-Assumptions!$C$73)+INDEX('36-Month Forecast'!$C$52:$AL$52,1,M$4-Assumptions!$C$73)*'Unit Economics'!$H$53,0)</f>
        <v>4.30126950544179</v>
      </c>
      <c r="N12" s="8" t="n">
        <f aca="false">IF(N$4-Assumptions!$C$73&gt;=1,INDEX('36-Month Forecast'!$C$55:$AL$55,1,N$4-Assumptions!$C$73)+INDEX('36-Month Forecast'!$C$52:$AL$52,1,N$4-Assumptions!$C$73)*'Unit Economics'!$H$53,0)</f>
        <v>4.70875819543101</v>
      </c>
      <c r="O12" s="8" t="n">
        <f aca="false">IF(O$4-Assumptions!$C$73&gt;=1,INDEX('36-Month Forecast'!$C$55:$AL$55,1,O$4-Assumptions!$C$73)+INDEX('36-Month Forecast'!$C$52:$AL$52,1,O$4-Assumptions!$C$73)*'Unit Economics'!$H$53,0)</f>
        <v>4.65225309708584</v>
      </c>
      <c r="P12" s="8" t="n">
        <f aca="false">IF(P$4-Assumptions!$C$73&gt;=1,INDEX('36-Month Forecast'!$C$55:$AL$55,1,P$4-Assumptions!$C$73)+INDEX('36-Month Forecast'!$C$52:$AL$52,1,P$4-Assumptions!$C$73)*'Unit Economics'!$H$53,0)</f>
        <v>4.32904393455145</v>
      </c>
      <c r="Q12" s="8" t="n">
        <f aca="false">IF(Q$4-Assumptions!$C$73&gt;=1,INDEX('36-Month Forecast'!$C$55:$AL$55,1,Q$4-Assumptions!$C$73)+INDEX('36-Month Forecast'!$C$52:$AL$52,1,Q$4-Assumptions!$C$73)*'Unit Economics'!$H$53,0)</f>
        <v>4.50220569193351</v>
      </c>
      <c r="R12" s="8" t="n">
        <f aca="false">IF(R$4-Assumptions!$C$73&gt;=1,INDEX('36-Month Forecast'!$C$55:$AL$55,1,R$4-Assumptions!$C$73)+INDEX('36-Month Forecast'!$C$52:$AL$52,1,R$4-Assumptions!$C$73)*'Unit Economics'!$H$53,0)</f>
        <v>5.1325144888042</v>
      </c>
      <c r="S12" s="8" t="n">
        <f aca="false">IF(S$4-Assumptions!$C$73&gt;=1,INDEX('36-Month Forecast'!$C$55:$AL$55,1,S$4-Assumptions!$C$73)+INDEX('36-Month Forecast'!$C$52:$AL$52,1,S$4-Assumptions!$C$73)*'Unit Economics'!$H$53,0)</f>
        <v>7.16390969700461</v>
      </c>
      <c r="T12" s="8" t="n">
        <f aca="false">IF(T$4-Assumptions!$C$73&gt;=1,INDEX('36-Month Forecast'!$C$55:$AL$55,1,T$4-Assumptions!$C$73)+INDEX('36-Month Forecast'!$C$52:$AL$52,1,T$4-Assumptions!$C$73)*'Unit Economics'!$H$53,0)</f>
        <v>7.58823357905796</v>
      </c>
      <c r="U12" s="8" t="n">
        <f aca="false">IF(U$4-Assumptions!$C$73&gt;=1,INDEX('36-Month Forecast'!$C$55:$AL$55,1,U$4-Assumptions!$C$73)+INDEX('36-Month Forecast'!$C$52:$AL$52,1,U$4-Assumptions!$C$73)*'Unit Economics'!$H$53,0)</f>
        <v>7.16666504688807</v>
      </c>
      <c r="V12" s="8" t="n">
        <f aca="false">IF(V$4-Assumptions!$C$73&gt;=1,INDEX('36-Month Forecast'!$C$55:$AL$55,1,V$4-Assumptions!$C$73)+INDEX('36-Month Forecast'!$C$52:$AL$52,1,V$4-Assumptions!$C$73)*'Unit Economics'!$H$53,0)</f>
        <v>5.2631988104346</v>
      </c>
      <c r="W12" s="8" t="n">
        <f aca="false">IF(W$4-Assumptions!$C$73&gt;=1,INDEX('36-Month Forecast'!$C$55:$AL$55,1,W$4-Assumptions!$C$73)+INDEX('36-Month Forecast'!$C$52:$AL$52,1,W$4-Assumptions!$C$73)*'Unit Economics'!$H$53,0)</f>
        <v>5.96495865182588</v>
      </c>
      <c r="X12" s="8" t="n">
        <f aca="false">IF(X$4-Assumptions!$C$73&gt;=1,INDEX('36-Month Forecast'!$C$55:$AL$55,1,X$4-Assumptions!$C$73)+INDEX('36-Month Forecast'!$C$52:$AL$52,1,X$4-Assumptions!$C$73)*'Unit Economics'!$H$53,0)</f>
        <v>6.38847071610552</v>
      </c>
      <c r="Y12" s="8" t="n">
        <f aca="false">IF(Y$4-Assumptions!$C$73&gt;=1,INDEX('36-Month Forecast'!$C$55:$AL$55,1,Y$4-Assumptions!$C$73)+INDEX('36-Month Forecast'!$C$52:$AL$52,1,Y$4-Assumptions!$C$73)*'Unit Economics'!$H$53,0)</f>
        <v>5.89564583229166</v>
      </c>
      <c r="Z12" s="8" t="n">
        <f aca="false">IF(Z$4-Assumptions!$C$73&gt;=1,INDEX('36-Month Forecast'!$C$55:$AL$55,1,Z$4-Assumptions!$C$73)+INDEX('36-Month Forecast'!$C$52:$AL$52,1,Z$4-Assumptions!$C$73)*'Unit Economics'!$H$53,0)</f>
        <v>6.33006184098684</v>
      </c>
      <c r="AA12" s="8" t="n">
        <f aca="false">IF(AA$4-Assumptions!$C$73&gt;=1,INDEX('36-Month Forecast'!$C$55:$AL$55,1,AA$4-Assumptions!$C$73)+INDEX('36-Month Forecast'!$C$52:$AL$52,1,AA$4-Assumptions!$C$73)*'Unit Economics'!$H$53,0)</f>
        <v>6.13382992391625</v>
      </c>
      <c r="AB12" s="8" t="n">
        <f aca="false">IF(AB$4-Assumptions!$C$73&gt;=1,INDEX('36-Month Forecast'!$C$55:$AL$55,1,AB$4-Assumptions!$C$73)+INDEX('36-Month Forecast'!$C$52:$AL$52,1,AB$4-Assumptions!$C$73)*'Unit Economics'!$H$53,0)</f>
        <v>5.5979268884583</v>
      </c>
      <c r="AC12" s="8" t="n">
        <f aca="false">IF(AC$4-Assumptions!$C$73&gt;=1,INDEX('36-Month Forecast'!$C$55:$AL$55,1,AC$4-Assumptions!$C$73)+INDEX('36-Month Forecast'!$C$52:$AL$52,1,AC$4-Assumptions!$C$73)*'Unit Economics'!$H$53,0)</f>
        <v>5.70988542622747</v>
      </c>
      <c r="AD12" s="8" t="n">
        <f aca="false">IF(AD$4-Assumptions!$C$73&gt;=1,INDEX('36-Month Forecast'!$C$55:$AL$55,1,AD$4-Assumptions!$C$73)+INDEX('36-Month Forecast'!$C$52:$AL$52,1,AD$4-Assumptions!$C$73)*'Unit Economics'!$H$53,0)</f>
        <v>6.44545301937089</v>
      </c>
      <c r="AE12" s="8" t="n">
        <f aca="false">IF(AE$4-Assumptions!$C$73&gt;=1,INDEX('36-Month Forecast'!$C$55:$AL$55,1,AE$4-Assumptions!$C$73)+INDEX('36-Month Forecast'!$C$52:$AL$52,1,AE$4-Assumptions!$C$73)*'Unit Economics'!$H$53,0)</f>
        <v>8.90829454150945</v>
      </c>
      <c r="AF12" s="8" t="n">
        <f aca="false">IF(AF$4-Assumptions!$C$73&gt;=1,INDEX('36-Month Forecast'!$C$55:$AL$55,1,AF$4-Assumptions!$C$73)+INDEX('36-Month Forecast'!$C$52:$AL$52,1,AF$4-Assumptions!$C$73)*'Unit Economics'!$H$53,0)</f>
        <v>9.34343046719087</v>
      </c>
      <c r="AG12" s="8" t="n">
        <f aca="false">IF(AG$4-Assumptions!$C$73&gt;=1,INDEX('36-Month Forecast'!$C$55:$AL$55,1,AG$4-Assumptions!$C$73)+INDEX('36-Month Forecast'!$C$52:$AL$52,1,AG$4-Assumptions!$C$73)*'Unit Economics'!$H$53,0)</f>
        <v>8.7378377517248</v>
      </c>
      <c r="AH12" s="8" t="n">
        <f aca="false">IF(AH$4-Assumptions!$C$73&gt;=1,INDEX('36-Month Forecast'!$C$55:$AL$55,1,AH$4-Assumptions!$C$73)+INDEX('36-Month Forecast'!$C$52:$AL$52,1,AH$4-Assumptions!$C$73)*'Unit Economics'!$H$53,0)</f>
        <v>6.35415561305427</v>
      </c>
      <c r="AI12" s="8" t="n">
        <f aca="false">IF(AI$4-Assumptions!$C$73&gt;=1,INDEX('36-Month Forecast'!$C$55:$AL$55,1,AI$4-Assumptions!$C$73)+INDEX('36-Month Forecast'!$C$52:$AL$52,1,AI$4-Assumptions!$C$73)*'Unit Economics'!$H$53,0)</f>
        <v>7.13077463242757</v>
      </c>
      <c r="AJ12" s="8" t="n">
        <f aca="false">IF(AJ$4-Assumptions!$C$73&gt;=1,INDEX('36-Month Forecast'!$C$55:$AL$55,1,AJ$4-Assumptions!$C$73)+INDEX('36-Month Forecast'!$C$52:$AL$52,1,AJ$4-Assumptions!$C$73)*'Unit Economics'!$H$53,0)</f>
        <v>7.56218649768944</v>
      </c>
      <c r="AK12" s="8" t="n">
        <f aca="false">IF(AK$4-Assumptions!$C$73&gt;=1,INDEX('36-Month Forecast'!$C$55:$AL$55,1,AK$4-Assumptions!$C$73)+INDEX('36-Month Forecast'!$C$52:$AL$52,1,AK$4-Assumptions!$C$73)*'Unit Economics'!$H$53,0)</f>
        <v>6.9103980424124</v>
      </c>
      <c r="AL12" s="8" t="n">
        <f aca="false">IF(AL$4-Assumptions!$C$73&gt;=1,INDEX('36-Month Forecast'!$C$55:$AL$55,1,AL$4-Assumptions!$C$73)+INDEX('36-Month Forecast'!$C$52:$AL$52,1,AL$4-Assumptions!$C$73)*'Unit Economics'!$H$53,0)</f>
        <v>7.34684423456476</v>
      </c>
      <c r="AM12" s="45" t="n">
        <f aca="false">SUMIF($C$6:$AL$6,1,C12:AL12)</f>
        <v>19.8712644581421</v>
      </c>
      <c r="AN12" s="45" t="n">
        <f aca="false">SUMIF($C$6:$AL$6,2,C12:AL12)</f>
        <v>70.3771613869701</v>
      </c>
      <c r="AO12" s="45" t="n">
        <f aca="false">SUMIF($C$6:$AL$6,3,C12:AL12)</f>
        <v>86.1810170385464</v>
      </c>
      <c r="AP12" s="45" t="n">
        <f aca="false">SUM(C12:AL12)</f>
        <v>176.429442883659</v>
      </c>
    </row>
    <row r="13" customFormat="false" ht="15" hidden="false" customHeight="false" outlineLevel="0" collapsed="false">
      <c r="A13" s="7" t="s">
        <v>814</v>
      </c>
      <c r="C13" s="8" t="n">
        <f aca="false">IF(C$4-Assumptions!$C$74&gt;=1,INDEX('36-Month Forecast'!$C$65:$AL$65,1,C$4-Assumptions!$C$74)+INDEX('36-Month Forecast'!$C$62:$AL$62,1,C$4-Assumptions!$C$74)*'Unit Economics'!$H$54,0)</f>
        <v>-0</v>
      </c>
      <c r="D13" s="8" t="n">
        <f aca="false">IF(D$4-Assumptions!$C$74&gt;=1,INDEX('36-Month Forecast'!$C$65:$AL$65,1,D$4-Assumptions!$C$74)+INDEX('36-Month Forecast'!$C$62:$AL$62,1,D$4-Assumptions!$C$74)*'Unit Economics'!$H$54,0)</f>
        <v>-0</v>
      </c>
      <c r="E13" s="8" t="n">
        <f aca="false">IF(E$4-Assumptions!$C$74&gt;=1,INDEX('36-Month Forecast'!$C$65:$AL$65,1,E$4-Assumptions!$C$74)+INDEX('36-Month Forecast'!$C$62:$AL$62,1,E$4-Assumptions!$C$74)*'Unit Economics'!$H$54,0)</f>
        <v>0</v>
      </c>
      <c r="F13" s="8" t="n">
        <f aca="false">IF(F$4-Assumptions!$C$74&gt;=1,INDEX('36-Month Forecast'!$C$65:$AL$65,1,F$4-Assumptions!$C$74)+INDEX('36-Month Forecast'!$C$62:$AL$62,1,F$4-Assumptions!$C$74)*'Unit Economics'!$H$54,0)</f>
        <v>0.774998756928</v>
      </c>
      <c r="G13" s="8" t="n">
        <f aca="false">IF(G$4-Assumptions!$C$74&gt;=1,INDEX('36-Month Forecast'!$C$65:$AL$65,1,G$4-Assumptions!$C$74)+INDEX('36-Month Forecast'!$C$62:$AL$62,1,G$4-Assumptions!$C$74)*'Unit Economics'!$H$54,0)</f>
        <v>1.20527806677443</v>
      </c>
      <c r="H13" s="8" t="n">
        <f aca="false">IF(H$4-Assumptions!$C$74&gt;=1,INDEX('36-Month Forecast'!$C$65:$AL$65,1,H$4-Assumptions!$C$74)+INDEX('36-Month Forecast'!$C$62:$AL$62,1,H$4-Assumptions!$C$74)*'Unit Economics'!$H$54,0)</f>
        <v>2.16950052019397</v>
      </c>
      <c r="I13" s="8" t="n">
        <f aca="false">IF(I$4-Assumptions!$C$74&gt;=1,INDEX('36-Month Forecast'!$C$65:$AL$65,1,I$4-Assumptions!$C$74)+INDEX('36-Month Forecast'!$C$62:$AL$62,1,I$4-Assumptions!$C$74)*'Unit Economics'!$H$54,0)</f>
        <v>3.28028478653328</v>
      </c>
      <c r="J13" s="8" t="n">
        <f aca="false">IF(J$4-Assumptions!$C$74&gt;=1,INDEX('36-Month Forecast'!$C$65:$AL$65,1,J$4-Assumptions!$C$74)+INDEX('36-Month Forecast'!$C$62:$AL$62,1,J$4-Assumptions!$C$74)*'Unit Economics'!$H$54,0)</f>
        <v>4.00663356069422</v>
      </c>
      <c r="K13" s="8" t="n">
        <f aca="false">IF(K$4-Assumptions!$C$74&gt;=1,INDEX('36-Month Forecast'!$C$65:$AL$65,1,K$4-Assumptions!$C$74)+INDEX('36-Month Forecast'!$C$62:$AL$62,1,K$4-Assumptions!$C$74)*'Unit Economics'!$H$54,0)</f>
        <v>5.46589167858917</v>
      </c>
      <c r="L13" s="8" t="n">
        <f aca="false">IF(L$4-Assumptions!$C$74&gt;=1,INDEX('36-Month Forecast'!$C$65:$AL$65,1,L$4-Assumptions!$C$74)+INDEX('36-Month Forecast'!$C$62:$AL$62,1,L$4-Assumptions!$C$74)*'Unit Economics'!$H$54,0)</f>
        <v>5.60800486223248</v>
      </c>
      <c r="M13" s="8" t="n">
        <f aca="false">IF(M$4-Assumptions!$C$74&gt;=1,INDEX('36-Month Forecast'!$C$65:$AL$65,1,M$4-Assumptions!$C$74)+INDEX('36-Month Forecast'!$C$62:$AL$62,1,M$4-Assumptions!$C$74)*'Unit Economics'!$H$54,0)</f>
        <v>5.41910364582044</v>
      </c>
      <c r="N13" s="8" t="n">
        <f aca="false">IF(N$4-Assumptions!$C$74&gt;=1,INDEX('36-Month Forecast'!$C$65:$AL$65,1,N$4-Assumptions!$C$74)+INDEX('36-Month Forecast'!$C$62:$AL$62,1,N$4-Assumptions!$C$74)*'Unit Economics'!$H$54,0)</f>
        <v>5.85263193748608</v>
      </c>
      <c r="O13" s="8" t="n">
        <f aca="false">IF(O$4-Assumptions!$C$74&gt;=1,INDEX('36-Month Forecast'!$C$65:$AL$65,1,O$4-Assumptions!$C$74)+INDEX('36-Month Forecast'!$C$62:$AL$62,1,O$4-Assumptions!$C$74)*'Unit Economics'!$H$54,0)</f>
        <v>6.80282394616029</v>
      </c>
      <c r="P13" s="8" t="n">
        <f aca="false">IF(P$4-Assumptions!$C$74&gt;=1,INDEX('36-Month Forecast'!$C$65:$AL$65,1,P$4-Assumptions!$C$74)+INDEX('36-Month Forecast'!$C$62:$AL$62,1,P$4-Assumptions!$C$74)*'Unit Economics'!$H$54,0)</f>
        <v>9.68149260548286</v>
      </c>
      <c r="Q13" s="8" t="n">
        <f aca="false">IF(Q$4-Assumptions!$C$74&gt;=1,INDEX('36-Month Forecast'!$C$65:$AL$65,1,Q$4-Assumptions!$C$74)+INDEX('36-Month Forecast'!$C$62:$AL$62,1,Q$4-Assumptions!$C$74)*'Unit Economics'!$H$54,0)</f>
        <v>10.4560120139215</v>
      </c>
      <c r="R13" s="8" t="n">
        <f aca="false">IF(R$4-Assumptions!$C$74&gt;=1,INDEX('36-Month Forecast'!$C$65:$AL$65,1,R$4-Assumptions!$C$74)+INDEX('36-Month Forecast'!$C$62:$AL$62,1,R$4-Assumptions!$C$74)*'Unit Economics'!$H$54,0)</f>
        <v>10.0687523097022</v>
      </c>
      <c r="S13" s="8" t="n">
        <f aca="false">IF(S$4-Assumptions!$C$74&gt;=1,INDEX('36-Month Forecast'!$C$65:$AL$65,1,S$4-Assumptions!$C$74)+INDEX('36-Month Forecast'!$C$62:$AL$62,1,S$4-Assumptions!$C$74)*'Unit Economics'!$H$54,0)</f>
        <v>7.53948172950499</v>
      </c>
      <c r="T13" s="8" t="n">
        <f aca="false">IF(T$4-Assumptions!$C$74&gt;=1,INDEX('36-Month Forecast'!$C$65:$AL$65,1,T$4-Assumptions!$C$74)+INDEX('36-Month Forecast'!$C$62:$AL$62,1,T$4-Assumptions!$C$74)*'Unit Economics'!$H$54,0)</f>
        <v>8.7122899985391</v>
      </c>
      <c r="U13" s="8" t="n">
        <f aca="false">IF(U$4-Assumptions!$C$74&gt;=1,INDEX('36-Month Forecast'!$C$65:$AL$65,1,U$4-Assumptions!$C$74)+INDEX('36-Month Forecast'!$C$62:$AL$62,1,U$4-Assumptions!$C$74)*'Unit Economics'!$H$54,0)</f>
        <v>9.51382067840469</v>
      </c>
      <c r="V13" s="8" t="n">
        <f aca="false">IF(V$4-Assumptions!$C$74&gt;=1,INDEX('36-Month Forecast'!$C$65:$AL$65,1,V$4-Assumptions!$C$74)+INDEX('36-Month Forecast'!$C$62:$AL$62,1,V$4-Assumptions!$C$74)*'Unit Economics'!$H$54,0)</f>
        <v>8.95205221929889</v>
      </c>
      <c r="W13" s="8" t="n">
        <f aca="false">IF(W$4-Assumptions!$C$74&gt;=1,INDEX('36-Month Forecast'!$C$65:$AL$65,1,W$4-Assumptions!$C$74)+INDEX('36-Month Forecast'!$C$62:$AL$62,1,W$4-Assumptions!$C$74)*'Unit Economics'!$H$54,0)</f>
        <v>9.80014137691668</v>
      </c>
      <c r="X13" s="8" t="n">
        <f aca="false">IF(X$4-Assumptions!$C$74&gt;=1,INDEX('36-Month Forecast'!$C$65:$AL$65,1,X$4-Assumptions!$C$74)+INDEX('36-Month Forecast'!$C$62:$AL$62,1,X$4-Assumptions!$C$74)*'Unit Economics'!$H$54,0)</f>
        <v>9.68253968039368</v>
      </c>
      <c r="Y13" s="8" t="n">
        <f aca="false">IF(Y$4-Assumptions!$C$74&gt;=1,INDEX('36-Month Forecast'!$C$65:$AL$65,1,Y$4-Assumptions!$C$74)+INDEX('36-Month Forecast'!$C$62:$AL$62,1,Y$4-Assumptions!$C$74)*'Unit Economics'!$H$54,0)</f>
        <v>9.00985797628212</v>
      </c>
      <c r="Z13" s="8" t="n">
        <f aca="false">IF(Z$4-Assumptions!$C$74&gt;=1,INDEX('36-Month Forecast'!$C$65:$AL$65,1,Z$4-Assumptions!$C$74)+INDEX('36-Month Forecast'!$C$62:$AL$62,1,Z$4-Assumptions!$C$74)*'Unit Economics'!$H$54,0)</f>
        <v>9.37025229533341</v>
      </c>
      <c r="AA13" s="8" t="n">
        <f aca="false">IF(AA$4-Assumptions!$C$74&gt;=1,INDEX('36-Month Forecast'!$C$65:$AL$65,1,AA$4-Assumptions!$C$74)+INDEX('36-Month Forecast'!$C$62:$AL$62,1,AA$4-Assumptions!$C$74)*'Unit Economics'!$H$54,0)</f>
        <v>10.6820876166801</v>
      </c>
      <c r="AB13" s="8" t="n">
        <f aca="false">IF(AB$4-Assumptions!$C$74&gt;=1,INDEX('36-Month Forecast'!$C$65:$AL$65,1,AB$4-Assumptions!$C$74)+INDEX('36-Month Forecast'!$C$62:$AL$62,1,AB$4-Assumptions!$C$74)*'Unit Economics'!$H$54,0)</f>
        <v>14.9099454523345</v>
      </c>
      <c r="AC13" s="8" t="n">
        <f aca="false">IF(AC$4-Assumptions!$C$74&gt;=1,INDEX('36-Month Forecast'!$C$65:$AL$65,1,AC$4-Assumptions!$C$74)+INDEX('36-Month Forecast'!$C$62:$AL$62,1,AC$4-Assumptions!$C$74)*'Unit Economics'!$H$54,0)</f>
        <v>15.7930729906651</v>
      </c>
      <c r="AD13" s="8" t="n">
        <f aca="false">IF(AD$4-Assumptions!$C$74&gt;=1,INDEX('36-Month Forecast'!$C$65:$AL$65,1,AD$4-Assumptions!$C$74)+INDEX('36-Month Forecast'!$C$62:$AL$62,1,AD$4-Assumptions!$C$74)*'Unit Economics'!$H$54,0)</f>
        <v>14.9156800467393</v>
      </c>
      <c r="AE13" s="8" t="n">
        <f aca="false">IF(AE$4-Assumptions!$C$74&gt;=1,INDEX('36-Month Forecast'!$C$65:$AL$65,1,AE$4-Assumptions!$C$74)+INDEX('36-Month Forecast'!$C$62:$AL$62,1,AE$4-Assumptions!$C$74)*'Unit Economics'!$H$54,0)</f>
        <v>10.9540754263253</v>
      </c>
      <c r="AF13" s="8" t="n">
        <f aca="false">IF(AF$4-Assumptions!$C$74&gt;=1,INDEX('36-Month Forecast'!$C$65:$AL$65,1,AF$4-Assumptions!$C$74)+INDEX('36-Month Forecast'!$C$62:$AL$62,1,AF$4-Assumptions!$C$74)*'Unit Economics'!$H$54,0)</f>
        <v>12.414618816502</v>
      </c>
      <c r="AG13" s="8" t="n">
        <f aca="false">IF(AG$4-Assumptions!$C$74&gt;=1,INDEX('36-Month Forecast'!$C$65:$AL$65,1,AG$4-Assumptions!$C$74)+INDEX('36-Month Forecast'!$C$62:$AL$62,1,AG$4-Assumptions!$C$74)*'Unit Economics'!$H$54,0)</f>
        <v>13.2960567524737</v>
      </c>
      <c r="AH13" s="8" t="n">
        <f aca="false">IF(AH$4-Assumptions!$C$74&gt;=1,INDEX('36-Month Forecast'!$C$65:$AL$65,1,AH$4-Assumptions!$C$74)+INDEX('36-Month Forecast'!$C$62:$AL$62,1,AH$4-Assumptions!$C$74)*'Unit Economics'!$H$54,0)</f>
        <v>12.2703609458543</v>
      </c>
      <c r="AI13" s="8" t="n">
        <f aca="false">IF(AI$4-Assumptions!$C$74&gt;=1,INDEX('36-Month Forecast'!$C$65:$AL$65,1,AI$4-Assumptions!$C$74)+INDEX('36-Month Forecast'!$C$62:$AL$62,1,AI$4-Assumptions!$C$74)*'Unit Economics'!$H$54,0)</f>
        <v>13.1744928050225</v>
      </c>
      <c r="AJ13" s="8" t="n">
        <f aca="false">IF(AJ$4-Assumptions!$C$74&gt;=1,INDEX('36-Month Forecast'!$C$65:$AL$65,1,AJ$4-Assumptions!$C$74)+INDEX('36-Month Forecast'!$C$62:$AL$62,1,AJ$4-Assumptions!$C$74)*'Unit Economics'!$H$54,0)</f>
        <v>12.7660835280668</v>
      </c>
      <c r="AK13" s="8" t="n">
        <f aca="false">IF(AK$4-Assumptions!$C$74&gt;=1,INDEX('36-Month Forecast'!$C$65:$AL$65,1,AK$4-Assumptions!$C$74)+INDEX('36-Month Forecast'!$C$62:$AL$62,1,AK$4-Assumptions!$C$74)*'Unit Economics'!$H$54,0)</f>
        <v>11.6507309671936</v>
      </c>
      <c r="AL13" s="8" t="n">
        <f aca="false">IF(AL$4-Assumptions!$C$74&gt;=1,INDEX('36-Month Forecast'!$C$65:$AL$65,1,AL$4-Assumptions!$C$74)+INDEX('36-Month Forecast'!$C$62:$AL$62,1,AL$4-Assumptions!$C$74)*'Unit Economics'!$H$54,0)</f>
        <v>11.8837455865374</v>
      </c>
      <c r="AM13" s="45" t="n">
        <f aca="false">SUMIF($C$6:$AL$6,1,C13:AL13)</f>
        <v>33.7823278152521</v>
      </c>
      <c r="AN13" s="45" t="n">
        <f aca="false">SUMIF($C$6:$AL$6,2,C13:AL13)</f>
        <v>109.58951682994</v>
      </c>
      <c r="AO13" s="45" t="n">
        <f aca="false">SUMIF($C$6:$AL$6,3,C13:AL13)</f>
        <v>154.710950934395</v>
      </c>
      <c r="AP13" s="45" t="n">
        <f aca="false">SUM(C13:AL13)</f>
        <v>298.082795579587</v>
      </c>
    </row>
    <row r="14" customFormat="false" ht="15" hidden="false" customHeight="false" outlineLevel="0" collapsed="false">
      <c r="A14" s="7" t="s">
        <v>815</v>
      </c>
      <c r="C14" s="8" t="n">
        <f aca="false">IF(C$4-Assumptions!$C$75&gt;=1,INDEX('36-Month Forecast'!$C$75:$AL$75,1,C$4-Assumptions!$C$75)+INDEX('36-Month Forecast'!$C$72:$AL$72,1,C$4-Assumptions!$C$75)*'Unit Economics'!$H$55,0)</f>
        <v>-0</v>
      </c>
      <c r="D14" s="8" t="n">
        <f aca="false">IF(D$4-Assumptions!$C$75&gt;=1,INDEX('36-Month Forecast'!$C$75:$AL$75,1,D$4-Assumptions!$C$75)+INDEX('36-Month Forecast'!$C$72:$AL$72,1,D$4-Assumptions!$C$75)*'Unit Economics'!$H$55,0)</f>
        <v>-0</v>
      </c>
      <c r="E14" s="8" t="n">
        <f aca="false">IF(E$4-Assumptions!$C$75&gt;=1,INDEX('36-Month Forecast'!$C$75:$AL$75,1,E$4-Assumptions!$C$75)+INDEX('36-Month Forecast'!$C$72:$AL$72,1,E$4-Assumptions!$C$75)*'Unit Economics'!$H$55,0)</f>
        <v>0</v>
      </c>
      <c r="F14" s="8" t="n">
        <f aca="false">IF(F$4-Assumptions!$C$75&gt;=1,INDEX('36-Month Forecast'!$C$75:$AL$75,1,F$4-Assumptions!$C$75)+INDEX('36-Month Forecast'!$C$72:$AL$72,1,F$4-Assumptions!$C$75)*'Unit Economics'!$H$55,0)</f>
        <v>0.158473864860167</v>
      </c>
      <c r="G14" s="8" t="n">
        <f aca="false">IF(G$4-Assumptions!$C$75&gt;=1,INDEX('36-Month Forecast'!$C$75:$AL$75,1,G$4-Assumptions!$C$75)+INDEX('36-Month Forecast'!$C$72:$AL$72,1,G$4-Assumptions!$C$75)*'Unit Economics'!$H$55,0)</f>
        <v>0.323514525535022</v>
      </c>
      <c r="H14" s="8" t="n">
        <f aca="false">IF(H$4-Assumptions!$C$75&gt;=1,INDEX('36-Month Forecast'!$C$75:$AL$75,1,H$4-Assumptions!$C$75)+INDEX('36-Month Forecast'!$C$72:$AL$72,1,H$4-Assumptions!$C$75)*'Unit Economics'!$H$55,0)</f>
        <v>0.663307710217646</v>
      </c>
      <c r="I14" s="8" t="n">
        <f aca="false">IF(I$4-Assumptions!$C$75&gt;=1,INDEX('36-Month Forecast'!$C$75:$AL$75,1,I$4-Assumptions!$C$75)+INDEX('36-Month Forecast'!$C$72:$AL$72,1,I$4-Assumptions!$C$75)*'Unit Economics'!$H$55,0)</f>
        <v>1.14559309171266</v>
      </c>
      <c r="J14" s="8" t="n">
        <f aca="false">IF(J$4-Assumptions!$C$75&gt;=1,INDEX('36-Month Forecast'!$C$75:$AL$75,1,J$4-Assumptions!$C$75)+INDEX('36-Month Forecast'!$C$72:$AL$72,1,J$4-Assumptions!$C$75)*'Unit Economics'!$H$55,0)</f>
        <v>1.57844049669114</v>
      </c>
      <c r="K14" s="8" t="n">
        <f aca="false">IF(K$4-Assumptions!$C$75&gt;=1,INDEX('36-Month Forecast'!$C$75:$AL$75,1,K$4-Assumptions!$C$75)+INDEX('36-Month Forecast'!$C$72:$AL$72,1,K$4-Assumptions!$C$75)*'Unit Economics'!$H$55,0)</f>
        <v>2.33665648342465</v>
      </c>
      <c r="L14" s="8" t="n">
        <f aca="false">IF(L$4-Assumptions!$C$75&gt;=1,INDEX('36-Month Forecast'!$C$75:$AL$75,1,L$4-Assumptions!$C$75)+INDEX('36-Month Forecast'!$C$72:$AL$72,1,L$4-Assumptions!$C$75)*'Unit Economics'!$H$55,0)</f>
        <v>2.5891348450609</v>
      </c>
      <c r="M14" s="8" t="n">
        <f aca="false">IF(M$4-Assumptions!$C$75&gt;=1,INDEX('36-Month Forecast'!$C$75:$AL$75,1,M$4-Assumptions!$C$75)+INDEX('36-Month Forecast'!$C$72:$AL$72,1,M$4-Assumptions!$C$75)*'Unit Economics'!$H$55,0)</f>
        <v>2.65003773108314</v>
      </c>
      <c r="N14" s="8" t="n">
        <f aca="false">IF(N$4-Assumptions!$C$75&gt;=1,INDEX('36-Month Forecast'!$C$75:$AL$75,1,N$4-Assumptions!$C$75)+INDEX('36-Month Forecast'!$C$72:$AL$72,1,N$4-Assumptions!$C$75)*'Unit Economics'!$H$55,0)</f>
        <v>2.96290906764543</v>
      </c>
      <c r="O14" s="8" t="n">
        <f aca="false">IF(O$4-Assumptions!$C$75&gt;=1,INDEX('36-Month Forecast'!$C$75:$AL$75,1,O$4-Assumptions!$C$75)+INDEX('36-Month Forecast'!$C$72:$AL$72,1,O$4-Assumptions!$C$75)*'Unit Economics'!$H$55,0)</f>
        <v>3.68558071350596</v>
      </c>
      <c r="P14" s="8" t="n">
        <f aca="false">IF(P$4-Assumptions!$C$75&gt;=1,INDEX('36-Month Forecast'!$C$75:$AL$75,1,P$4-Assumptions!$C$75)+INDEX('36-Month Forecast'!$C$72:$AL$72,1,P$4-Assumptions!$C$75)*'Unit Economics'!$H$55,0)</f>
        <v>5.64152904687303</v>
      </c>
      <c r="Q14" s="8" t="n">
        <f aca="false">IF(Q$4-Assumptions!$C$75&gt;=1,INDEX('36-Month Forecast'!$C$75:$AL$75,1,Q$4-Assumptions!$C$75)+INDEX('36-Month Forecast'!$C$72:$AL$72,1,Q$4-Assumptions!$C$75)*'Unit Economics'!$H$55,0)</f>
        <v>6.77230006790461</v>
      </c>
      <c r="R14" s="8" t="n">
        <f aca="false">IF(R$4-Assumptions!$C$75&gt;=1,INDEX('36-Month Forecast'!$C$75:$AL$75,1,R$4-Assumptions!$C$75)+INDEX('36-Month Forecast'!$C$72:$AL$72,1,R$4-Assumptions!$C$75)*'Unit Economics'!$H$55,0)</f>
        <v>7.17417370694254</v>
      </c>
      <c r="S14" s="8" t="n">
        <f aca="false">IF(S$4-Assumptions!$C$75&gt;=1,INDEX('36-Month Forecast'!$C$75:$AL$75,1,S$4-Assumptions!$C$75)+INDEX('36-Month Forecast'!$C$72:$AL$72,1,S$4-Assumptions!$C$75)*'Unit Economics'!$H$55,0)</f>
        <v>5.77411078620655</v>
      </c>
      <c r="T14" s="8" t="n">
        <f aca="false">IF(T$4-Assumptions!$C$75&gt;=1,INDEX('36-Month Forecast'!$C$75:$AL$75,1,T$4-Assumptions!$C$75)+INDEX('36-Month Forecast'!$C$72:$AL$72,1,T$4-Assumptions!$C$75)*'Unit Economics'!$H$55,0)</f>
        <v>6.87862395962997</v>
      </c>
      <c r="U14" s="8" t="n">
        <f aca="false">IF(U$4-Assumptions!$C$75&gt;=1,INDEX('36-Month Forecast'!$C$75:$AL$75,1,U$4-Assumptions!$C$75)+INDEX('36-Month Forecast'!$C$72:$AL$72,1,U$4-Assumptions!$C$75)*'Unit Economics'!$H$55,0)</f>
        <v>7.79413637605813</v>
      </c>
      <c r="V14" s="8" t="n">
        <f aca="false">IF(V$4-Assumptions!$C$75&gt;=1,INDEX('36-Month Forecast'!$C$75:$AL$75,1,V$4-Assumptions!$C$75)+INDEX('36-Month Forecast'!$C$72:$AL$72,1,V$4-Assumptions!$C$75)*'Unit Economics'!$H$55,0)</f>
        <v>7.61691226466497</v>
      </c>
      <c r="W14" s="8" t="n">
        <f aca="false">IF(W$4-Assumptions!$C$75&gt;=1,INDEX('36-Month Forecast'!$C$75:$AL$75,1,W$4-Assumptions!$C$75)+INDEX('36-Month Forecast'!$C$72:$AL$72,1,W$4-Assumptions!$C$75)*'Unit Economics'!$H$55,0)</f>
        <v>8.55553333618585</v>
      </c>
      <c r="X14" s="8" t="n">
        <f aca="false">IF(X$4-Assumptions!$C$75&gt;=1,INDEX('36-Month Forecast'!$C$75:$AL$75,1,X$4-Assumptions!$C$75)+INDEX('36-Month Forecast'!$C$72:$AL$72,1,X$4-Assumptions!$C$75)*'Unit Economics'!$H$55,0)</f>
        <v>8.68987744142394</v>
      </c>
      <c r="Y14" s="8" t="n">
        <f aca="false">IF(Y$4-Assumptions!$C$75&gt;=1,INDEX('36-Month Forecast'!$C$75:$AL$75,1,Y$4-Assumptions!$C$75)+INDEX('36-Month Forecast'!$C$72:$AL$72,1,Y$4-Assumptions!$C$75)*'Unit Economics'!$H$55,0)</f>
        <v>8.25909887825106</v>
      </c>
      <c r="Z14" s="8" t="n">
        <f aca="false">IF(Z$4-Assumptions!$C$75&gt;=1,INDEX('36-Month Forecast'!$C$75:$AL$75,1,Z$4-Assumptions!$C$75)+INDEX('36-Month Forecast'!$C$72:$AL$72,1,Z$4-Assumptions!$C$75)*'Unit Economics'!$H$55,0)</f>
        <v>8.68786989487367</v>
      </c>
      <c r="AA14" s="8" t="n">
        <f aca="false">IF(AA$4-Assumptions!$C$75&gt;=1,INDEX('36-Month Forecast'!$C$75:$AL$75,1,AA$4-Assumptions!$C$75)+INDEX('36-Month Forecast'!$C$72:$AL$72,1,AA$4-Assumptions!$C$75)*'Unit Economics'!$H$55,0)</f>
        <v>10.2049268381826</v>
      </c>
      <c r="AB14" s="8" t="n">
        <f aca="false">IF(AB$4-Assumptions!$C$75&gt;=1,INDEX('36-Month Forecast'!$C$75:$AL$75,1,AB$4-Assumptions!$C$75)+INDEX('36-Month Forecast'!$C$72:$AL$72,1,AB$4-Assumptions!$C$75)*'Unit Economics'!$H$55,0)</f>
        <v>14.7587725501375</v>
      </c>
      <c r="AC14" s="8" t="n">
        <f aca="false">IF(AC$4-Assumptions!$C$75&gt;=1,INDEX('36-Month Forecast'!$C$75:$AL$75,1,AC$4-Assumptions!$C$75)+INDEX('36-Month Forecast'!$C$72:$AL$72,1,AC$4-Assumptions!$C$75)*'Unit Economics'!$H$55,0)</f>
        <v>16.5734250394877</v>
      </c>
      <c r="AD14" s="8" t="n">
        <f aca="false">IF(AD$4-Assumptions!$C$75&gt;=1,INDEX('36-Month Forecast'!$C$75:$AL$75,1,AD$4-Assumptions!$C$75)+INDEX('36-Month Forecast'!$C$72:$AL$72,1,AD$4-Assumptions!$C$75)*'Unit Economics'!$H$55,0)</f>
        <v>16.5602063859488</v>
      </c>
      <c r="AE14" s="8" t="n">
        <f aca="false">IF(AE$4-Assumptions!$C$75&gt;=1,INDEX('36-Month Forecast'!$C$75:$AL$75,1,AE$4-Assumptions!$C$75)+INDEX('36-Month Forecast'!$C$72:$AL$72,1,AE$4-Assumptions!$C$75)*'Unit Economics'!$H$55,0)</f>
        <v>12.7178546611062</v>
      </c>
      <c r="AF14" s="8" t="n">
        <f aca="false">IF(AF$4-Assumptions!$C$75&gt;=1,INDEX('36-Month Forecast'!$C$75:$AL$75,1,AF$4-Assumptions!$C$75)+INDEX('36-Month Forecast'!$C$72:$AL$72,1,AF$4-Assumptions!$C$75)*'Unit Economics'!$H$55,0)</f>
        <v>14.6899840439961</v>
      </c>
      <c r="AG14" s="8" t="n">
        <f aca="false">IF(AG$4-Assumptions!$C$75&gt;=1,INDEX('36-Month Forecast'!$C$75:$AL$75,1,AG$4-Assumptions!$C$75)+INDEX('36-Month Forecast'!$C$72:$AL$72,1,AG$4-Assumptions!$C$75)*'Unit Economics'!$H$55,0)</f>
        <v>16.1160851816395</v>
      </c>
      <c r="AH14" s="8" t="n">
        <f aca="false">IF(AH$4-Assumptions!$C$75&gt;=1,INDEX('36-Month Forecast'!$C$75:$AL$75,1,AH$4-Assumptions!$C$75)+INDEX('36-Month Forecast'!$C$72:$AL$72,1,AH$4-Assumptions!$C$75)*'Unit Economics'!$H$55,0)</f>
        <v>15.2572681037828</v>
      </c>
      <c r="AI14" s="8" t="n">
        <f aca="false">IF(AI$4-Assumptions!$C$75&gt;=1,INDEX('36-Month Forecast'!$C$75:$AL$75,1,AI$4-Assumptions!$C$75)+INDEX('36-Month Forecast'!$C$72:$AL$72,1,AI$4-Assumptions!$C$75)*'Unit Economics'!$H$55,0)</f>
        <v>16.6777391235924</v>
      </c>
      <c r="AJ14" s="8" t="n">
        <f aca="false">IF(AJ$4-Assumptions!$C$75&gt;=1,INDEX('36-Month Forecast'!$C$75:$AL$75,1,AJ$4-Assumptions!$C$75)+INDEX('36-Month Forecast'!$C$72:$AL$72,1,AJ$4-Assumptions!$C$75)*'Unit Economics'!$H$55,0)</f>
        <v>16.4830350713578</v>
      </c>
      <c r="AK14" s="8" t="n">
        <f aca="false">IF(AK$4-Assumptions!$C$75&gt;=1,INDEX('36-Month Forecast'!$C$75:$AL$75,1,AK$4-Assumptions!$C$75)+INDEX('36-Month Forecast'!$C$72:$AL$72,1,AK$4-Assumptions!$C$75)*'Unit Economics'!$H$55,0)</f>
        <v>15.280741974037</v>
      </c>
      <c r="AL14" s="8" t="n">
        <f aca="false">IF(AL$4-Assumptions!$C$75&gt;=1,INDEX('36-Month Forecast'!$C$75:$AL$75,1,AL$4-Assumptions!$C$75)+INDEX('36-Month Forecast'!$C$72:$AL$72,1,AL$4-Assumptions!$C$75)*'Unit Economics'!$H$55,0)</f>
        <v>15.7294656935928</v>
      </c>
      <c r="AM14" s="45" t="n">
        <f aca="false">SUMIF($C$6:$AL$6,1,C14:AL14)</f>
        <v>14.4080678162307</v>
      </c>
      <c r="AN14" s="45" t="n">
        <f aca="false">SUMIF($C$6:$AL$6,2,C14:AL14)</f>
        <v>85.5297464725203</v>
      </c>
      <c r="AO14" s="45" t="n">
        <f aca="false">SUMIF($C$6:$AL$6,3,C14:AL14)</f>
        <v>181.049504666861</v>
      </c>
      <c r="AP14" s="45" t="n">
        <f aca="false">SUM(C14:AL14)</f>
        <v>280.987318955612</v>
      </c>
    </row>
    <row r="15" customFormat="false" ht="15" hidden="false" customHeight="false" outlineLevel="0" collapsed="false">
      <c r="A15" s="7" t="s">
        <v>816</v>
      </c>
      <c r="C15" s="8" t="n">
        <f aca="false">IF(C$4-Assumptions!$C$76&gt;=1,INDEX('36-Month Forecast'!$C$85:$AL$85,1,C$4-Assumptions!$C$76)+INDEX('36-Month Forecast'!$C$82:$AL$82,1,C$4-Assumptions!$C$76)*'Unit Economics'!$H$56,0)</f>
        <v>-0</v>
      </c>
      <c r="D15" s="8" t="n">
        <f aca="false">IF(D$4-Assumptions!$C$76&gt;=1,INDEX('36-Month Forecast'!$C$85:$AL$85,1,D$4-Assumptions!$C$76)+INDEX('36-Month Forecast'!$C$82:$AL$82,1,D$4-Assumptions!$C$76)*'Unit Economics'!$H$56,0)</f>
        <v>-0</v>
      </c>
      <c r="E15" s="8" t="n">
        <f aca="false">IF(E$4-Assumptions!$C$76&gt;=1,INDEX('36-Month Forecast'!$C$85:$AL$85,1,E$4-Assumptions!$C$76)+INDEX('36-Month Forecast'!$C$82:$AL$82,1,E$4-Assumptions!$C$76)*'Unit Economics'!$H$56,0)</f>
        <v>-0</v>
      </c>
      <c r="F15" s="8" t="n">
        <f aca="false">IF(F$4-Assumptions!$C$76&gt;=1,INDEX('36-Month Forecast'!$C$85:$AL$85,1,F$4-Assumptions!$C$76)+INDEX('36-Month Forecast'!$C$82:$AL$82,1,F$4-Assumptions!$C$76)*'Unit Economics'!$H$56,0)</f>
        <v>0</v>
      </c>
      <c r="G15" s="8" t="n">
        <f aca="false">IF(G$4-Assumptions!$C$76&gt;=1,INDEX('36-Month Forecast'!$C$85:$AL$85,1,G$4-Assumptions!$C$76)+INDEX('36-Month Forecast'!$C$82:$AL$82,1,G$4-Assumptions!$C$76)*'Unit Economics'!$H$56,0)</f>
        <v>3.0252026475</v>
      </c>
      <c r="H15" s="8" t="n">
        <f aca="false">IF(H$4-Assumptions!$C$76&gt;=1,INDEX('36-Month Forecast'!$C$85:$AL$85,1,H$4-Assumptions!$C$76)+INDEX('36-Month Forecast'!$C$82:$AL$82,1,H$4-Assumptions!$C$76)*'Unit Economics'!$H$56,0)</f>
        <v>6.991579452</v>
      </c>
      <c r="I15" s="8" t="n">
        <f aca="false">IF(I$4-Assumptions!$C$76&gt;=1,INDEX('36-Month Forecast'!$C$85:$AL$85,1,I$4-Assumptions!$C$76)+INDEX('36-Month Forecast'!$C$82:$AL$82,1,I$4-Assumptions!$C$76)*'Unit Economics'!$H$56,0)</f>
        <v>11.452207142376</v>
      </c>
      <c r="J15" s="8" t="n">
        <f aca="false">IF(J$4-Assumptions!$C$76&gt;=1,INDEX('36-Month Forecast'!$C$85:$AL$85,1,J$4-Assumptions!$C$76)+INDEX('36-Month Forecast'!$C$82:$AL$82,1,J$4-Assumptions!$C$76)*'Unit Economics'!$H$56,0)</f>
        <v>14.3679754370381</v>
      </c>
      <c r="K15" s="8" t="n">
        <f aca="false">IF(K$4-Assumptions!$C$76&gt;=1,INDEX('36-Month Forecast'!$C$85:$AL$85,1,K$4-Assumptions!$C$76)+INDEX('36-Month Forecast'!$C$82:$AL$82,1,K$4-Assumptions!$C$76)*'Unit Economics'!$H$56,0)</f>
        <v>19.6614400717363</v>
      </c>
      <c r="L15" s="8" t="n">
        <f aca="false">IF(L$4-Assumptions!$C$76&gt;=1,INDEX('36-Month Forecast'!$C$85:$AL$85,1,L$4-Assumptions!$C$76)+INDEX('36-Month Forecast'!$C$82:$AL$82,1,L$4-Assumptions!$C$76)*'Unit Economics'!$H$56,0)</f>
        <v>23.3106033490506</v>
      </c>
      <c r="M15" s="8" t="n">
        <f aca="false">IF(M$4-Assumptions!$C$76&gt;=1,INDEX('36-Month Forecast'!$C$85:$AL$85,1,M$4-Assumptions!$C$76)+INDEX('36-Month Forecast'!$C$82:$AL$82,1,M$4-Assumptions!$C$76)*'Unit Economics'!$H$56,0)</f>
        <v>21.6911298532218</v>
      </c>
      <c r="N15" s="8" t="n">
        <f aca="false">IF(N$4-Assumptions!$C$76&gt;=1,INDEX('36-Month Forecast'!$C$85:$AL$85,1,N$4-Assumptions!$C$76)+INDEX('36-Month Forecast'!$C$82:$AL$82,1,N$4-Assumptions!$C$76)*'Unit Economics'!$H$56,0)</f>
        <v>22.5587750473507</v>
      </c>
      <c r="O15" s="8" t="n">
        <f aca="false">IF(O$4-Assumptions!$C$76&gt;=1,INDEX('36-Month Forecast'!$C$85:$AL$85,1,O$4-Assumptions!$C$76)+INDEX('36-Month Forecast'!$C$82:$AL$82,1,O$4-Assumptions!$C$76)*'Unit Economics'!$H$56,0)</f>
        <v>25.7170035539798</v>
      </c>
      <c r="P15" s="8" t="n">
        <f aca="false">IF(P$4-Assumptions!$C$76&gt;=1,INDEX('36-Month Forecast'!$C$85:$AL$85,1,P$4-Assumptions!$C$76)+INDEX('36-Month Forecast'!$C$82:$AL$82,1,P$4-Assumptions!$C$76)*'Unit Economics'!$H$56,0)</f>
        <v>35.8955228553444</v>
      </c>
      <c r="Q15" s="8" t="n">
        <f aca="false">IF(Q$4-Assumptions!$C$76&gt;=1,INDEX('36-Month Forecast'!$C$85:$AL$85,1,Q$4-Assumptions!$C$76)+INDEX('36-Month Forecast'!$C$82:$AL$82,1,Q$4-Assumptions!$C$76)*'Unit Economics'!$H$56,0)</f>
        <v>38.0216422860071</v>
      </c>
      <c r="R15" s="8" t="n">
        <f aca="false">IF(R$4-Assumptions!$C$76&gt;=1,INDEX('36-Month Forecast'!$C$85:$AL$85,1,R$4-Assumptions!$C$76)+INDEX('36-Month Forecast'!$C$82:$AL$82,1,R$4-Assumptions!$C$76)*'Unit Economics'!$H$56,0)</f>
        <v>35.9093288256734</v>
      </c>
      <c r="S15" s="8" t="n">
        <f aca="false">IF(S$4-Assumptions!$C$76&gt;=1,INDEX('36-Month Forecast'!$C$85:$AL$85,1,S$4-Assumptions!$C$76)+INDEX('36-Month Forecast'!$C$82:$AL$82,1,S$4-Assumptions!$C$76)*'Unit Economics'!$H$56,0)</f>
        <v>26.3718110895745</v>
      </c>
      <c r="T15" s="8" t="n">
        <f aca="false">IF(T$4-Assumptions!$C$76&gt;=1,INDEX('36-Month Forecast'!$C$85:$AL$85,1,T$4-Assumptions!$C$76)+INDEX('36-Month Forecast'!$C$82:$AL$82,1,T$4-Assumptions!$C$76)*'Unit Economics'!$H$56,0)</f>
        <v>29.8880525681845</v>
      </c>
      <c r="U15" s="8" t="n">
        <f aca="false">IF(U$4-Assumptions!$C$76&gt;=1,INDEX('36-Month Forecast'!$C$85:$AL$85,1,U$4-Assumptions!$C$76)+INDEX('36-Month Forecast'!$C$82:$AL$82,1,U$4-Assumptions!$C$76)*'Unit Economics'!$H$56,0)</f>
        <v>32.0101043005256</v>
      </c>
      <c r="V15" s="8" t="n">
        <f aca="false">IF(V$4-Assumptions!$C$76&gt;=1,INDEX('36-Month Forecast'!$C$85:$AL$85,1,V$4-Assumptions!$C$76)+INDEX('36-Month Forecast'!$C$82:$AL$82,1,V$4-Assumptions!$C$76)*'Unit Economics'!$H$56,0)</f>
        <v>29.5407533973422</v>
      </c>
      <c r="W15" s="8" t="n">
        <f aca="false">IF(W$4-Assumptions!$C$76&gt;=1,INDEX('36-Month Forecast'!$C$85:$AL$85,1,W$4-Assumptions!$C$76)+INDEX('36-Month Forecast'!$C$82:$AL$82,1,W$4-Assumptions!$C$76)*'Unit Economics'!$H$56,0)</f>
        <v>31.7174404897779</v>
      </c>
      <c r="X15" s="8" t="n">
        <f aca="false">IF(X$4-Assumptions!$C$76&gt;=1,INDEX('36-Month Forecast'!$C$85:$AL$85,1,X$4-Assumptions!$C$76)+INDEX('36-Month Forecast'!$C$82:$AL$82,1,X$4-Assumptions!$C$76)*'Unit Economics'!$H$56,0)</f>
        <v>30.7341998345948</v>
      </c>
      <c r="Y15" s="8" t="n">
        <f aca="false">IF(Y$4-Assumptions!$C$76&gt;=1,INDEX('36-Month Forecast'!$C$85:$AL$85,1,Y$4-Assumptions!$C$76)+INDEX('36-Month Forecast'!$C$82:$AL$82,1,Y$4-Assumptions!$C$76)*'Unit Economics'!$H$56,0)</f>
        <v>28.0490013227302</v>
      </c>
      <c r="Z15" s="8" t="n">
        <f aca="false">IF(Z$4-Assumptions!$C$76&gt;=1,INDEX('36-Month Forecast'!$C$85:$AL$85,1,Z$4-Assumptions!$C$76)+INDEX('36-Month Forecast'!$C$82:$AL$82,1,Z$4-Assumptions!$C$76)*'Unit Economics'!$H$56,0)</f>
        <v>28.6099813491848</v>
      </c>
      <c r="AA15" s="8" t="n">
        <f aca="false">IF(AA$4-Assumptions!$C$76&gt;=1,INDEX('36-Month Forecast'!$C$85:$AL$85,1,AA$4-Assumptions!$C$76)+INDEX('36-Month Forecast'!$C$82:$AL$82,1,AA$4-Assumptions!$C$76)*'Unit Economics'!$H$56,0)</f>
        <v>32.2956201229915</v>
      </c>
      <c r="AB15" s="8" t="n">
        <f aca="false">IF(AB$4-Assumptions!$C$76&gt;=1,INDEX('36-Month Forecast'!$C$85:$AL$85,1,AB$4-Assumptions!$C$76)+INDEX('36-Month Forecast'!$C$82:$AL$82,1,AB$4-Assumptions!$C$76)*'Unit Economics'!$H$56,0)</f>
        <v>44.6359465489346</v>
      </c>
      <c r="AC15" s="8" t="n">
        <f aca="false">IF(AC$4-Assumptions!$C$76&gt;=1,INDEX('36-Month Forecast'!$C$85:$AL$85,1,AC$4-Assumptions!$C$76)+INDEX('36-Month Forecast'!$C$82:$AL$82,1,AC$4-Assumptions!$C$76)*'Unit Economics'!$H$56,0)</f>
        <v>46.8162408611326</v>
      </c>
      <c r="AD15" s="8" t="n">
        <f aca="false">IF(AD$4-Assumptions!$C$76&gt;=1,INDEX('36-Month Forecast'!$C$85:$AL$85,1,AD$4-Assumptions!$C$76)+INDEX('36-Month Forecast'!$C$82:$AL$82,1,AD$4-Assumptions!$C$76)*'Unit Economics'!$H$56,0)</f>
        <v>43.7818548793925</v>
      </c>
      <c r="AE15" s="8" t="n">
        <f aca="false">IF(AE$4-Assumptions!$C$76&gt;=1,INDEX('36-Month Forecast'!$C$85:$AL$85,1,AE$4-Assumptions!$C$76)+INDEX('36-Month Forecast'!$C$82:$AL$82,1,AE$4-Assumptions!$C$76)*'Unit Economics'!$H$56,0)</f>
        <v>31.8381648682942</v>
      </c>
      <c r="AF15" s="8" t="n">
        <f aca="false">IF(AF$4-Assumptions!$C$76&gt;=1,INDEX('36-Month Forecast'!$C$85:$AL$85,1,AF$4-Assumptions!$C$76)+INDEX('36-Month Forecast'!$C$82:$AL$82,1,AF$4-Assumptions!$C$76)*'Unit Economics'!$H$56,0)</f>
        <v>35.7294961299747</v>
      </c>
      <c r="AG15" s="8" t="n">
        <f aca="false">IF(AG$4-Assumptions!$C$76&gt;=1,INDEX('36-Month Forecast'!$C$85:$AL$85,1,AG$4-Assumptions!$C$76)+INDEX('36-Month Forecast'!$C$82:$AL$82,1,AG$4-Assumptions!$C$76)*'Unit Economics'!$H$56,0)</f>
        <v>37.8911306458381</v>
      </c>
      <c r="AH15" s="8" t="n">
        <f aca="false">IF(AH$4-Assumptions!$C$76&gt;=1,INDEX('36-Month Forecast'!$C$85:$AL$85,1,AH$4-Assumptions!$C$76)+INDEX('36-Month Forecast'!$C$82:$AL$82,1,AH$4-Assumptions!$C$76)*'Unit Economics'!$H$56,0)</f>
        <v>34.6252760520778</v>
      </c>
      <c r="AI15" s="8" t="n">
        <f aca="false">IF(AI$4-Assumptions!$C$76&gt;=1,INDEX('36-Month Forecast'!$C$85:$AL$85,1,AI$4-Assumptions!$C$76)+INDEX('36-Month Forecast'!$C$82:$AL$82,1,AI$4-Assumptions!$C$76)*'Unit Economics'!$H$56,0)</f>
        <v>36.812135592209</v>
      </c>
      <c r="AJ15" s="8" t="n">
        <f aca="false">IF(AJ$4-Assumptions!$C$76&gt;=1,INDEX('36-Month Forecast'!$C$85:$AL$85,1,AJ$4-Assumptions!$C$76)+INDEX('36-Month Forecast'!$C$82:$AL$82,1,AJ$4-Assumptions!$C$76)*'Unit Economics'!$H$56,0)</f>
        <v>35.3212441007245</v>
      </c>
      <c r="AK15" s="8" t="n">
        <f aca="false">IF(AK$4-Assumptions!$C$76&gt;=1,INDEX('36-Month Forecast'!$C$85:$AL$85,1,AK$4-Assumptions!$C$76)+INDEX('36-Month Forecast'!$C$82:$AL$82,1,AK$4-Assumptions!$C$76)*'Unit Economics'!$H$56,0)</f>
        <v>31.9192505899705</v>
      </c>
      <c r="AL15" s="8" t="n">
        <f aca="false">IF(AL$4-Assumptions!$C$76&gt;=1,INDEX('36-Month Forecast'!$C$85:$AL$85,1,AL$4-Assumptions!$C$76)+INDEX('36-Month Forecast'!$C$82:$AL$82,1,AL$4-Assumptions!$C$76)*'Unit Economics'!$H$56,0)</f>
        <v>32.2384430958702</v>
      </c>
      <c r="AM15" s="45" t="n">
        <f aca="false">SUMIF($C$6:$AL$6,1,C15:AL15)</f>
        <v>123.058913000273</v>
      </c>
      <c r="AN15" s="45" t="n">
        <f aca="false">SUMIF($C$6:$AL$6,2,C15:AL15)</f>
        <v>372.464841872919</v>
      </c>
      <c r="AO15" s="45" t="n">
        <f aca="false">SUMIF($C$6:$AL$6,3,C15:AL15)</f>
        <v>443.90480348741</v>
      </c>
      <c r="AP15" s="45" t="n">
        <f aca="false">SUM(C15:AL15)</f>
        <v>939.428558360603</v>
      </c>
    </row>
    <row r="16" customFormat="false" ht="15" hidden="false" customHeight="false" outlineLevel="0" collapsed="false">
      <c r="A16" s="7" t="s">
        <v>817</v>
      </c>
      <c r="C16" s="8" t="n">
        <f aca="false">IF(C$4-Assumptions!$C$77&gt;=1,INDEX('36-Month Forecast'!$C$95:$AL$95,1,C$4-Assumptions!$C$77)+INDEX('36-Month Forecast'!$C$92:$AL$92,1,C$4-Assumptions!$C$77)*'Unit Economics'!$H$57,0)</f>
        <v>0</v>
      </c>
      <c r="D16" s="8" t="n">
        <f aca="false">IF(D$4-Assumptions!$C$77&gt;=1,INDEX('36-Month Forecast'!$C$95:$AL$95,1,D$4-Assumptions!$C$77)+INDEX('36-Month Forecast'!$C$92:$AL$92,1,D$4-Assumptions!$C$77)*'Unit Economics'!$H$57,0)</f>
        <v>-0</v>
      </c>
      <c r="E16" s="8" t="n">
        <f aca="false">IF(E$4-Assumptions!$C$77&gt;=1,INDEX('36-Month Forecast'!$C$95:$AL$95,1,E$4-Assumptions!$C$77)+INDEX('36-Month Forecast'!$C$92:$AL$92,1,E$4-Assumptions!$C$77)*'Unit Economics'!$H$57,0)</f>
        <v>-0</v>
      </c>
      <c r="F16" s="8" t="n">
        <f aca="false">IF(F$4-Assumptions!$C$77&gt;=1,INDEX('36-Month Forecast'!$C$95:$AL$95,1,F$4-Assumptions!$C$77)+INDEX('36-Month Forecast'!$C$92:$AL$92,1,F$4-Assumptions!$C$77)*'Unit Economics'!$H$57,0)</f>
        <v>-0</v>
      </c>
      <c r="G16" s="8" t="n">
        <f aca="false">IF(G$4-Assumptions!$C$77&gt;=1,INDEX('36-Month Forecast'!$C$95:$AL$95,1,G$4-Assumptions!$C$77)+INDEX('36-Month Forecast'!$C$92:$AL$92,1,G$4-Assumptions!$C$77)*'Unit Economics'!$H$57,0)</f>
        <v>-0</v>
      </c>
      <c r="H16" s="8" t="n">
        <f aca="false">IF(H$4-Assumptions!$C$77&gt;=1,INDEX('36-Month Forecast'!$C$95:$AL$95,1,H$4-Assumptions!$C$77)+INDEX('36-Month Forecast'!$C$92:$AL$92,1,H$4-Assumptions!$C$77)*'Unit Economics'!$H$57,0)</f>
        <v>-0</v>
      </c>
      <c r="I16" s="8" t="n">
        <f aca="false">IF(I$4-Assumptions!$C$77&gt;=1,INDEX('36-Month Forecast'!$C$95:$AL$95,1,I$4-Assumptions!$C$77)+INDEX('36-Month Forecast'!$C$92:$AL$92,1,I$4-Assumptions!$C$77)*'Unit Economics'!$H$57,0)</f>
        <v>-0</v>
      </c>
      <c r="J16" s="8" t="n">
        <f aca="false">IF(J$4-Assumptions!$C$77&gt;=1,INDEX('36-Month Forecast'!$C$95:$AL$95,1,J$4-Assumptions!$C$77)+INDEX('36-Month Forecast'!$C$92:$AL$92,1,J$4-Assumptions!$C$77)*'Unit Economics'!$H$57,0)</f>
        <v>-0</v>
      </c>
      <c r="K16" s="8" t="n">
        <f aca="false">IF(K$4-Assumptions!$C$77&gt;=1,INDEX('36-Month Forecast'!$C$95:$AL$95,1,K$4-Assumptions!$C$77)+INDEX('36-Month Forecast'!$C$92:$AL$92,1,K$4-Assumptions!$C$77)*'Unit Economics'!$H$57,0)</f>
        <v>-0</v>
      </c>
      <c r="L16" s="8" t="n">
        <f aca="false">IF(L$4-Assumptions!$C$77&gt;=1,INDEX('36-Month Forecast'!$C$95:$AL$95,1,L$4-Assumptions!$C$77)+INDEX('36-Month Forecast'!$C$92:$AL$92,1,L$4-Assumptions!$C$77)*'Unit Economics'!$H$57,0)</f>
        <v>-0</v>
      </c>
      <c r="M16" s="8" t="n">
        <f aca="false">IF(M$4-Assumptions!$C$77&gt;=1,INDEX('36-Month Forecast'!$C$95:$AL$95,1,M$4-Assumptions!$C$77)+INDEX('36-Month Forecast'!$C$92:$AL$92,1,M$4-Assumptions!$C$77)*'Unit Economics'!$H$57,0)</f>
        <v>-0</v>
      </c>
      <c r="N16" s="8" t="n">
        <f aca="false">IF(N$4-Assumptions!$C$77&gt;=1,INDEX('36-Month Forecast'!$C$95:$AL$95,1,N$4-Assumptions!$C$77)+INDEX('36-Month Forecast'!$C$92:$AL$92,1,N$4-Assumptions!$C$77)*'Unit Economics'!$H$57,0)</f>
        <v>-0</v>
      </c>
      <c r="O16" s="8" t="n">
        <f aca="false">IF(O$4-Assumptions!$C$77&gt;=1,INDEX('36-Month Forecast'!$C$95:$AL$95,1,O$4-Assumptions!$C$77)+INDEX('36-Month Forecast'!$C$92:$AL$92,1,O$4-Assumptions!$C$77)*'Unit Economics'!$H$57,0)</f>
        <v>0</v>
      </c>
      <c r="P16" s="8" t="n">
        <f aca="false">IF(P$4-Assumptions!$C$77&gt;=1,INDEX('36-Month Forecast'!$C$95:$AL$95,1,P$4-Assumptions!$C$77)+INDEX('36-Month Forecast'!$C$92:$AL$92,1,P$4-Assumptions!$C$77)*'Unit Economics'!$H$57,0)</f>
        <v>0</v>
      </c>
      <c r="Q16" s="8" t="n">
        <f aca="false">IF(Q$4-Assumptions!$C$77&gt;=1,INDEX('36-Month Forecast'!$C$95:$AL$95,1,Q$4-Assumptions!$C$77)+INDEX('36-Month Forecast'!$C$92:$AL$92,1,Q$4-Assumptions!$C$77)*'Unit Economics'!$H$57,0)</f>
        <v>0</v>
      </c>
      <c r="R16" s="8" t="n">
        <f aca="false">IF(R$4-Assumptions!$C$77&gt;=1,INDEX('36-Month Forecast'!$C$95:$AL$95,1,R$4-Assumptions!$C$77)+INDEX('36-Month Forecast'!$C$92:$AL$92,1,R$4-Assumptions!$C$77)*'Unit Economics'!$H$57,0)</f>
        <v>0</v>
      </c>
      <c r="S16" s="8" t="n">
        <f aca="false">IF(S$4-Assumptions!$C$77&gt;=1,INDEX('36-Month Forecast'!$C$95:$AL$95,1,S$4-Assumptions!$C$77)+INDEX('36-Month Forecast'!$C$92:$AL$92,1,S$4-Assumptions!$C$77)*'Unit Economics'!$H$57,0)</f>
        <v>0</v>
      </c>
      <c r="T16" s="8" t="n">
        <f aca="false">IF(T$4-Assumptions!$C$77&gt;=1,INDEX('36-Month Forecast'!$C$95:$AL$95,1,T$4-Assumptions!$C$77)+INDEX('36-Month Forecast'!$C$92:$AL$92,1,T$4-Assumptions!$C$77)*'Unit Economics'!$H$57,0)</f>
        <v>0</v>
      </c>
      <c r="U16" s="8" t="n">
        <f aca="false">IF(U$4-Assumptions!$C$77&gt;=1,INDEX('36-Month Forecast'!$C$95:$AL$95,1,U$4-Assumptions!$C$77)+INDEX('36-Month Forecast'!$C$92:$AL$92,1,U$4-Assumptions!$C$77)*'Unit Economics'!$H$57,0)</f>
        <v>0</v>
      </c>
      <c r="V16" s="8" t="n">
        <f aca="false">IF(V$4-Assumptions!$C$77&gt;=1,INDEX('36-Month Forecast'!$C$95:$AL$95,1,V$4-Assumptions!$C$77)+INDEX('36-Month Forecast'!$C$92:$AL$92,1,V$4-Assumptions!$C$77)*'Unit Economics'!$H$57,0)</f>
        <v>0</v>
      </c>
      <c r="W16" s="8" t="n">
        <f aca="false">IF(W$4-Assumptions!$C$77&gt;=1,INDEX('36-Month Forecast'!$C$95:$AL$95,1,W$4-Assumptions!$C$77)+INDEX('36-Month Forecast'!$C$92:$AL$92,1,W$4-Assumptions!$C$77)*'Unit Economics'!$H$57,0)</f>
        <v>0</v>
      </c>
      <c r="X16" s="8" t="n">
        <f aca="false">IF(X$4-Assumptions!$C$77&gt;=1,INDEX('36-Month Forecast'!$C$95:$AL$95,1,X$4-Assumptions!$C$77)+INDEX('36-Month Forecast'!$C$92:$AL$92,1,X$4-Assumptions!$C$77)*'Unit Economics'!$H$57,0)</f>
        <v>0</v>
      </c>
      <c r="Y16" s="8" t="n">
        <f aca="false">IF(Y$4-Assumptions!$C$77&gt;=1,INDEX('36-Month Forecast'!$C$95:$AL$95,1,Y$4-Assumptions!$C$77)+INDEX('36-Month Forecast'!$C$92:$AL$92,1,Y$4-Assumptions!$C$77)*'Unit Economics'!$H$57,0)</f>
        <v>0</v>
      </c>
      <c r="Z16" s="8" t="n">
        <f aca="false">IF(Z$4-Assumptions!$C$77&gt;=1,INDEX('36-Month Forecast'!$C$95:$AL$95,1,Z$4-Assumptions!$C$77)+INDEX('36-Month Forecast'!$C$92:$AL$92,1,Z$4-Assumptions!$C$77)*'Unit Economics'!$H$57,0)</f>
        <v>0</v>
      </c>
      <c r="AA16" s="8" t="n">
        <f aca="false">IF(AA$4-Assumptions!$C$77&gt;=1,INDEX('36-Month Forecast'!$C$95:$AL$95,1,AA$4-Assumptions!$C$77)+INDEX('36-Month Forecast'!$C$92:$AL$92,1,AA$4-Assumptions!$C$77)*'Unit Economics'!$H$57,0)</f>
        <v>0</v>
      </c>
      <c r="AB16" s="8" t="n">
        <f aca="false">IF(AB$4-Assumptions!$C$77&gt;=1,INDEX('36-Month Forecast'!$C$95:$AL$95,1,AB$4-Assumptions!$C$77)+INDEX('36-Month Forecast'!$C$92:$AL$92,1,AB$4-Assumptions!$C$77)*'Unit Economics'!$H$57,0)</f>
        <v>0</v>
      </c>
      <c r="AC16" s="8" t="n">
        <f aca="false">IF(AC$4-Assumptions!$C$77&gt;=1,INDEX('36-Month Forecast'!$C$95:$AL$95,1,AC$4-Assumptions!$C$77)+INDEX('36-Month Forecast'!$C$92:$AL$92,1,AC$4-Assumptions!$C$77)*'Unit Economics'!$H$57,0)</f>
        <v>0</v>
      </c>
      <c r="AD16" s="8" t="n">
        <f aca="false">IF(AD$4-Assumptions!$C$77&gt;=1,INDEX('36-Month Forecast'!$C$95:$AL$95,1,AD$4-Assumptions!$C$77)+INDEX('36-Month Forecast'!$C$92:$AL$92,1,AD$4-Assumptions!$C$77)*'Unit Economics'!$H$57,0)</f>
        <v>0</v>
      </c>
      <c r="AE16" s="8" t="n">
        <f aca="false">IF(AE$4-Assumptions!$C$77&gt;=1,INDEX('36-Month Forecast'!$C$95:$AL$95,1,AE$4-Assumptions!$C$77)+INDEX('36-Month Forecast'!$C$92:$AL$92,1,AE$4-Assumptions!$C$77)*'Unit Economics'!$H$57,0)</f>
        <v>0</v>
      </c>
      <c r="AF16" s="8" t="n">
        <f aca="false">IF(AF$4-Assumptions!$C$77&gt;=1,INDEX('36-Month Forecast'!$C$95:$AL$95,1,AF$4-Assumptions!$C$77)+INDEX('36-Month Forecast'!$C$92:$AL$92,1,AF$4-Assumptions!$C$77)*'Unit Economics'!$H$57,0)</f>
        <v>0</v>
      </c>
      <c r="AG16" s="8" t="n">
        <f aca="false">IF(AG$4-Assumptions!$C$77&gt;=1,INDEX('36-Month Forecast'!$C$95:$AL$95,1,AG$4-Assumptions!$C$77)+INDEX('36-Month Forecast'!$C$92:$AL$92,1,AG$4-Assumptions!$C$77)*'Unit Economics'!$H$57,0)</f>
        <v>0</v>
      </c>
      <c r="AH16" s="8" t="n">
        <f aca="false">IF(AH$4-Assumptions!$C$77&gt;=1,INDEX('36-Month Forecast'!$C$95:$AL$95,1,AH$4-Assumptions!$C$77)+INDEX('36-Month Forecast'!$C$92:$AL$92,1,AH$4-Assumptions!$C$77)*'Unit Economics'!$H$57,0)</f>
        <v>0</v>
      </c>
      <c r="AI16" s="8" t="n">
        <f aca="false">IF(AI$4-Assumptions!$C$77&gt;=1,INDEX('36-Month Forecast'!$C$95:$AL$95,1,AI$4-Assumptions!$C$77)+INDEX('36-Month Forecast'!$C$92:$AL$92,1,AI$4-Assumptions!$C$77)*'Unit Economics'!$H$57,0)</f>
        <v>0</v>
      </c>
      <c r="AJ16" s="8" t="n">
        <f aca="false">IF(AJ$4-Assumptions!$C$77&gt;=1,INDEX('36-Month Forecast'!$C$95:$AL$95,1,AJ$4-Assumptions!$C$77)+INDEX('36-Month Forecast'!$C$92:$AL$92,1,AJ$4-Assumptions!$C$77)*'Unit Economics'!$H$57,0)</f>
        <v>0</v>
      </c>
      <c r="AK16" s="8" t="n">
        <f aca="false">IF(AK$4-Assumptions!$C$77&gt;=1,INDEX('36-Month Forecast'!$C$95:$AL$95,1,AK$4-Assumptions!$C$77)+INDEX('36-Month Forecast'!$C$92:$AL$92,1,AK$4-Assumptions!$C$77)*'Unit Economics'!$H$57,0)</f>
        <v>0</v>
      </c>
      <c r="AL16" s="8" t="n">
        <f aca="false">IF(AL$4-Assumptions!$C$77&gt;=1,INDEX('36-Month Forecast'!$C$95:$AL$95,1,AL$4-Assumptions!$C$77)+INDEX('36-Month Forecast'!$C$92:$AL$92,1,AL$4-Assumptions!$C$77)*'Unit Economics'!$H$57,0)</f>
        <v>0</v>
      </c>
      <c r="AM16" s="45" t="n">
        <f aca="false">SUMIF($C$6:$AL$6,1,C16:AL16)</f>
        <v>0</v>
      </c>
      <c r="AN16" s="45" t="n">
        <f aca="false">SUMIF($C$6:$AL$6,2,C16:AL16)</f>
        <v>0</v>
      </c>
      <c r="AO16" s="45" t="n">
        <f aca="false">SUMIF($C$6:$AL$6,3,C16:AL16)</f>
        <v>0</v>
      </c>
      <c r="AP16" s="45" t="n">
        <f aca="false">SUM(C16:AL16)</f>
        <v>0</v>
      </c>
    </row>
    <row r="17" customFormat="false" ht="15" hidden="false" customHeight="false" outlineLevel="0" collapsed="false">
      <c r="A17" s="7" t="s">
        <v>818</v>
      </c>
      <c r="C17" s="8" t="n">
        <f aca="false">IF(C$4-Assumptions!$C$78&gt;=1,INDEX('36-Month Forecast'!$C$105:$AL$105,1,C$4-Assumptions!$C$78)+INDEX('36-Month Forecast'!$C$102:$AL$102,1,C$4-Assumptions!$C$78)*'Unit Economics'!$H$58,0)</f>
        <v>0</v>
      </c>
      <c r="D17" s="8" t="n">
        <f aca="false">IF(D$4-Assumptions!$C$78&gt;=1,INDEX('36-Month Forecast'!$C$105:$AL$105,1,D$4-Assumptions!$C$78)+INDEX('36-Month Forecast'!$C$102:$AL$102,1,D$4-Assumptions!$C$78)*'Unit Economics'!$H$58,0)</f>
        <v>-0</v>
      </c>
      <c r="E17" s="8" t="n">
        <f aca="false">IF(E$4-Assumptions!$C$78&gt;=1,INDEX('36-Month Forecast'!$C$105:$AL$105,1,E$4-Assumptions!$C$78)+INDEX('36-Month Forecast'!$C$102:$AL$102,1,E$4-Assumptions!$C$78)*'Unit Economics'!$H$58,0)</f>
        <v>-0</v>
      </c>
      <c r="F17" s="8" t="n">
        <f aca="false">IF(F$4-Assumptions!$C$78&gt;=1,INDEX('36-Month Forecast'!$C$105:$AL$105,1,F$4-Assumptions!$C$78)+INDEX('36-Month Forecast'!$C$102:$AL$102,1,F$4-Assumptions!$C$78)*'Unit Economics'!$H$58,0)</f>
        <v>-0</v>
      </c>
      <c r="G17" s="8" t="n">
        <f aca="false">IF(G$4-Assumptions!$C$78&gt;=1,INDEX('36-Month Forecast'!$C$105:$AL$105,1,G$4-Assumptions!$C$78)+INDEX('36-Month Forecast'!$C$102:$AL$102,1,G$4-Assumptions!$C$78)*'Unit Economics'!$H$58,0)</f>
        <v>-0</v>
      </c>
      <c r="H17" s="8" t="n">
        <f aca="false">IF(H$4-Assumptions!$C$78&gt;=1,INDEX('36-Month Forecast'!$C$105:$AL$105,1,H$4-Assumptions!$C$78)+INDEX('36-Month Forecast'!$C$102:$AL$102,1,H$4-Assumptions!$C$78)*'Unit Economics'!$H$58,0)</f>
        <v>-0</v>
      </c>
      <c r="I17" s="8" t="n">
        <f aca="false">IF(I$4-Assumptions!$C$78&gt;=1,INDEX('36-Month Forecast'!$C$105:$AL$105,1,I$4-Assumptions!$C$78)+INDEX('36-Month Forecast'!$C$102:$AL$102,1,I$4-Assumptions!$C$78)*'Unit Economics'!$H$58,0)</f>
        <v>-0</v>
      </c>
      <c r="J17" s="8" t="n">
        <f aca="false">IF(J$4-Assumptions!$C$78&gt;=1,INDEX('36-Month Forecast'!$C$105:$AL$105,1,J$4-Assumptions!$C$78)+INDEX('36-Month Forecast'!$C$102:$AL$102,1,J$4-Assumptions!$C$78)*'Unit Economics'!$H$58,0)</f>
        <v>-0</v>
      </c>
      <c r="K17" s="8" t="n">
        <f aca="false">IF(K$4-Assumptions!$C$78&gt;=1,INDEX('36-Month Forecast'!$C$105:$AL$105,1,K$4-Assumptions!$C$78)+INDEX('36-Month Forecast'!$C$102:$AL$102,1,K$4-Assumptions!$C$78)*'Unit Economics'!$H$58,0)</f>
        <v>-0</v>
      </c>
      <c r="L17" s="8" t="n">
        <f aca="false">IF(L$4-Assumptions!$C$78&gt;=1,INDEX('36-Month Forecast'!$C$105:$AL$105,1,L$4-Assumptions!$C$78)+INDEX('36-Month Forecast'!$C$102:$AL$102,1,L$4-Assumptions!$C$78)*'Unit Economics'!$H$58,0)</f>
        <v>-0</v>
      </c>
      <c r="M17" s="8" t="n">
        <f aca="false">IF(M$4-Assumptions!$C$78&gt;=1,INDEX('36-Month Forecast'!$C$105:$AL$105,1,M$4-Assumptions!$C$78)+INDEX('36-Month Forecast'!$C$102:$AL$102,1,M$4-Assumptions!$C$78)*'Unit Economics'!$H$58,0)</f>
        <v>-0</v>
      </c>
      <c r="N17" s="8" t="n">
        <f aca="false">IF(N$4-Assumptions!$C$78&gt;=1,INDEX('36-Month Forecast'!$C$105:$AL$105,1,N$4-Assumptions!$C$78)+INDEX('36-Month Forecast'!$C$102:$AL$102,1,N$4-Assumptions!$C$78)*'Unit Economics'!$H$58,0)</f>
        <v>-0</v>
      </c>
      <c r="O17" s="8" t="n">
        <f aca="false">IF(O$4-Assumptions!$C$78&gt;=1,INDEX('36-Month Forecast'!$C$105:$AL$105,1,O$4-Assumptions!$C$78)+INDEX('36-Month Forecast'!$C$102:$AL$102,1,O$4-Assumptions!$C$78)*'Unit Economics'!$H$58,0)</f>
        <v>-0</v>
      </c>
      <c r="P17" s="8" t="n">
        <f aca="false">IF(P$4-Assumptions!$C$78&gt;=1,INDEX('36-Month Forecast'!$C$105:$AL$105,1,P$4-Assumptions!$C$78)+INDEX('36-Month Forecast'!$C$102:$AL$102,1,P$4-Assumptions!$C$78)*'Unit Economics'!$H$58,0)</f>
        <v>-0</v>
      </c>
      <c r="Q17" s="8" t="n">
        <f aca="false">IF(Q$4-Assumptions!$C$78&gt;=1,INDEX('36-Month Forecast'!$C$105:$AL$105,1,Q$4-Assumptions!$C$78)+INDEX('36-Month Forecast'!$C$102:$AL$102,1,Q$4-Assumptions!$C$78)*'Unit Economics'!$H$58,0)</f>
        <v>-0</v>
      </c>
      <c r="R17" s="8" t="n">
        <f aca="false">IF(R$4-Assumptions!$C$78&gt;=1,INDEX('36-Month Forecast'!$C$105:$AL$105,1,R$4-Assumptions!$C$78)+INDEX('36-Month Forecast'!$C$102:$AL$102,1,R$4-Assumptions!$C$78)*'Unit Economics'!$H$58,0)</f>
        <v>-0</v>
      </c>
      <c r="S17" s="8" t="n">
        <f aca="false">IF(S$4-Assumptions!$C$78&gt;=1,INDEX('36-Month Forecast'!$C$105:$AL$105,1,S$4-Assumptions!$C$78)+INDEX('36-Month Forecast'!$C$102:$AL$102,1,S$4-Assumptions!$C$78)*'Unit Economics'!$H$58,0)</f>
        <v>-0</v>
      </c>
      <c r="T17" s="8" t="n">
        <f aca="false">IF(T$4-Assumptions!$C$78&gt;=1,INDEX('36-Month Forecast'!$C$105:$AL$105,1,T$4-Assumptions!$C$78)+INDEX('36-Month Forecast'!$C$102:$AL$102,1,T$4-Assumptions!$C$78)*'Unit Economics'!$H$58,0)</f>
        <v>-0</v>
      </c>
      <c r="U17" s="8" t="n">
        <f aca="false">IF(U$4-Assumptions!$C$78&gt;=1,INDEX('36-Month Forecast'!$C$105:$AL$105,1,U$4-Assumptions!$C$78)+INDEX('36-Month Forecast'!$C$102:$AL$102,1,U$4-Assumptions!$C$78)*'Unit Economics'!$H$58,0)</f>
        <v>-0</v>
      </c>
      <c r="V17" s="8" t="n">
        <f aca="false">IF(V$4-Assumptions!$C$78&gt;=1,INDEX('36-Month Forecast'!$C$105:$AL$105,1,V$4-Assumptions!$C$78)+INDEX('36-Month Forecast'!$C$102:$AL$102,1,V$4-Assumptions!$C$78)*'Unit Economics'!$H$58,0)</f>
        <v>-0</v>
      </c>
      <c r="W17" s="8" t="n">
        <f aca="false">IF(W$4-Assumptions!$C$78&gt;=1,INDEX('36-Month Forecast'!$C$105:$AL$105,1,W$4-Assumptions!$C$78)+INDEX('36-Month Forecast'!$C$102:$AL$102,1,W$4-Assumptions!$C$78)*'Unit Economics'!$H$58,0)</f>
        <v>-0</v>
      </c>
      <c r="X17" s="8" t="n">
        <f aca="false">IF(X$4-Assumptions!$C$78&gt;=1,INDEX('36-Month Forecast'!$C$105:$AL$105,1,X$4-Assumptions!$C$78)+INDEX('36-Month Forecast'!$C$102:$AL$102,1,X$4-Assumptions!$C$78)*'Unit Economics'!$H$58,0)</f>
        <v>-0</v>
      </c>
      <c r="Y17" s="8" t="n">
        <f aca="false">IF(Y$4-Assumptions!$C$78&gt;=1,INDEX('36-Month Forecast'!$C$105:$AL$105,1,Y$4-Assumptions!$C$78)+INDEX('36-Month Forecast'!$C$102:$AL$102,1,Y$4-Assumptions!$C$78)*'Unit Economics'!$H$58,0)</f>
        <v>-0</v>
      </c>
      <c r="Z17" s="8" t="n">
        <f aca="false">IF(Z$4-Assumptions!$C$78&gt;=1,INDEX('36-Month Forecast'!$C$105:$AL$105,1,Z$4-Assumptions!$C$78)+INDEX('36-Month Forecast'!$C$102:$AL$102,1,Z$4-Assumptions!$C$78)*'Unit Economics'!$H$58,0)</f>
        <v>-0</v>
      </c>
      <c r="AA17" s="8" t="n">
        <f aca="false">IF(AA$4-Assumptions!$C$78&gt;=1,INDEX('36-Month Forecast'!$C$105:$AL$105,1,AA$4-Assumptions!$C$78)+INDEX('36-Month Forecast'!$C$102:$AL$102,1,AA$4-Assumptions!$C$78)*'Unit Economics'!$H$58,0)</f>
        <v>0</v>
      </c>
      <c r="AB17" s="8" t="n">
        <f aca="false">IF(AB$4-Assumptions!$C$78&gt;=1,INDEX('36-Month Forecast'!$C$105:$AL$105,1,AB$4-Assumptions!$C$78)+INDEX('36-Month Forecast'!$C$102:$AL$102,1,AB$4-Assumptions!$C$78)*'Unit Economics'!$H$58,0)</f>
        <v>0</v>
      </c>
      <c r="AC17" s="8" t="n">
        <f aca="false">IF(AC$4-Assumptions!$C$78&gt;=1,INDEX('36-Month Forecast'!$C$105:$AL$105,1,AC$4-Assumptions!$C$78)+INDEX('36-Month Forecast'!$C$102:$AL$102,1,AC$4-Assumptions!$C$78)*'Unit Economics'!$H$58,0)</f>
        <v>0</v>
      </c>
      <c r="AD17" s="8" t="n">
        <f aca="false">IF(AD$4-Assumptions!$C$78&gt;=1,INDEX('36-Month Forecast'!$C$105:$AL$105,1,AD$4-Assumptions!$C$78)+INDEX('36-Month Forecast'!$C$102:$AL$102,1,AD$4-Assumptions!$C$78)*'Unit Economics'!$H$58,0)</f>
        <v>0</v>
      </c>
      <c r="AE17" s="8" t="n">
        <f aca="false">IF(AE$4-Assumptions!$C$78&gt;=1,INDEX('36-Month Forecast'!$C$105:$AL$105,1,AE$4-Assumptions!$C$78)+INDEX('36-Month Forecast'!$C$102:$AL$102,1,AE$4-Assumptions!$C$78)*'Unit Economics'!$H$58,0)</f>
        <v>0</v>
      </c>
      <c r="AF17" s="8" t="n">
        <f aca="false">IF(AF$4-Assumptions!$C$78&gt;=1,INDEX('36-Month Forecast'!$C$105:$AL$105,1,AF$4-Assumptions!$C$78)+INDEX('36-Month Forecast'!$C$102:$AL$102,1,AF$4-Assumptions!$C$78)*'Unit Economics'!$H$58,0)</f>
        <v>0</v>
      </c>
      <c r="AG17" s="8" t="n">
        <f aca="false">IF(AG$4-Assumptions!$C$78&gt;=1,INDEX('36-Month Forecast'!$C$105:$AL$105,1,AG$4-Assumptions!$C$78)+INDEX('36-Month Forecast'!$C$102:$AL$102,1,AG$4-Assumptions!$C$78)*'Unit Economics'!$H$58,0)</f>
        <v>0</v>
      </c>
      <c r="AH17" s="8" t="n">
        <f aca="false">IF(AH$4-Assumptions!$C$78&gt;=1,INDEX('36-Month Forecast'!$C$105:$AL$105,1,AH$4-Assumptions!$C$78)+INDEX('36-Month Forecast'!$C$102:$AL$102,1,AH$4-Assumptions!$C$78)*'Unit Economics'!$H$58,0)</f>
        <v>0</v>
      </c>
      <c r="AI17" s="8" t="n">
        <f aca="false">IF(AI$4-Assumptions!$C$78&gt;=1,INDEX('36-Month Forecast'!$C$105:$AL$105,1,AI$4-Assumptions!$C$78)+INDEX('36-Month Forecast'!$C$102:$AL$102,1,AI$4-Assumptions!$C$78)*'Unit Economics'!$H$58,0)</f>
        <v>0</v>
      </c>
      <c r="AJ17" s="8" t="n">
        <f aca="false">IF(AJ$4-Assumptions!$C$78&gt;=1,INDEX('36-Month Forecast'!$C$105:$AL$105,1,AJ$4-Assumptions!$C$78)+INDEX('36-Month Forecast'!$C$102:$AL$102,1,AJ$4-Assumptions!$C$78)*'Unit Economics'!$H$58,0)</f>
        <v>0</v>
      </c>
      <c r="AK17" s="8" t="n">
        <f aca="false">IF(AK$4-Assumptions!$C$78&gt;=1,INDEX('36-Month Forecast'!$C$105:$AL$105,1,AK$4-Assumptions!$C$78)+INDEX('36-Month Forecast'!$C$102:$AL$102,1,AK$4-Assumptions!$C$78)*'Unit Economics'!$H$58,0)</f>
        <v>0</v>
      </c>
      <c r="AL17" s="8" t="n">
        <f aca="false">IF(AL$4-Assumptions!$C$78&gt;=1,INDEX('36-Month Forecast'!$C$105:$AL$105,1,AL$4-Assumptions!$C$78)+INDEX('36-Month Forecast'!$C$102:$AL$102,1,AL$4-Assumptions!$C$78)*'Unit Economics'!$H$58,0)</f>
        <v>0</v>
      </c>
      <c r="AM17" s="45" t="n">
        <f aca="false">SUMIF($C$6:$AL$6,1,C17:AL17)</f>
        <v>0</v>
      </c>
      <c r="AN17" s="45" t="n">
        <f aca="false">SUMIF($C$6:$AL$6,2,C17:AL17)</f>
        <v>0</v>
      </c>
      <c r="AO17" s="45" t="n">
        <f aca="false">SUMIF($C$6:$AL$6,3,C17:AL17)</f>
        <v>0</v>
      </c>
      <c r="AP17" s="45" t="n">
        <f aca="false">SUM(C17:AL17)</f>
        <v>0</v>
      </c>
    </row>
    <row r="18" customFormat="false" ht="15" hidden="false" customHeight="false" outlineLevel="0" collapsed="false">
      <c r="A18" s="10" t="s">
        <v>819</v>
      </c>
      <c r="C18" s="17" t="n">
        <f aca="false">SUM(C9:C17)</f>
        <v>9.43807352358929</v>
      </c>
      <c r="D18" s="17" t="n">
        <f aca="false">SUM(D9:D17)</f>
        <v>27.8969583728829</v>
      </c>
      <c r="E18" s="17" t="n">
        <f aca="false">SUM(E9:E17)</f>
        <v>46.9312676626883</v>
      </c>
      <c r="F18" s="17" t="n">
        <f aca="false">SUM(F9:F17)</f>
        <v>70.9519399761187</v>
      </c>
      <c r="G18" s="17" t="n">
        <f aca="false">SUM(G9:G17)</f>
        <v>87.1941487082188</v>
      </c>
      <c r="H18" s="17" t="n">
        <f aca="false">SUM(H9:H17)</f>
        <v>130.504846736921</v>
      </c>
      <c r="I18" s="17" t="n">
        <f aca="false">SUM(I9:I17)</f>
        <v>148.918428922902</v>
      </c>
      <c r="J18" s="17" t="n">
        <f aca="false">SUM(J9:J17)</f>
        <v>169.553677081904</v>
      </c>
      <c r="K18" s="17" t="n">
        <f aca="false">SUM(K9:K17)</f>
        <v>209.713901181037</v>
      </c>
      <c r="L18" s="17" t="n">
        <f aca="false">SUM(L9:L17)</f>
        <v>214.292604355143</v>
      </c>
      <c r="M18" s="17" t="n">
        <f aca="false">SUM(M9:M17)</f>
        <v>218.034289304922</v>
      </c>
      <c r="N18" s="17" t="n">
        <f aca="false">SUM(N9:N17)</f>
        <v>228.7653256453</v>
      </c>
      <c r="O18" s="17" t="n">
        <f aca="false">SUM(O9:O17)</f>
        <v>246.392266723161</v>
      </c>
      <c r="P18" s="17" t="n">
        <f aca="false">SUM(P9:P17)</f>
        <v>318.523700616749</v>
      </c>
      <c r="Q18" s="17" t="n">
        <f aca="false">SUM(Q9:Q17)</f>
        <v>348.643053398927</v>
      </c>
      <c r="R18" s="17" t="n">
        <f aca="false">SUM(R9:R17)</f>
        <v>378.300061135468</v>
      </c>
      <c r="S18" s="17" t="n">
        <f aca="false">SUM(S9:S17)</f>
        <v>329.104438478513</v>
      </c>
      <c r="T18" s="17" t="n">
        <f aca="false">SUM(T9:T17)</f>
        <v>349.186128780503</v>
      </c>
      <c r="U18" s="17" t="n">
        <f aca="false">SUM(U9:U17)</f>
        <v>330.599100399086</v>
      </c>
      <c r="V18" s="17" t="n">
        <f aca="false">SUM(V9:V17)</f>
        <v>329.254151732396</v>
      </c>
      <c r="W18" s="17" t="n">
        <f aca="false">SUM(W9:W17)</f>
        <v>357.763313066727</v>
      </c>
      <c r="X18" s="17" t="n">
        <f aca="false">SUM(X9:X17)</f>
        <v>345.586386445803</v>
      </c>
      <c r="Y18" s="17" t="n">
        <f aca="false">SUM(Y9:Y17)</f>
        <v>338.440569660616</v>
      </c>
      <c r="Z18" s="17" t="n">
        <f aca="false">SUM(Z9:Z17)</f>
        <v>342.982282438865</v>
      </c>
      <c r="AA18" s="17" t="n">
        <f aca="false">SUM(AA9:AA17)</f>
        <v>361.565415271033</v>
      </c>
      <c r="AB18" s="17" t="n">
        <f aca="false">SUM(AB9:AB17)</f>
        <v>458.211101097336</v>
      </c>
      <c r="AC18" s="17" t="n">
        <f aca="false">SUM(AC9:AC17)</f>
        <v>492.431282482757</v>
      </c>
      <c r="AD18" s="17" t="n">
        <f aca="false">SUM(AD9:AD17)</f>
        <v>523.941285473959</v>
      </c>
      <c r="AE18" s="17" t="n">
        <f aca="false">SUM(AE9:AE17)</f>
        <v>446.496361183296</v>
      </c>
      <c r="AF18" s="17" t="n">
        <f aca="false">SUM(AF9:AF17)</f>
        <v>465.576856197445</v>
      </c>
      <c r="AG18" s="17" t="n">
        <f aca="false">SUM(AG9:AG17)</f>
        <v>433.700085338539</v>
      </c>
      <c r="AH18" s="17" t="n">
        <f aca="false">SUM(AH9:AH17)</f>
        <v>423.863346521946</v>
      </c>
      <c r="AI18" s="17" t="n">
        <f aca="false">SUM(AI9:AI17)</f>
        <v>452.243388330465</v>
      </c>
      <c r="AJ18" s="17" t="n">
        <f aca="false">SUM(AJ9:AJ17)</f>
        <v>429.075211565207</v>
      </c>
      <c r="AK18" s="17" t="n">
        <f aca="false">SUM(AK9:AK17)</f>
        <v>412.175321674342</v>
      </c>
      <c r="AL18" s="17" t="n">
        <f aca="false">SUM(AL9:AL17)</f>
        <v>410.298114723071</v>
      </c>
      <c r="AM18" s="45" t="n">
        <f aca="false">SUMIF($C$6:$AL$6,1,C18:AL18)</f>
        <v>1562.19546147163</v>
      </c>
      <c r="AN18" s="45" t="n">
        <f aca="false">SUMIF($C$6:$AL$6,2,C18:AL18)</f>
        <v>4014.77545287682</v>
      </c>
      <c r="AO18" s="45" t="n">
        <f aca="false">SUMIF($C$6:$AL$6,3,C18:AL18)</f>
        <v>5309.5777698594</v>
      </c>
      <c r="AP18" s="45" t="n">
        <f aca="false">SUM(C18:AL18)</f>
        <v>10886.5486842078</v>
      </c>
    </row>
    <row r="19" customFormat="false" ht="15" hidden="false" customHeight="false" outlineLevel="0" collapsed="false">
      <c r="A19" s="7" t="s">
        <v>820</v>
      </c>
      <c r="C19" s="8" t="n">
        <f aca="false">Assumptions!$C$16</f>
        <v>0</v>
      </c>
      <c r="D19" s="17" t="n">
        <f aca="false">0</f>
        <v>0</v>
      </c>
      <c r="E19" s="17" t="n">
        <f aca="false">0</f>
        <v>0</v>
      </c>
      <c r="F19" s="17" t="n">
        <f aca="false">0</f>
        <v>0</v>
      </c>
      <c r="G19" s="17" t="n">
        <f aca="false">0</f>
        <v>0</v>
      </c>
      <c r="H19" s="17" t="n">
        <f aca="false">0</f>
        <v>0</v>
      </c>
      <c r="I19" s="17" t="n">
        <f aca="false">0</f>
        <v>0</v>
      </c>
      <c r="J19" s="17" t="n">
        <f aca="false">0</f>
        <v>0</v>
      </c>
      <c r="K19" s="17" t="n">
        <f aca="false">0</f>
        <v>0</v>
      </c>
      <c r="L19" s="17" t="n">
        <f aca="false">0</f>
        <v>0</v>
      </c>
      <c r="M19" s="17" t="n">
        <f aca="false">0</f>
        <v>0</v>
      </c>
      <c r="N19" s="17" t="n">
        <f aca="false">0</f>
        <v>0</v>
      </c>
      <c r="O19" s="17" t="n">
        <f aca="false">0</f>
        <v>0</v>
      </c>
      <c r="P19" s="17" t="n">
        <f aca="false">0</f>
        <v>0</v>
      </c>
      <c r="Q19" s="17" t="n">
        <f aca="false">0</f>
        <v>0</v>
      </c>
      <c r="R19" s="17" t="n">
        <f aca="false">0</f>
        <v>0</v>
      </c>
      <c r="S19" s="17" t="n">
        <f aca="false">0</f>
        <v>0</v>
      </c>
      <c r="T19" s="17" t="n">
        <f aca="false">0</f>
        <v>0</v>
      </c>
      <c r="U19" s="17" t="n">
        <f aca="false">0</f>
        <v>0</v>
      </c>
      <c r="V19" s="17" t="n">
        <f aca="false">0</f>
        <v>0</v>
      </c>
      <c r="W19" s="17" t="n">
        <f aca="false">0</f>
        <v>0</v>
      </c>
      <c r="X19" s="17" t="n">
        <f aca="false">0</f>
        <v>0</v>
      </c>
      <c r="Y19" s="17" t="n">
        <f aca="false">0</f>
        <v>0</v>
      </c>
      <c r="Z19" s="17" t="n">
        <f aca="false">0</f>
        <v>0</v>
      </c>
      <c r="AA19" s="17" t="n">
        <f aca="false">0</f>
        <v>0</v>
      </c>
      <c r="AB19" s="17" t="n">
        <f aca="false">0</f>
        <v>0</v>
      </c>
      <c r="AC19" s="17" t="n">
        <f aca="false">0</f>
        <v>0</v>
      </c>
      <c r="AD19" s="17" t="n">
        <f aca="false">0</f>
        <v>0</v>
      </c>
      <c r="AE19" s="17" t="n">
        <f aca="false">0</f>
        <v>0</v>
      </c>
      <c r="AF19" s="17" t="n">
        <f aca="false">0</f>
        <v>0</v>
      </c>
      <c r="AG19" s="17" t="n">
        <f aca="false">0</f>
        <v>0</v>
      </c>
      <c r="AH19" s="17" t="n">
        <f aca="false">0</f>
        <v>0</v>
      </c>
      <c r="AI19" s="17" t="n">
        <f aca="false">0</f>
        <v>0</v>
      </c>
      <c r="AJ19" s="17" t="n">
        <f aca="false">0</f>
        <v>0</v>
      </c>
      <c r="AK19" s="17" t="n">
        <f aca="false">0</f>
        <v>0</v>
      </c>
      <c r="AL19" s="17" t="n">
        <f aca="false">0</f>
        <v>0</v>
      </c>
      <c r="AM19" s="45" t="n">
        <f aca="false">SUMIF($C$6:$AL$6,1,C19:AL19)</f>
        <v>0</v>
      </c>
      <c r="AN19" s="45" t="n">
        <f aca="false">SUMIF($C$6:$AL$6,2,C19:AL19)</f>
        <v>0</v>
      </c>
      <c r="AO19" s="45" t="n">
        <f aca="false">SUMIF($C$6:$AL$6,3,C19:AL19)</f>
        <v>0</v>
      </c>
      <c r="AP19" s="45" t="n">
        <f aca="false">SUM(C19:AL19)</f>
        <v>0</v>
      </c>
    </row>
    <row r="20" customFormat="false" ht="15" hidden="false" customHeight="false" outlineLevel="0" collapsed="false">
      <c r="A20" s="7" t="s">
        <v>821</v>
      </c>
      <c r="C20" s="8" t="n">
        <f aca="false">-'36-Month Forecast'!C130</f>
        <v>-0</v>
      </c>
      <c r="D20" s="8" t="n">
        <f aca="false">-'36-Month Forecast'!D130</f>
        <v>-0</v>
      </c>
      <c r="E20" s="8" t="n">
        <f aca="false">-'36-Month Forecast'!E130</f>
        <v>-0</v>
      </c>
      <c r="F20" s="8" t="n">
        <f aca="false">-'36-Month Forecast'!F130</f>
        <v>-0</v>
      </c>
      <c r="G20" s="8" t="n">
        <f aca="false">-'36-Month Forecast'!G130</f>
        <v>-0</v>
      </c>
      <c r="H20" s="8" t="n">
        <f aca="false">-'36-Month Forecast'!H130</f>
        <v>-0</v>
      </c>
      <c r="I20" s="8" t="n">
        <f aca="false">-'36-Month Forecast'!I130</f>
        <v>-0</v>
      </c>
      <c r="J20" s="8" t="n">
        <f aca="false">-'36-Month Forecast'!J130</f>
        <v>-3625</v>
      </c>
      <c r="K20" s="8" t="n">
        <f aca="false">-'36-Month Forecast'!K130</f>
        <v>-0</v>
      </c>
      <c r="L20" s="8" t="n">
        <f aca="false">-'36-Month Forecast'!L130</f>
        <v>-0</v>
      </c>
      <c r="M20" s="8" t="n">
        <f aca="false">-'36-Month Forecast'!M130</f>
        <v>-0</v>
      </c>
      <c r="N20" s="8" t="n">
        <f aca="false">-'36-Month Forecast'!N130</f>
        <v>-0</v>
      </c>
      <c r="O20" s="8" t="n">
        <f aca="false">-'36-Month Forecast'!O130</f>
        <v>-0</v>
      </c>
      <c r="P20" s="8" t="n">
        <f aca="false">-'36-Month Forecast'!P130</f>
        <v>-0</v>
      </c>
      <c r="Q20" s="8" t="n">
        <f aca="false">-'36-Month Forecast'!Q130</f>
        <v>-0</v>
      </c>
      <c r="R20" s="8" t="n">
        <f aca="false">-'36-Month Forecast'!R130</f>
        <v>-0</v>
      </c>
      <c r="S20" s="8" t="n">
        <f aca="false">-'36-Month Forecast'!S130</f>
        <v>-0</v>
      </c>
      <c r="T20" s="8" t="n">
        <f aca="false">-'36-Month Forecast'!T130</f>
        <v>-0</v>
      </c>
      <c r="U20" s="8" t="n">
        <f aca="false">-'36-Month Forecast'!U130</f>
        <v>-0</v>
      </c>
      <c r="V20" s="8" t="n">
        <f aca="false">-'36-Month Forecast'!V130</f>
        <v>-0</v>
      </c>
      <c r="W20" s="8" t="n">
        <f aca="false">-'36-Month Forecast'!W130</f>
        <v>-0</v>
      </c>
      <c r="X20" s="8" t="n">
        <f aca="false">-'36-Month Forecast'!X130</f>
        <v>-0</v>
      </c>
      <c r="Y20" s="8" t="n">
        <f aca="false">-'36-Month Forecast'!Y130</f>
        <v>-0</v>
      </c>
      <c r="Z20" s="8" t="n">
        <f aca="false">-'36-Month Forecast'!Z130</f>
        <v>-0</v>
      </c>
      <c r="AA20" s="8" t="n">
        <f aca="false">-'36-Month Forecast'!AA130</f>
        <v>-0</v>
      </c>
      <c r="AB20" s="8" t="n">
        <f aca="false">-'36-Month Forecast'!AB130</f>
        <v>-0</v>
      </c>
      <c r="AC20" s="8" t="n">
        <f aca="false">-'36-Month Forecast'!AC130</f>
        <v>-0</v>
      </c>
      <c r="AD20" s="8" t="n">
        <f aca="false">-'36-Month Forecast'!AD130</f>
        <v>-0</v>
      </c>
      <c r="AE20" s="8" t="n">
        <f aca="false">-'36-Month Forecast'!AE130</f>
        <v>-0</v>
      </c>
      <c r="AF20" s="8" t="n">
        <f aca="false">-'36-Month Forecast'!AF130</f>
        <v>-0</v>
      </c>
      <c r="AG20" s="8" t="n">
        <f aca="false">-'36-Month Forecast'!AG130</f>
        <v>-0</v>
      </c>
      <c r="AH20" s="8" t="n">
        <f aca="false">-'36-Month Forecast'!AH130</f>
        <v>-0</v>
      </c>
      <c r="AI20" s="8" t="n">
        <f aca="false">-'36-Month Forecast'!AI130</f>
        <v>-0</v>
      </c>
      <c r="AJ20" s="8" t="n">
        <f aca="false">-'36-Month Forecast'!AJ130</f>
        <v>-0</v>
      </c>
      <c r="AK20" s="8" t="n">
        <f aca="false">-'36-Month Forecast'!AK130</f>
        <v>-0</v>
      </c>
      <c r="AL20" s="8" t="n">
        <f aca="false">-'36-Month Forecast'!AL130</f>
        <v>-0</v>
      </c>
      <c r="AM20" s="45" t="n">
        <f aca="false">SUMIF($C$6:$AL$6,1,C20:AL20)</f>
        <v>-3625</v>
      </c>
      <c r="AN20" s="45" t="n">
        <f aca="false">SUMIF($C$6:$AL$6,2,C20:AL20)</f>
        <v>0</v>
      </c>
      <c r="AO20" s="45" t="n">
        <f aca="false">SUMIF($C$6:$AL$6,3,C20:AL20)</f>
        <v>0</v>
      </c>
      <c r="AP20" s="45" t="n">
        <f aca="false">SUM(C20:AL20)</f>
        <v>-3625</v>
      </c>
    </row>
    <row r="21" customFormat="false" ht="15" hidden="false" customHeight="false" outlineLevel="0" collapsed="false">
      <c r="A21" s="7" t="s">
        <v>788</v>
      </c>
      <c r="C21" s="8" t="n">
        <f aca="false">-'36-Month Forecast'!C118</f>
        <v>-0</v>
      </c>
      <c r="D21" s="8" t="n">
        <f aca="false">-'36-Month Forecast'!D118</f>
        <v>-0</v>
      </c>
      <c r="E21" s="8" t="n">
        <f aca="false">-'36-Month Forecast'!E118</f>
        <v>-0</v>
      </c>
      <c r="F21" s="8" t="n">
        <f aca="false">-'36-Month Forecast'!F118</f>
        <v>-0</v>
      </c>
      <c r="G21" s="8" t="n">
        <f aca="false">-'36-Month Forecast'!G118</f>
        <v>-0</v>
      </c>
      <c r="H21" s="8" t="n">
        <f aca="false">-'36-Month Forecast'!H118</f>
        <v>-0</v>
      </c>
      <c r="I21" s="8" t="n">
        <f aca="false">-'36-Month Forecast'!I118</f>
        <v>-0</v>
      </c>
      <c r="J21" s="8" t="n">
        <f aca="false">-'36-Month Forecast'!J118</f>
        <v>-0</v>
      </c>
      <c r="K21" s="8" t="n">
        <f aca="false">-'36-Month Forecast'!K118</f>
        <v>-0</v>
      </c>
      <c r="L21" s="8" t="n">
        <f aca="false">-'36-Month Forecast'!L118</f>
        <v>-0</v>
      </c>
      <c r="M21" s="8" t="n">
        <f aca="false">-'36-Month Forecast'!M118</f>
        <v>-0</v>
      </c>
      <c r="N21" s="8" t="n">
        <f aca="false">-'36-Month Forecast'!N118</f>
        <v>-0</v>
      </c>
      <c r="O21" s="8" t="n">
        <f aca="false">-'36-Month Forecast'!O118</f>
        <v>-150</v>
      </c>
      <c r="P21" s="8" t="n">
        <f aca="false">-'36-Month Forecast'!P118</f>
        <v>-150</v>
      </c>
      <c r="Q21" s="8" t="n">
        <f aca="false">-'36-Month Forecast'!Q118</f>
        <v>-150</v>
      </c>
      <c r="R21" s="8" t="n">
        <f aca="false">-'36-Month Forecast'!R118</f>
        <v>-150</v>
      </c>
      <c r="S21" s="8" t="n">
        <f aca="false">-'36-Month Forecast'!S118</f>
        <v>-150</v>
      </c>
      <c r="T21" s="8" t="n">
        <f aca="false">-'36-Month Forecast'!T118</f>
        <v>-150</v>
      </c>
      <c r="U21" s="8" t="n">
        <f aca="false">-'36-Month Forecast'!U118</f>
        <v>-150</v>
      </c>
      <c r="V21" s="8" t="n">
        <f aca="false">-'36-Month Forecast'!V118</f>
        <v>-150</v>
      </c>
      <c r="W21" s="8" t="n">
        <f aca="false">-'36-Month Forecast'!W118</f>
        <v>-150</v>
      </c>
      <c r="X21" s="8" t="n">
        <f aca="false">-'36-Month Forecast'!X118</f>
        <v>-150</v>
      </c>
      <c r="Y21" s="8" t="n">
        <f aca="false">-'36-Month Forecast'!Y118</f>
        <v>-150</v>
      </c>
      <c r="Z21" s="8" t="n">
        <f aca="false">-'36-Month Forecast'!Z118</f>
        <v>-150</v>
      </c>
      <c r="AA21" s="8" t="n">
        <f aca="false">-'36-Month Forecast'!AA118</f>
        <v>-250</v>
      </c>
      <c r="AB21" s="8" t="n">
        <f aca="false">-'36-Month Forecast'!AB118</f>
        <v>-250</v>
      </c>
      <c r="AC21" s="8" t="n">
        <f aca="false">-'36-Month Forecast'!AC118</f>
        <v>-250</v>
      </c>
      <c r="AD21" s="8" t="n">
        <f aca="false">-'36-Month Forecast'!AD118</f>
        <v>-250</v>
      </c>
      <c r="AE21" s="8" t="n">
        <f aca="false">-'36-Month Forecast'!AE118</f>
        <v>-250</v>
      </c>
      <c r="AF21" s="8" t="n">
        <f aca="false">-'36-Month Forecast'!AF118</f>
        <v>-250</v>
      </c>
      <c r="AG21" s="8" t="n">
        <f aca="false">-'36-Month Forecast'!AG118</f>
        <v>-250</v>
      </c>
      <c r="AH21" s="8" t="n">
        <f aca="false">-'36-Month Forecast'!AH118</f>
        <v>-250</v>
      </c>
      <c r="AI21" s="8" t="n">
        <f aca="false">-'36-Month Forecast'!AI118</f>
        <v>-250</v>
      </c>
      <c r="AJ21" s="8" t="n">
        <f aca="false">-'36-Month Forecast'!AJ118</f>
        <v>-250</v>
      </c>
      <c r="AK21" s="8" t="n">
        <f aca="false">-'36-Month Forecast'!AK118</f>
        <v>-250</v>
      </c>
      <c r="AL21" s="8" t="n">
        <f aca="false">-'36-Month Forecast'!AL118</f>
        <v>-250</v>
      </c>
      <c r="AM21" s="45" t="n">
        <f aca="false">SUMIF($C$6:$AL$6,1,C21:AL21)</f>
        <v>0</v>
      </c>
      <c r="AN21" s="45" t="n">
        <f aca="false">SUMIF($C$6:$AL$6,2,C21:AL21)</f>
        <v>-1800</v>
      </c>
      <c r="AO21" s="45" t="n">
        <f aca="false">SUMIF($C$6:$AL$6,3,C21:AL21)</f>
        <v>-3000</v>
      </c>
      <c r="AP21" s="45" t="n">
        <f aca="false">SUM(C21:AL21)</f>
        <v>-4800</v>
      </c>
    </row>
    <row r="22" customFormat="false" ht="15" hidden="false" customHeight="false" outlineLevel="0" collapsed="false">
      <c r="A22" s="7" t="s">
        <v>822</v>
      </c>
      <c r="C22" s="8" t="n">
        <f aca="false">-'36-Month Forecast'!C119</f>
        <v>-1237.3185</v>
      </c>
      <c r="D22" s="8" t="n">
        <f aca="false">-'36-Month Forecast'!D119</f>
        <v>-735.7185</v>
      </c>
      <c r="E22" s="8" t="n">
        <f aca="false">-'36-Month Forecast'!E119</f>
        <v>-814.3685</v>
      </c>
      <c r="F22" s="8" t="n">
        <f aca="false">-'36-Month Forecast'!F119</f>
        <v>-1226.8685</v>
      </c>
      <c r="G22" s="8" t="n">
        <f aca="false">-'36-Month Forecast'!G119</f>
        <v>-944.1685</v>
      </c>
      <c r="H22" s="8" t="n">
        <f aca="false">-'36-Month Forecast'!H119</f>
        <v>-814.3685</v>
      </c>
      <c r="I22" s="8" t="n">
        <f aca="false">-'36-Month Forecast'!I119</f>
        <v>-2244.3685</v>
      </c>
      <c r="J22" s="8" t="n">
        <f aca="false">-'36-Month Forecast'!J119</f>
        <v>-814.3685</v>
      </c>
      <c r="K22" s="8" t="n">
        <f aca="false">-'36-Month Forecast'!K119</f>
        <v>-814.3685</v>
      </c>
      <c r="L22" s="8" t="n">
        <f aca="false">-'36-Month Forecast'!L119</f>
        <v>-814.3685</v>
      </c>
      <c r="M22" s="8" t="n">
        <f aca="false">-'36-Month Forecast'!M119</f>
        <v>-814.3685</v>
      </c>
      <c r="N22" s="8" t="n">
        <f aca="false">-'36-Month Forecast'!N119</f>
        <v>-814.3685</v>
      </c>
      <c r="O22" s="8" t="n">
        <f aca="false">-'36-Month Forecast'!O119</f>
        <v>-1667.4185</v>
      </c>
      <c r="P22" s="8" t="n">
        <f aca="false">-'36-Month Forecast'!P119</f>
        <v>-835.8185</v>
      </c>
      <c r="Q22" s="8" t="n">
        <f aca="false">-'36-Month Forecast'!Q119</f>
        <v>-835.8185</v>
      </c>
      <c r="R22" s="8" t="n">
        <f aca="false">-'36-Month Forecast'!R119</f>
        <v>-1248.3185</v>
      </c>
      <c r="S22" s="8" t="n">
        <f aca="false">-'36-Month Forecast'!S119</f>
        <v>-965.6185</v>
      </c>
      <c r="T22" s="8" t="n">
        <f aca="false">-'36-Month Forecast'!T119</f>
        <v>-835.8185</v>
      </c>
      <c r="U22" s="8" t="n">
        <f aca="false">-'36-Month Forecast'!U119</f>
        <v>-2265.8185</v>
      </c>
      <c r="V22" s="8" t="n">
        <f aca="false">-'36-Month Forecast'!V119</f>
        <v>-835.8185</v>
      </c>
      <c r="W22" s="8" t="n">
        <f aca="false">-'36-Month Forecast'!W119</f>
        <v>-835.8185</v>
      </c>
      <c r="X22" s="8" t="n">
        <f aca="false">-'36-Month Forecast'!X119</f>
        <v>-835.8185</v>
      </c>
      <c r="Y22" s="8" t="n">
        <f aca="false">-'36-Month Forecast'!Y119</f>
        <v>-835.8185</v>
      </c>
      <c r="Z22" s="8" t="n">
        <f aca="false">-'36-Month Forecast'!Z119</f>
        <v>-835.8185</v>
      </c>
      <c r="AA22" s="8" t="n">
        <f aca="false">-'36-Month Forecast'!AA119</f>
        <v>-1667.4185</v>
      </c>
      <c r="AB22" s="8" t="n">
        <f aca="false">-'36-Month Forecast'!AB119</f>
        <v>-835.8185</v>
      </c>
      <c r="AC22" s="8" t="n">
        <f aca="false">-'36-Month Forecast'!AC119</f>
        <v>-835.8185</v>
      </c>
      <c r="AD22" s="8" t="n">
        <f aca="false">-'36-Month Forecast'!AD119</f>
        <v>-1248.3185</v>
      </c>
      <c r="AE22" s="8" t="n">
        <f aca="false">-'36-Month Forecast'!AE119</f>
        <v>-965.6185</v>
      </c>
      <c r="AF22" s="8" t="n">
        <f aca="false">-'36-Month Forecast'!AF119</f>
        <v>-835.8185</v>
      </c>
      <c r="AG22" s="8" t="n">
        <f aca="false">-'36-Month Forecast'!AG119</f>
        <v>-2265.8185</v>
      </c>
      <c r="AH22" s="8" t="n">
        <f aca="false">-'36-Month Forecast'!AH119</f>
        <v>-835.8185</v>
      </c>
      <c r="AI22" s="8" t="n">
        <f aca="false">-'36-Month Forecast'!AI119</f>
        <v>-835.8185</v>
      </c>
      <c r="AJ22" s="8" t="n">
        <f aca="false">-'36-Month Forecast'!AJ119</f>
        <v>-835.8185</v>
      </c>
      <c r="AK22" s="8" t="n">
        <f aca="false">-'36-Month Forecast'!AK119</f>
        <v>-835.8185</v>
      </c>
      <c r="AL22" s="8" t="n">
        <f aca="false">-'36-Month Forecast'!AL119</f>
        <v>-835.8185</v>
      </c>
      <c r="AM22" s="45" t="n">
        <f aca="false">SUMIF($C$6:$AL$6,1,C22:AL22)</f>
        <v>-12089.022</v>
      </c>
      <c r="AN22" s="45" t="n">
        <f aca="false">SUMIF($C$6:$AL$6,2,C22:AL22)</f>
        <v>-12833.722</v>
      </c>
      <c r="AO22" s="45" t="n">
        <f aca="false">SUMIF($C$6:$AL$6,3,C22:AL22)</f>
        <v>-12833.722</v>
      </c>
      <c r="AP22" s="45" t="n">
        <f aca="false">SUM(C22:AL22)</f>
        <v>-37756.466</v>
      </c>
    </row>
    <row r="23" customFormat="false" ht="15" hidden="false" customHeight="false" outlineLevel="0" collapsed="false">
      <c r="A23" s="7" t="s">
        <v>823</v>
      </c>
      <c r="C23" s="8" t="n">
        <f aca="false">-'36-Month Forecast'!C120</f>
        <v>-0</v>
      </c>
      <c r="D23" s="8" t="n">
        <f aca="false">-'36-Month Forecast'!D120</f>
        <v>-0</v>
      </c>
      <c r="E23" s="8" t="n">
        <f aca="false">-'36-Month Forecast'!E120</f>
        <v>-0</v>
      </c>
      <c r="F23" s="8" t="n">
        <f aca="false">-'36-Month Forecast'!F120</f>
        <v>-0</v>
      </c>
      <c r="G23" s="8" t="n">
        <f aca="false">-'36-Month Forecast'!G120</f>
        <v>-0</v>
      </c>
      <c r="H23" s="8" t="n">
        <f aca="false">-'36-Month Forecast'!H120</f>
        <v>-0</v>
      </c>
      <c r="I23" s="8" t="n">
        <f aca="false">-'36-Month Forecast'!I120</f>
        <v>-0</v>
      </c>
      <c r="J23" s="8" t="n">
        <f aca="false">-'36-Month Forecast'!J120</f>
        <v>-139.99</v>
      </c>
      <c r="K23" s="8" t="n">
        <f aca="false">-'36-Month Forecast'!K120</f>
        <v>-139.99</v>
      </c>
      <c r="L23" s="8" t="n">
        <f aca="false">-'36-Month Forecast'!L120</f>
        <v>-139.99</v>
      </c>
      <c r="M23" s="8" t="n">
        <f aca="false">-'36-Month Forecast'!M120</f>
        <v>-139.99</v>
      </c>
      <c r="N23" s="8" t="n">
        <f aca="false">-'36-Month Forecast'!N120</f>
        <v>-139.99</v>
      </c>
      <c r="O23" s="8" t="n">
        <f aca="false">-'36-Month Forecast'!O120</f>
        <v>-139.99</v>
      </c>
      <c r="P23" s="8" t="n">
        <f aca="false">-'36-Month Forecast'!P120</f>
        <v>-139.99</v>
      </c>
      <c r="Q23" s="8" t="n">
        <f aca="false">-'36-Month Forecast'!Q120</f>
        <v>-139.99</v>
      </c>
      <c r="R23" s="8" t="n">
        <f aca="false">-'36-Month Forecast'!R120</f>
        <v>-139.99</v>
      </c>
      <c r="S23" s="8" t="n">
        <f aca="false">-'36-Month Forecast'!S120</f>
        <v>-139.99</v>
      </c>
      <c r="T23" s="8" t="n">
        <f aca="false">-'36-Month Forecast'!T120</f>
        <v>-139.99</v>
      </c>
      <c r="U23" s="8" t="n">
        <f aca="false">-'36-Month Forecast'!U120</f>
        <v>-139.99</v>
      </c>
      <c r="V23" s="8" t="n">
        <f aca="false">-'36-Month Forecast'!V120</f>
        <v>-139.99</v>
      </c>
      <c r="W23" s="8" t="n">
        <f aca="false">-'36-Month Forecast'!W120</f>
        <v>-139.99</v>
      </c>
      <c r="X23" s="8" t="n">
        <f aca="false">-'36-Month Forecast'!X120</f>
        <v>-139.99</v>
      </c>
      <c r="Y23" s="8" t="n">
        <f aca="false">-'36-Month Forecast'!Y120</f>
        <v>-139.99</v>
      </c>
      <c r="Z23" s="8" t="n">
        <f aca="false">-'36-Month Forecast'!Z120</f>
        <v>-139.99</v>
      </c>
      <c r="AA23" s="8" t="n">
        <f aca="false">-'36-Month Forecast'!AA120</f>
        <v>-139.99</v>
      </c>
      <c r="AB23" s="8" t="n">
        <f aca="false">-'36-Month Forecast'!AB120</f>
        <v>-139.99</v>
      </c>
      <c r="AC23" s="8" t="n">
        <f aca="false">-'36-Month Forecast'!AC120</f>
        <v>-139.99</v>
      </c>
      <c r="AD23" s="8" t="n">
        <f aca="false">-'36-Month Forecast'!AD120</f>
        <v>-139.99</v>
      </c>
      <c r="AE23" s="8" t="n">
        <f aca="false">-'36-Month Forecast'!AE120</f>
        <v>-139.99</v>
      </c>
      <c r="AF23" s="8" t="n">
        <f aca="false">-'36-Month Forecast'!AF120</f>
        <v>-139.99</v>
      </c>
      <c r="AG23" s="8" t="n">
        <f aca="false">-'36-Month Forecast'!AG120</f>
        <v>-139.99</v>
      </c>
      <c r="AH23" s="8" t="n">
        <f aca="false">-'36-Month Forecast'!AH120</f>
        <v>-139.99</v>
      </c>
      <c r="AI23" s="8" t="n">
        <f aca="false">-'36-Month Forecast'!AI120</f>
        <v>-139.99</v>
      </c>
      <c r="AJ23" s="8" t="n">
        <f aca="false">-'36-Month Forecast'!AJ120</f>
        <v>-139.99</v>
      </c>
      <c r="AK23" s="8" t="n">
        <f aca="false">-'36-Month Forecast'!AK120</f>
        <v>-139.99</v>
      </c>
      <c r="AL23" s="8" t="n">
        <f aca="false">-'36-Month Forecast'!AL120</f>
        <v>-139.99</v>
      </c>
      <c r="AM23" s="45" t="n">
        <f aca="false">SUMIF($C$6:$AL$6,1,C23:AL23)</f>
        <v>-699.95</v>
      </c>
      <c r="AN23" s="45" t="n">
        <f aca="false">SUMIF($C$6:$AL$6,2,C23:AL23)</f>
        <v>-1679.88</v>
      </c>
      <c r="AO23" s="45" t="n">
        <f aca="false">SUMIF($C$6:$AL$6,3,C23:AL23)</f>
        <v>-1679.88</v>
      </c>
      <c r="AP23" s="45" t="n">
        <f aca="false">SUM(C23:AL23)</f>
        <v>-4059.71</v>
      </c>
    </row>
    <row r="24" customFormat="false" ht="15" hidden="false" customHeight="false" outlineLevel="0" collapsed="false">
      <c r="A24" s="7" t="s">
        <v>824</v>
      </c>
      <c r="C24" s="8" t="n">
        <f aca="false">-'36-Month Forecast'!C122</f>
        <v>-4253.5</v>
      </c>
      <c r="D24" s="8" t="n">
        <f aca="false">-'36-Month Forecast'!D122</f>
        <v>-1420</v>
      </c>
      <c r="E24" s="8" t="n">
        <f aca="false">-'36-Month Forecast'!E122</f>
        <v>-1975</v>
      </c>
      <c r="F24" s="8" t="n">
        <f aca="false">-'36-Month Forecast'!F122</f>
        <v>-650</v>
      </c>
      <c r="G24" s="8" t="n">
        <f aca="false">-'36-Month Forecast'!G122</f>
        <v>-1037.5</v>
      </c>
      <c r="H24" s="8" t="n">
        <f aca="false">-'36-Month Forecast'!H122</f>
        <v>-4250</v>
      </c>
      <c r="I24" s="8" t="n">
        <f aca="false">-'36-Month Forecast'!I122</f>
        <v>-5250</v>
      </c>
      <c r="J24" s="8" t="n">
        <f aca="false">-'36-Month Forecast'!J122</f>
        <v>-0</v>
      </c>
      <c r="K24" s="8" t="n">
        <f aca="false">-'36-Month Forecast'!K122</f>
        <v>-687.5</v>
      </c>
      <c r="L24" s="8" t="n">
        <f aca="false">-'36-Month Forecast'!L122</f>
        <v>-262.5</v>
      </c>
      <c r="M24" s="8" t="n">
        <f aca="false">-'36-Month Forecast'!M122</f>
        <v>-0</v>
      </c>
      <c r="N24" s="8" t="n">
        <f aca="false">-'36-Month Forecast'!N122</f>
        <v>-0</v>
      </c>
      <c r="O24" s="8" t="n">
        <f aca="false">-'36-Month Forecast'!O122</f>
        <v>-0</v>
      </c>
      <c r="P24" s="8" t="n">
        <f aca="false">-'36-Month Forecast'!P122</f>
        <v>-0</v>
      </c>
      <c r="Q24" s="8" t="n">
        <f aca="false">-'36-Month Forecast'!Q122</f>
        <v>-0</v>
      </c>
      <c r="R24" s="8" t="n">
        <f aca="false">-'36-Month Forecast'!R122</f>
        <v>-0</v>
      </c>
      <c r="S24" s="8" t="n">
        <f aca="false">-'36-Month Forecast'!S122</f>
        <v>-0</v>
      </c>
      <c r="T24" s="8" t="n">
        <f aca="false">-'36-Month Forecast'!T122</f>
        <v>-0</v>
      </c>
      <c r="U24" s="8" t="n">
        <f aca="false">-'36-Month Forecast'!U122</f>
        <v>-0</v>
      </c>
      <c r="V24" s="8" t="n">
        <f aca="false">-'36-Month Forecast'!V122</f>
        <v>-0</v>
      </c>
      <c r="W24" s="8" t="n">
        <f aca="false">-'36-Month Forecast'!W122</f>
        <v>-0</v>
      </c>
      <c r="X24" s="8" t="n">
        <f aca="false">-'36-Month Forecast'!X122</f>
        <v>-0</v>
      </c>
      <c r="Y24" s="8" t="n">
        <f aca="false">-'36-Month Forecast'!Y122</f>
        <v>-0</v>
      </c>
      <c r="Z24" s="8" t="n">
        <f aca="false">-'36-Month Forecast'!Z122</f>
        <v>-0</v>
      </c>
      <c r="AA24" s="8" t="n">
        <f aca="false">-'36-Month Forecast'!AA122</f>
        <v>-0</v>
      </c>
      <c r="AB24" s="8" t="n">
        <f aca="false">-'36-Month Forecast'!AB122</f>
        <v>-0</v>
      </c>
      <c r="AC24" s="8" t="n">
        <f aca="false">-'36-Month Forecast'!AC122</f>
        <v>-0</v>
      </c>
      <c r="AD24" s="8" t="n">
        <f aca="false">-'36-Month Forecast'!AD122</f>
        <v>-0</v>
      </c>
      <c r="AE24" s="8" t="n">
        <f aca="false">-'36-Month Forecast'!AE122</f>
        <v>-0</v>
      </c>
      <c r="AF24" s="8" t="n">
        <f aca="false">-'36-Month Forecast'!AF122</f>
        <v>-0</v>
      </c>
      <c r="AG24" s="8" t="n">
        <f aca="false">-'36-Month Forecast'!AG122</f>
        <v>-0</v>
      </c>
      <c r="AH24" s="8" t="n">
        <f aca="false">-'36-Month Forecast'!AH122</f>
        <v>-0</v>
      </c>
      <c r="AI24" s="8" t="n">
        <f aca="false">-'36-Month Forecast'!AI122</f>
        <v>-0</v>
      </c>
      <c r="AJ24" s="8" t="n">
        <f aca="false">-'36-Month Forecast'!AJ122</f>
        <v>-0</v>
      </c>
      <c r="AK24" s="8" t="n">
        <f aca="false">-'36-Month Forecast'!AK122</f>
        <v>-0</v>
      </c>
      <c r="AL24" s="8" t="n">
        <f aca="false">-'36-Month Forecast'!AL122</f>
        <v>-0</v>
      </c>
      <c r="AM24" s="45" t="n">
        <f aca="false">SUMIF($C$6:$AL$6,1,C24:AL24)</f>
        <v>-19786</v>
      </c>
      <c r="AN24" s="45" t="n">
        <f aca="false">SUMIF($C$6:$AL$6,2,C24:AL24)</f>
        <v>0</v>
      </c>
      <c r="AO24" s="45" t="n">
        <f aca="false">SUMIF($C$6:$AL$6,3,C24:AL24)</f>
        <v>0</v>
      </c>
      <c r="AP24" s="45" t="n">
        <f aca="false">SUM(C24:AL24)</f>
        <v>-19786</v>
      </c>
    </row>
    <row r="25" customFormat="false" ht="15" hidden="false" customHeight="false" outlineLevel="0" collapsed="false">
      <c r="A25" s="7" t="s">
        <v>825</v>
      </c>
      <c r="C25" s="8" t="n">
        <f aca="false">-'36-Month Forecast'!C123</f>
        <v>-0</v>
      </c>
      <c r="D25" s="8" t="n">
        <f aca="false">-'36-Month Forecast'!D123</f>
        <v>-0</v>
      </c>
      <c r="E25" s="8" t="n">
        <f aca="false">-'36-Month Forecast'!E123</f>
        <v>-0</v>
      </c>
      <c r="F25" s="8" t="n">
        <f aca="false">-'36-Month Forecast'!F123</f>
        <v>-0</v>
      </c>
      <c r="G25" s="8" t="n">
        <f aca="false">-'36-Month Forecast'!G123</f>
        <v>-0</v>
      </c>
      <c r="H25" s="8" t="n">
        <f aca="false">-'36-Month Forecast'!H123</f>
        <v>-0</v>
      </c>
      <c r="I25" s="8" t="n">
        <f aca="false">-'36-Month Forecast'!I123</f>
        <v>-0</v>
      </c>
      <c r="J25" s="8" t="n">
        <f aca="false">-'36-Month Forecast'!J123</f>
        <v>-1875</v>
      </c>
      <c r="K25" s="8" t="n">
        <f aca="false">-'36-Month Forecast'!K123</f>
        <v>-0</v>
      </c>
      <c r="L25" s="8" t="n">
        <f aca="false">-'36-Month Forecast'!L123</f>
        <v>-0</v>
      </c>
      <c r="M25" s="8" t="n">
        <f aca="false">-'36-Month Forecast'!M123</f>
        <v>-0</v>
      </c>
      <c r="N25" s="8" t="n">
        <f aca="false">-'36-Month Forecast'!N123</f>
        <v>-0</v>
      </c>
      <c r="O25" s="8" t="n">
        <f aca="false">-'36-Month Forecast'!O123</f>
        <v>-0</v>
      </c>
      <c r="P25" s="8" t="n">
        <f aca="false">-'36-Month Forecast'!P123</f>
        <v>-0</v>
      </c>
      <c r="Q25" s="8" t="n">
        <f aca="false">-'36-Month Forecast'!Q123</f>
        <v>-0</v>
      </c>
      <c r="R25" s="8" t="n">
        <f aca="false">-'36-Month Forecast'!R123</f>
        <v>-0</v>
      </c>
      <c r="S25" s="8" t="n">
        <f aca="false">-'36-Month Forecast'!S123</f>
        <v>-0</v>
      </c>
      <c r="T25" s="8" t="n">
        <f aca="false">-'36-Month Forecast'!T123</f>
        <v>-0</v>
      </c>
      <c r="U25" s="8" t="n">
        <f aca="false">-'36-Month Forecast'!U123</f>
        <v>-0</v>
      </c>
      <c r="V25" s="8" t="n">
        <f aca="false">-'36-Month Forecast'!V123</f>
        <v>-0</v>
      </c>
      <c r="W25" s="8" t="n">
        <f aca="false">-'36-Month Forecast'!W123</f>
        <v>-0</v>
      </c>
      <c r="X25" s="8" t="n">
        <f aca="false">-'36-Month Forecast'!X123</f>
        <v>-0</v>
      </c>
      <c r="Y25" s="8" t="n">
        <f aca="false">-'36-Month Forecast'!Y123</f>
        <v>-0</v>
      </c>
      <c r="Z25" s="8" t="n">
        <f aca="false">-'36-Month Forecast'!Z123</f>
        <v>-0</v>
      </c>
      <c r="AA25" s="8" t="n">
        <f aca="false">-'36-Month Forecast'!AA123</f>
        <v>-0</v>
      </c>
      <c r="AB25" s="8" t="n">
        <f aca="false">-'36-Month Forecast'!AB123</f>
        <v>-0</v>
      </c>
      <c r="AC25" s="8" t="n">
        <f aca="false">-'36-Month Forecast'!AC123</f>
        <v>-0</v>
      </c>
      <c r="AD25" s="8" t="n">
        <f aca="false">-'36-Month Forecast'!AD123</f>
        <v>-0</v>
      </c>
      <c r="AE25" s="8" t="n">
        <f aca="false">-'36-Month Forecast'!AE123</f>
        <v>-0</v>
      </c>
      <c r="AF25" s="8" t="n">
        <f aca="false">-'36-Month Forecast'!AF123</f>
        <v>-0</v>
      </c>
      <c r="AG25" s="8" t="n">
        <f aca="false">-'36-Month Forecast'!AG123</f>
        <v>-0</v>
      </c>
      <c r="AH25" s="8" t="n">
        <f aca="false">-'36-Month Forecast'!AH123</f>
        <v>-0</v>
      </c>
      <c r="AI25" s="8" t="n">
        <f aca="false">-'36-Month Forecast'!AI123</f>
        <v>-0</v>
      </c>
      <c r="AJ25" s="8" t="n">
        <f aca="false">-'36-Month Forecast'!AJ123</f>
        <v>-0</v>
      </c>
      <c r="AK25" s="8" t="n">
        <f aca="false">-'36-Month Forecast'!AK123</f>
        <v>-0</v>
      </c>
      <c r="AL25" s="8" t="n">
        <f aca="false">-'36-Month Forecast'!AL123</f>
        <v>-0</v>
      </c>
      <c r="AM25" s="45" t="n">
        <f aca="false">SUMIF($C$6:$AL$6,1,C25:AL25)</f>
        <v>-1875</v>
      </c>
      <c r="AN25" s="45" t="n">
        <f aca="false">SUMIF($C$6:$AL$6,2,C25:AL25)</f>
        <v>0</v>
      </c>
      <c r="AO25" s="45" t="n">
        <f aca="false">SUMIF($C$6:$AL$6,3,C25:AL25)</f>
        <v>0</v>
      </c>
      <c r="AP25" s="45" t="n">
        <f aca="false">SUM(C25:AL25)</f>
        <v>-1875</v>
      </c>
    </row>
    <row r="26" customFormat="false" ht="15" hidden="false" customHeight="false" outlineLevel="0" collapsed="false">
      <c r="A26" s="57" t="s">
        <v>826</v>
      </c>
      <c r="B26" s="61"/>
      <c r="C26" s="59" t="n">
        <f aca="false">SUM(C18:C25)</f>
        <v>-5481.38042647641</v>
      </c>
      <c r="D26" s="59" t="n">
        <f aca="false">SUM(D18:D25)</f>
        <v>-2127.82154162712</v>
      </c>
      <c r="E26" s="59" t="n">
        <f aca="false">SUM(E18:E25)</f>
        <v>-2742.43723233731</v>
      </c>
      <c r="F26" s="59" t="n">
        <f aca="false">SUM(F18:F25)</f>
        <v>-1805.91656002388</v>
      </c>
      <c r="G26" s="59" t="n">
        <f aca="false">SUM(G18:G25)</f>
        <v>-1894.47435129178</v>
      </c>
      <c r="H26" s="59" t="n">
        <f aca="false">SUM(H18:H25)</f>
        <v>-4933.86365326308</v>
      </c>
      <c r="I26" s="59" t="n">
        <f aca="false">SUM(I18:I25)</f>
        <v>-7345.4500710771</v>
      </c>
      <c r="J26" s="59" t="n">
        <f aca="false">SUM(J18:J25)</f>
        <v>-6284.8048229181</v>
      </c>
      <c r="K26" s="59" t="n">
        <f aca="false">SUM(K18:K25)</f>
        <v>-1432.14459881896</v>
      </c>
      <c r="L26" s="59" t="n">
        <f aca="false">SUM(L18:L25)</f>
        <v>-1002.56589564486</v>
      </c>
      <c r="M26" s="59" t="n">
        <f aca="false">SUM(M18:M25)</f>
        <v>-736.324210695078</v>
      </c>
      <c r="N26" s="59" t="n">
        <f aca="false">SUM(N18:N25)</f>
        <v>-725.5931743547</v>
      </c>
      <c r="O26" s="59" t="n">
        <f aca="false">SUM(O18:O25)</f>
        <v>-1711.01623327684</v>
      </c>
      <c r="P26" s="59" t="n">
        <f aca="false">SUM(P18:P25)</f>
        <v>-807.284799383251</v>
      </c>
      <c r="Q26" s="59" t="n">
        <f aca="false">SUM(Q18:Q25)</f>
        <v>-777.165446601073</v>
      </c>
      <c r="R26" s="59" t="n">
        <f aca="false">SUM(R18:R25)</f>
        <v>-1160.00843886453</v>
      </c>
      <c r="S26" s="59" t="n">
        <f aca="false">SUM(S18:S25)</f>
        <v>-926.504061521487</v>
      </c>
      <c r="T26" s="59" t="n">
        <f aca="false">SUM(T18:T25)</f>
        <v>-776.622371219498</v>
      </c>
      <c r="U26" s="59" t="n">
        <f aca="false">SUM(U18:U25)</f>
        <v>-2225.20939960091</v>
      </c>
      <c r="V26" s="59" t="n">
        <f aca="false">SUM(V18:V25)</f>
        <v>-796.554348267604</v>
      </c>
      <c r="W26" s="59" t="n">
        <f aca="false">SUM(W18:W25)</f>
        <v>-768.045186933273</v>
      </c>
      <c r="X26" s="59" t="n">
        <f aca="false">SUM(X18:X25)</f>
        <v>-780.222113554198</v>
      </c>
      <c r="Y26" s="59" t="n">
        <f aca="false">SUM(Y18:Y25)</f>
        <v>-787.367930339384</v>
      </c>
      <c r="Z26" s="59" t="n">
        <f aca="false">SUM(Z18:Z25)</f>
        <v>-782.826217561135</v>
      </c>
      <c r="AA26" s="59" t="n">
        <f aca="false">SUM(AA18:AA25)</f>
        <v>-1695.84308472897</v>
      </c>
      <c r="AB26" s="59" t="n">
        <f aca="false">SUM(AB18:AB25)</f>
        <v>-767.597398902664</v>
      </c>
      <c r="AC26" s="59" t="n">
        <f aca="false">SUM(AC18:AC25)</f>
        <v>-733.377217517243</v>
      </c>
      <c r="AD26" s="59" t="n">
        <f aca="false">SUM(AD18:AD25)</f>
        <v>-1114.36721452604</v>
      </c>
      <c r="AE26" s="59" t="n">
        <f aca="false">SUM(AE18:AE25)</f>
        <v>-909.112138816704</v>
      </c>
      <c r="AF26" s="59" t="n">
        <f aca="false">SUM(AF18:AF25)</f>
        <v>-760.231643802555</v>
      </c>
      <c r="AG26" s="59" t="n">
        <f aca="false">SUM(AG18:AG25)</f>
        <v>-2222.10841466146</v>
      </c>
      <c r="AH26" s="59" t="n">
        <f aca="false">SUM(AH18:AH25)</f>
        <v>-801.945153478054</v>
      </c>
      <c r="AI26" s="59" t="n">
        <f aca="false">SUM(AI18:AI25)</f>
        <v>-773.565111669535</v>
      </c>
      <c r="AJ26" s="59" t="n">
        <f aca="false">SUM(AJ18:AJ25)</f>
        <v>-796.733288434793</v>
      </c>
      <c r="AK26" s="59" t="n">
        <f aca="false">SUM(AK18:AK25)</f>
        <v>-813.633178325659</v>
      </c>
      <c r="AL26" s="59" t="n">
        <f aca="false">SUM(AL18:AL25)</f>
        <v>-815.51038527693</v>
      </c>
      <c r="AM26" s="60" t="n">
        <f aca="false">SUMIF($C$6:$AL$6,1,C26:AL26)</f>
        <v>-36512.7765385284</v>
      </c>
      <c r="AN26" s="60" t="n">
        <f aca="false">SUMIF($C$6:$AL$6,2,C26:AL26)</f>
        <v>-12298.8265471232</v>
      </c>
      <c r="AO26" s="60" t="n">
        <f aca="false">SUMIF($C$6:$AL$6,3,C26:AL26)</f>
        <v>-12204.0242301406</v>
      </c>
      <c r="AP26" s="60" t="n">
        <f aca="false">SUM(C26:AL26)</f>
        <v>-61015.6273157922</v>
      </c>
    </row>
    <row r="27" customFormat="false" ht="15" hidden="false" customHeight="false" outlineLevel="0" collapsed="false">
      <c r="A27" s="7" t="s">
        <v>827</v>
      </c>
      <c r="C27" s="8" t="n">
        <f aca="false">-Assumptions!$C$14*MAX(0,C26)</f>
        <v>-0</v>
      </c>
      <c r="D27" s="8" t="n">
        <f aca="false">-Assumptions!$C$14*MAX(0,D26)</f>
        <v>-0</v>
      </c>
      <c r="E27" s="8" t="n">
        <f aca="false">-Assumptions!$C$14*MAX(0,E26)</f>
        <v>-0</v>
      </c>
      <c r="F27" s="8" t="n">
        <f aca="false">-Assumptions!$C$14*MAX(0,F26)</f>
        <v>-0</v>
      </c>
      <c r="G27" s="8" t="n">
        <f aca="false">-Assumptions!$C$14*MAX(0,G26)</f>
        <v>-0</v>
      </c>
      <c r="H27" s="8" t="n">
        <f aca="false">-Assumptions!$C$14*MAX(0,H26)</f>
        <v>-0</v>
      </c>
      <c r="I27" s="8" t="n">
        <f aca="false">-Assumptions!$C$14*MAX(0,I26)</f>
        <v>-0</v>
      </c>
      <c r="J27" s="8" t="n">
        <f aca="false">-Assumptions!$C$14*MAX(0,J26)</f>
        <v>-0</v>
      </c>
      <c r="K27" s="8" t="n">
        <f aca="false">-Assumptions!$C$14*MAX(0,K26)</f>
        <v>-0</v>
      </c>
      <c r="L27" s="8" t="n">
        <f aca="false">-Assumptions!$C$14*MAX(0,L26)</f>
        <v>-0</v>
      </c>
      <c r="M27" s="8" t="n">
        <f aca="false">-Assumptions!$C$14*MAX(0,M26)</f>
        <v>-0</v>
      </c>
      <c r="N27" s="8" t="n">
        <f aca="false">-Assumptions!$C$14*MAX(0,N26)</f>
        <v>-0</v>
      </c>
      <c r="O27" s="8" t="n">
        <f aca="false">-Assumptions!$C$14*MAX(0,O26)</f>
        <v>-0</v>
      </c>
      <c r="P27" s="8" t="n">
        <f aca="false">-Assumptions!$C$14*MAX(0,P26)</f>
        <v>-0</v>
      </c>
      <c r="Q27" s="8" t="n">
        <f aca="false">-Assumptions!$C$14*MAX(0,Q26)</f>
        <v>-0</v>
      </c>
      <c r="R27" s="8" t="n">
        <f aca="false">-Assumptions!$C$14*MAX(0,R26)</f>
        <v>-0</v>
      </c>
      <c r="S27" s="8" t="n">
        <f aca="false">-Assumptions!$C$14*MAX(0,S26)</f>
        <v>-0</v>
      </c>
      <c r="T27" s="8" t="n">
        <f aca="false">-Assumptions!$C$14*MAX(0,T26)</f>
        <v>-0</v>
      </c>
      <c r="U27" s="8" t="n">
        <f aca="false">-Assumptions!$C$14*MAX(0,U26)</f>
        <v>-0</v>
      </c>
      <c r="V27" s="8" t="n">
        <f aca="false">-Assumptions!$C$14*MAX(0,V26)</f>
        <v>-0</v>
      </c>
      <c r="W27" s="8" t="n">
        <f aca="false">-Assumptions!$C$14*MAX(0,W26)</f>
        <v>-0</v>
      </c>
      <c r="X27" s="8" t="n">
        <f aca="false">-Assumptions!$C$14*MAX(0,X26)</f>
        <v>-0</v>
      </c>
      <c r="Y27" s="8" t="n">
        <f aca="false">-Assumptions!$C$14*MAX(0,Y26)</f>
        <v>-0</v>
      </c>
      <c r="Z27" s="8" t="n">
        <f aca="false">-Assumptions!$C$14*MAX(0,Z26)</f>
        <v>-0</v>
      </c>
      <c r="AA27" s="8" t="n">
        <f aca="false">-Assumptions!$C$14*MAX(0,AA26)</f>
        <v>-0</v>
      </c>
      <c r="AB27" s="8" t="n">
        <f aca="false">-Assumptions!$C$14*MAX(0,AB26)</f>
        <v>-0</v>
      </c>
      <c r="AC27" s="8" t="n">
        <f aca="false">-Assumptions!$C$14*MAX(0,AC26)</f>
        <v>-0</v>
      </c>
      <c r="AD27" s="8" t="n">
        <f aca="false">-Assumptions!$C$14*MAX(0,AD26)</f>
        <v>-0</v>
      </c>
      <c r="AE27" s="8" t="n">
        <f aca="false">-Assumptions!$C$14*MAX(0,AE26)</f>
        <v>-0</v>
      </c>
      <c r="AF27" s="8" t="n">
        <f aca="false">-Assumptions!$C$14*MAX(0,AF26)</f>
        <v>-0</v>
      </c>
      <c r="AG27" s="8" t="n">
        <f aca="false">-Assumptions!$C$14*MAX(0,AG26)</f>
        <v>-0</v>
      </c>
      <c r="AH27" s="8" t="n">
        <f aca="false">-Assumptions!$C$14*MAX(0,AH26)</f>
        <v>-0</v>
      </c>
      <c r="AI27" s="8" t="n">
        <f aca="false">-Assumptions!$C$14*MAX(0,AI26)</f>
        <v>-0</v>
      </c>
      <c r="AJ27" s="8" t="n">
        <f aca="false">-Assumptions!$C$14*MAX(0,AJ26)</f>
        <v>-0</v>
      </c>
      <c r="AK27" s="8" t="n">
        <f aca="false">-Assumptions!$C$14*MAX(0,AK26)</f>
        <v>-0</v>
      </c>
      <c r="AL27" s="8" t="n">
        <f aca="false">-Assumptions!$C$14*MAX(0,AL26)</f>
        <v>-0</v>
      </c>
      <c r="AM27" s="45" t="n">
        <f aca="false">SUMIF($C$6:$AL$6,1,C27:AL27)</f>
        <v>0</v>
      </c>
      <c r="AN27" s="45" t="n">
        <f aca="false">SUMIF($C$6:$AL$6,2,C27:AL27)</f>
        <v>0</v>
      </c>
      <c r="AO27" s="45" t="n">
        <f aca="false">SUMIF($C$6:$AL$6,3,C27:AL27)</f>
        <v>0</v>
      </c>
      <c r="AP27" s="45" t="n">
        <f aca="false">SUM(C27:AL27)</f>
        <v>0</v>
      </c>
    </row>
    <row r="28" customFormat="false" ht="15" hidden="false" customHeight="false" outlineLevel="0" collapsed="false">
      <c r="A28" s="57" t="s">
        <v>828</v>
      </c>
      <c r="B28" s="61"/>
      <c r="C28" s="62" t="n">
        <f aca="false">Assumptions!$C$15+C26+C27</f>
        <v>-5481.38042647641</v>
      </c>
      <c r="D28" s="59" t="n">
        <f aca="false">C28+D26+D27</f>
        <v>-7609.20196810353</v>
      </c>
      <c r="E28" s="59" t="n">
        <f aca="false">D28+E26+E27</f>
        <v>-10351.6392004408</v>
      </c>
      <c r="F28" s="59" t="n">
        <f aca="false">E28+F26+F27</f>
        <v>-12157.5557604647</v>
      </c>
      <c r="G28" s="59" t="n">
        <f aca="false">F28+G26+G27</f>
        <v>-14052.0301117565</v>
      </c>
      <c r="H28" s="59" t="n">
        <f aca="false">G28+H26+H27</f>
        <v>-18985.8937650196</v>
      </c>
      <c r="I28" s="59" t="n">
        <f aca="false">H28+I26+I27</f>
        <v>-26331.3438360967</v>
      </c>
      <c r="J28" s="59" t="n">
        <f aca="false">I28+J26+J27</f>
        <v>-32616.1486590148</v>
      </c>
      <c r="K28" s="59" t="n">
        <f aca="false">J28+K26+K27</f>
        <v>-34048.2932578337</v>
      </c>
      <c r="L28" s="59" t="n">
        <f aca="false">K28+L26+L27</f>
        <v>-35050.8591534786</v>
      </c>
      <c r="M28" s="59" t="n">
        <f aca="false">L28+M26+M27</f>
        <v>-35787.1833641737</v>
      </c>
      <c r="N28" s="59" t="n">
        <f aca="false">M28+N26+N27</f>
        <v>-36512.7765385284</v>
      </c>
      <c r="O28" s="59" t="n">
        <f aca="false">N28+O26+O27</f>
        <v>-38223.7927718052</v>
      </c>
      <c r="P28" s="59" t="n">
        <f aca="false">O28+P26+P27</f>
        <v>-39031.0775711885</v>
      </c>
      <c r="Q28" s="59" t="n">
        <f aca="false">P28+Q26+Q27</f>
        <v>-39808.2430177895</v>
      </c>
      <c r="R28" s="59" t="n">
        <f aca="false">Q28+R26+R27</f>
        <v>-40968.2514566541</v>
      </c>
      <c r="S28" s="59" t="n">
        <f aca="false">R28+S26+S27</f>
        <v>-41894.7555181755</v>
      </c>
      <c r="T28" s="59" t="n">
        <f aca="false">S28+T26+T27</f>
        <v>-42671.377889395</v>
      </c>
      <c r="U28" s="59" t="n">
        <f aca="false">T28+U26+U27</f>
        <v>-44896.587288996</v>
      </c>
      <c r="V28" s="59" t="n">
        <f aca="false">U28+V26+V27</f>
        <v>-45693.1416372636</v>
      </c>
      <c r="W28" s="59" t="n">
        <f aca="false">V28+W26+W27</f>
        <v>-46461.1868241968</v>
      </c>
      <c r="X28" s="59" t="n">
        <f aca="false">W28+X26+X27</f>
        <v>-47241.408937751</v>
      </c>
      <c r="Y28" s="59" t="n">
        <f aca="false">X28+Y26+Y27</f>
        <v>-48028.7768680904</v>
      </c>
      <c r="Z28" s="59" t="n">
        <f aca="false">Y28+Z26+Z27</f>
        <v>-48811.6030856516</v>
      </c>
      <c r="AA28" s="59" t="n">
        <f aca="false">Z28+AA26+AA27</f>
        <v>-50507.4461703805</v>
      </c>
      <c r="AB28" s="59" t="n">
        <f aca="false">AA28+AB26+AB27</f>
        <v>-51275.0435692832</v>
      </c>
      <c r="AC28" s="59" t="n">
        <f aca="false">AB28+AC26+AC27</f>
        <v>-52008.4207868004</v>
      </c>
      <c r="AD28" s="59" t="n">
        <f aca="false">AC28+AD26+AD27</f>
        <v>-53122.7880013265</v>
      </c>
      <c r="AE28" s="59" t="n">
        <f aca="false">AD28+AE26+AE27</f>
        <v>-54031.9001401432</v>
      </c>
      <c r="AF28" s="59" t="n">
        <f aca="false">AE28+AF26+AF27</f>
        <v>-54792.1317839457</v>
      </c>
      <c r="AG28" s="59" t="n">
        <f aca="false">AF28+AG26+AG27</f>
        <v>-57014.2401986072</v>
      </c>
      <c r="AH28" s="59" t="n">
        <f aca="false">AG28+AH26+AH27</f>
        <v>-57816.1853520852</v>
      </c>
      <c r="AI28" s="59" t="n">
        <f aca="false">AH28+AI26+AI27</f>
        <v>-58589.7504637548</v>
      </c>
      <c r="AJ28" s="59" t="n">
        <f aca="false">AI28+AJ26+AJ27</f>
        <v>-59386.4837521896</v>
      </c>
      <c r="AK28" s="59" t="n">
        <f aca="false">AJ28+AK26+AK27</f>
        <v>-60200.1169305152</v>
      </c>
      <c r="AL28" s="59" t="n">
        <f aca="false">AK28+AL26+AL27</f>
        <v>-61015.6273157922</v>
      </c>
      <c r="AM28" s="60" t="n">
        <f aca="false">N28</f>
        <v>-36512.7765385284</v>
      </c>
      <c r="AN28" s="60" t="n">
        <f aca="false">Z28</f>
        <v>-48811.6030856516</v>
      </c>
      <c r="AO28" s="60" t="n">
        <f aca="false">AL28</f>
        <v>-61015.6273157922</v>
      </c>
      <c r="AP28" s="60" t="n">
        <f aca="false">AL28</f>
        <v>-61015.6273157922</v>
      </c>
    </row>
    <row r="29" customFormat="false" ht="15" hidden="false" customHeight="false" outlineLevel="0" collapsed="false">
      <c r="A29" s="7" t="s">
        <v>829</v>
      </c>
      <c r="C29" s="17" t="n">
        <f aca="false">-C27</f>
        <v>0</v>
      </c>
      <c r="D29" s="17" t="n">
        <f aca="false">-D27+C29</f>
        <v>0</v>
      </c>
      <c r="E29" s="17" t="n">
        <f aca="false">-E27+D29</f>
        <v>0</v>
      </c>
      <c r="F29" s="17" t="n">
        <f aca="false">-F27+E29</f>
        <v>0</v>
      </c>
      <c r="G29" s="17" t="n">
        <f aca="false">-G27+F29</f>
        <v>0</v>
      </c>
      <c r="H29" s="17" t="n">
        <f aca="false">-H27+G29</f>
        <v>0</v>
      </c>
      <c r="I29" s="17" t="n">
        <f aca="false">-I27+H29</f>
        <v>0</v>
      </c>
      <c r="J29" s="17" t="n">
        <f aca="false">-J27+I29</f>
        <v>0</v>
      </c>
      <c r="K29" s="17" t="n">
        <f aca="false">-K27+J29</f>
        <v>0</v>
      </c>
      <c r="L29" s="17" t="n">
        <f aca="false">-L27+K29</f>
        <v>0</v>
      </c>
      <c r="M29" s="17" t="n">
        <f aca="false">-M27+L29</f>
        <v>0</v>
      </c>
      <c r="N29" s="17" t="n">
        <f aca="false">-N27+M29</f>
        <v>0</v>
      </c>
      <c r="O29" s="17" t="n">
        <f aca="false">-O27+N29</f>
        <v>0</v>
      </c>
      <c r="P29" s="17" t="n">
        <f aca="false">-P27+O29</f>
        <v>0</v>
      </c>
      <c r="Q29" s="17" t="n">
        <f aca="false">-Q27+P29</f>
        <v>0</v>
      </c>
      <c r="R29" s="17" t="n">
        <f aca="false">-R27+Q29</f>
        <v>0</v>
      </c>
      <c r="S29" s="17" t="n">
        <f aca="false">-S27+R29</f>
        <v>0</v>
      </c>
      <c r="T29" s="17" t="n">
        <f aca="false">-T27+S29</f>
        <v>0</v>
      </c>
      <c r="U29" s="17" t="n">
        <f aca="false">-U27+T29</f>
        <v>0</v>
      </c>
      <c r="V29" s="17" t="n">
        <f aca="false">-V27+U29</f>
        <v>0</v>
      </c>
      <c r="W29" s="17" t="n">
        <f aca="false">-W27+V29</f>
        <v>0</v>
      </c>
      <c r="X29" s="17" t="n">
        <f aca="false">-X27+W29</f>
        <v>0</v>
      </c>
      <c r="Y29" s="17" t="n">
        <f aca="false">-Y27+X29</f>
        <v>0</v>
      </c>
      <c r="Z29" s="17" t="n">
        <f aca="false">-Z27+Y29</f>
        <v>0</v>
      </c>
      <c r="AA29" s="17" t="n">
        <f aca="false">-AA27+Z29</f>
        <v>0</v>
      </c>
      <c r="AB29" s="17" t="n">
        <f aca="false">-AB27+AA29</f>
        <v>0</v>
      </c>
      <c r="AC29" s="17" t="n">
        <f aca="false">-AC27+AB29</f>
        <v>0</v>
      </c>
      <c r="AD29" s="17" t="n">
        <f aca="false">-AD27+AC29</f>
        <v>0</v>
      </c>
      <c r="AE29" s="17" t="n">
        <f aca="false">-AE27+AD29</f>
        <v>0</v>
      </c>
      <c r="AF29" s="17" t="n">
        <f aca="false">-AF27+AE29</f>
        <v>0</v>
      </c>
      <c r="AG29" s="17" t="n">
        <f aca="false">-AG27+AF29</f>
        <v>0</v>
      </c>
      <c r="AH29" s="17" t="n">
        <f aca="false">-AH27+AG29</f>
        <v>0</v>
      </c>
      <c r="AI29" s="17" t="n">
        <f aca="false">-AI27+AH29</f>
        <v>0</v>
      </c>
      <c r="AJ29" s="17" t="n">
        <f aca="false">-AJ27+AI29</f>
        <v>0</v>
      </c>
      <c r="AK29" s="17" t="n">
        <f aca="false">-AK27+AJ29</f>
        <v>0</v>
      </c>
      <c r="AL29" s="17" t="n">
        <f aca="false">-AL27+AK29</f>
        <v>0</v>
      </c>
      <c r="AM29" s="45" t="n">
        <f aca="false">N29</f>
        <v>0</v>
      </c>
      <c r="AN29" s="45" t="n">
        <f aca="false">Z29</f>
        <v>0</v>
      </c>
      <c r="AO29" s="45" t="n">
        <f aca="false">AL29</f>
        <v>0</v>
      </c>
      <c r="AP29" s="45" t="n">
        <f aca="false">AL29</f>
        <v>0</v>
      </c>
    </row>
    <row r="30" customFormat="false" ht="15" hidden="false" customHeight="false" outlineLevel="0" collapsed="false">
      <c r="A30" s="7" t="s">
        <v>830</v>
      </c>
      <c r="C30" s="17" t="n">
        <f aca="false">C28+C29</f>
        <v>-5481.38042647641</v>
      </c>
      <c r="D30" s="17" t="n">
        <f aca="false">D28+D29</f>
        <v>-7609.20196810353</v>
      </c>
      <c r="E30" s="17" t="n">
        <f aca="false">E28+E29</f>
        <v>-10351.6392004408</v>
      </c>
      <c r="F30" s="17" t="n">
        <f aca="false">F28+F29</f>
        <v>-12157.5557604647</v>
      </c>
      <c r="G30" s="17" t="n">
        <f aca="false">G28+G29</f>
        <v>-14052.0301117565</v>
      </c>
      <c r="H30" s="17" t="n">
        <f aca="false">H28+H29</f>
        <v>-18985.8937650196</v>
      </c>
      <c r="I30" s="17" t="n">
        <f aca="false">I28+I29</f>
        <v>-26331.3438360967</v>
      </c>
      <c r="J30" s="17" t="n">
        <f aca="false">J28+J29</f>
        <v>-32616.1486590148</v>
      </c>
      <c r="K30" s="17" t="n">
        <f aca="false">K28+K29</f>
        <v>-34048.2932578337</v>
      </c>
      <c r="L30" s="17" t="n">
        <f aca="false">L28+L29</f>
        <v>-35050.8591534786</v>
      </c>
      <c r="M30" s="17" t="n">
        <f aca="false">M28+M29</f>
        <v>-35787.1833641737</v>
      </c>
      <c r="N30" s="17" t="n">
        <f aca="false">N28+N29</f>
        <v>-36512.7765385284</v>
      </c>
      <c r="O30" s="17" t="n">
        <f aca="false">O28+O29</f>
        <v>-38223.7927718052</v>
      </c>
      <c r="P30" s="17" t="n">
        <f aca="false">P28+P29</f>
        <v>-39031.0775711885</v>
      </c>
      <c r="Q30" s="17" t="n">
        <f aca="false">Q28+Q29</f>
        <v>-39808.2430177895</v>
      </c>
      <c r="R30" s="17" t="n">
        <f aca="false">R28+R29</f>
        <v>-40968.2514566541</v>
      </c>
      <c r="S30" s="17" t="n">
        <f aca="false">S28+S29</f>
        <v>-41894.7555181755</v>
      </c>
      <c r="T30" s="17" t="n">
        <f aca="false">T28+T29</f>
        <v>-42671.377889395</v>
      </c>
      <c r="U30" s="17" t="n">
        <f aca="false">U28+U29</f>
        <v>-44896.587288996</v>
      </c>
      <c r="V30" s="17" t="n">
        <f aca="false">V28+V29</f>
        <v>-45693.1416372636</v>
      </c>
      <c r="W30" s="17" t="n">
        <f aca="false">W28+W29</f>
        <v>-46461.1868241968</v>
      </c>
      <c r="X30" s="17" t="n">
        <f aca="false">X28+X29</f>
        <v>-47241.408937751</v>
      </c>
      <c r="Y30" s="17" t="n">
        <f aca="false">Y28+Y29</f>
        <v>-48028.7768680904</v>
      </c>
      <c r="Z30" s="17" t="n">
        <f aca="false">Z28+Z29</f>
        <v>-48811.6030856516</v>
      </c>
      <c r="AA30" s="17" t="n">
        <f aca="false">AA28+AA29</f>
        <v>-50507.4461703805</v>
      </c>
      <c r="AB30" s="17" t="n">
        <f aca="false">AB28+AB29</f>
        <v>-51275.0435692832</v>
      </c>
      <c r="AC30" s="17" t="n">
        <f aca="false">AC28+AC29</f>
        <v>-52008.4207868004</v>
      </c>
      <c r="AD30" s="17" t="n">
        <f aca="false">AD28+AD29</f>
        <v>-53122.7880013265</v>
      </c>
      <c r="AE30" s="17" t="n">
        <f aca="false">AE28+AE29</f>
        <v>-54031.9001401432</v>
      </c>
      <c r="AF30" s="17" t="n">
        <f aca="false">AF28+AF29</f>
        <v>-54792.1317839457</v>
      </c>
      <c r="AG30" s="17" t="n">
        <f aca="false">AG28+AG29</f>
        <v>-57014.2401986072</v>
      </c>
      <c r="AH30" s="17" t="n">
        <f aca="false">AH28+AH29</f>
        <v>-57816.1853520852</v>
      </c>
      <c r="AI30" s="17" t="n">
        <f aca="false">AI28+AI29</f>
        <v>-58589.7504637548</v>
      </c>
      <c r="AJ30" s="17" t="n">
        <f aca="false">AJ28+AJ29</f>
        <v>-59386.4837521896</v>
      </c>
      <c r="AK30" s="17" t="n">
        <f aca="false">AK28+AK29</f>
        <v>-60200.1169305152</v>
      </c>
      <c r="AL30" s="17" t="n">
        <f aca="false">AL28+AL29</f>
        <v>-61015.6273157922</v>
      </c>
      <c r="AM30" s="45" t="n">
        <f aca="false">N30</f>
        <v>-36512.7765385284</v>
      </c>
      <c r="AN30" s="45" t="n">
        <f aca="false">Z30</f>
        <v>-48811.6030856516</v>
      </c>
      <c r="AO30" s="45" t="n">
        <f aca="false">AL30</f>
        <v>-61015.6273157922</v>
      </c>
      <c r="AP30" s="45" t="n">
        <f aca="false">AL30</f>
        <v>-61015.6273157922</v>
      </c>
    </row>
    <row r="31" customFormat="false" ht="15" hidden="false" customHeight="false" outlineLevel="0" collapsed="false">
      <c r="A31" s="7" t="s">
        <v>831</v>
      </c>
      <c r="C31" s="8" t="n">
        <f aca="false">Assumptions!$C$18*('36-Month Forecast'!C119+'36-Month Forecast'!C120+'36-Month Forecast'!C118)</f>
        <v>3711.9555</v>
      </c>
      <c r="D31" s="8" t="n">
        <f aca="false">Assumptions!$C$18*('36-Month Forecast'!D119+'36-Month Forecast'!D120+'36-Month Forecast'!D118)</f>
        <v>2207.1555</v>
      </c>
      <c r="E31" s="8" t="n">
        <f aca="false">Assumptions!$C$18*('36-Month Forecast'!E119+'36-Month Forecast'!E120+'36-Month Forecast'!E118)</f>
        <v>2443.1055</v>
      </c>
      <c r="F31" s="8" t="n">
        <f aca="false">Assumptions!$C$18*('36-Month Forecast'!F119+'36-Month Forecast'!F120+'36-Month Forecast'!F118)</f>
        <v>3680.6055</v>
      </c>
      <c r="G31" s="8" t="n">
        <f aca="false">Assumptions!$C$18*('36-Month Forecast'!G119+'36-Month Forecast'!G120+'36-Month Forecast'!G118)</f>
        <v>2832.5055</v>
      </c>
      <c r="H31" s="8" t="n">
        <f aca="false">Assumptions!$C$18*('36-Month Forecast'!H119+'36-Month Forecast'!H120+'36-Month Forecast'!H118)</f>
        <v>2443.1055</v>
      </c>
      <c r="I31" s="8" t="n">
        <f aca="false">Assumptions!$C$18*('36-Month Forecast'!I119+'36-Month Forecast'!I120+'36-Month Forecast'!I118)</f>
        <v>6733.1055</v>
      </c>
      <c r="J31" s="8" t="n">
        <f aca="false">Assumptions!$C$18*('36-Month Forecast'!J119+'36-Month Forecast'!J120+'36-Month Forecast'!J118)</f>
        <v>2863.0755</v>
      </c>
      <c r="K31" s="8" t="n">
        <f aca="false">Assumptions!$C$18*('36-Month Forecast'!K119+'36-Month Forecast'!K120+'36-Month Forecast'!K118)</f>
        <v>2863.0755</v>
      </c>
      <c r="L31" s="8" t="n">
        <f aca="false">Assumptions!$C$18*('36-Month Forecast'!L119+'36-Month Forecast'!L120+'36-Month Forecast'!L118)</f>
        <v>2863.0755</v>
      </c>
      <c r="M31" s="8" t="n">
        <f aca="false">Assumptions!$C$18*('36-Month Forecast'!M119+'36-Month Forecast'!M120+'36-Month Forecast'!M118)</f>
        <v>2863.0755</v>
      </c>
      <c r="N31" s="8" t="n">
        <f aca="false">Assumptions!$C$18*('36-Month Forecast'!N119+'36-Month Forecast'!N120+'36-Month Forecast'!N118)</f>
        <v>2863.0755</v>
      </c>
      <c r="O31" s="8" t="n">
        <f aca="false">Assumptions!$C$18*('36-Month Forecast'!O119+'36-Month Forecast'!O120+'36-Month Forecast'!O118)</f>
        <v>5872.2255</v>
      </c>
      <c r="P31" s="8" t="n">
        <f aca="false">Assumptions!$C$18*('36-Month Forecast'!P119+'36-Month Forecast'!P120+'36-Month Forecast'!P118)</f>
        <v>3377.4255</v>
      </c>
      <c r="Q31" s="8" t="n">
        <f aca="false">Assumptions!$C$18*('36-Month Forecast'!Q119+'36-Month Forecast'!Q120+'36-Month Forecast'!Q118)</f>
        <v>3377.4255</v>
      </c>
      <c r="R31" s="8" t="n">
        <f aca="false">Assumptions!$C$18*('36-Month Forecast'!R119+'36-Month Forecast'!R120+'36-Month Forecast'!R118)</f>
        <v>4614.9255</v>
      </c>
      <c r="S31" s="8" t="n">
        <f aca="false">Assumptions!$C$18*('36-Month Forecast'!S119+'36-Month Forecast'!S120+'36-Month Forecast'!S118)</f>
        <v>3766.8255</v>
      </c>
      <c r="T31" s="8" t="n">
        <f aca="false">Assumptions!$C$18*('36-Month Forecast'!T119+'36-Month Forecast'!T120+'36-Month Forecast'!T118)</f>
        <v>3377.4255</v>
      </c>
      <c r="U31" s="8" t="n">
        <f aca="false">Assumptions!$C$18*('36-Month Forecast'!U119+'36-Month Forecast'!U120+'36-Month Forecast'!U118)</f>
        <v>7667.4255</v>
      </c>
      <c r="V31" s="8" t="n">
        <f aca="false">Assumptions!$C$18*('36-Month Forecast'!V119+'36-Month Forecast'!V120+'36-Month Forecast'!V118)</f>
        <v>3377.4255</v>
      </c>
      <c r="W31" s="8" t="n">
        <f aca="false">Assumptions!$C$18*('36-Month Forecast'!W119+'36-Month Forecast'!W120+'36-Month Forecast'!W118)</f>
        <v>3377.4255</v>
      </c>
      <c r="X31" s="8" t="n">
        <f aca="false">Assumptions!$C$18*('36-Month Forecast'!X119+'36-Month Forecast'!X120+'36-Month Forecast'!X118)</f>
        <v>3377.4255</v>
      </c>
      <c r="Y31" s="8" t="n">
        <f aca="false">Assumptions!$C$18*('36-Month Forecast'!Y119+'36-Month Forecast'!Y120+'36-Month Forecast'!Y118)</f>
        <v>3377.4255</v>
      </c>
      <c r="Z31" s="8" t="n">
        <f aca="false">Assumptions!$C$18*('36-Month Forecast'!Z119+'36-Month Forecast'!Z120+'36-Month Forecast'!Z118)</f>
        <v>3377.4255</v>
      </c>
      <c r="AA31" s="8" t="n">
        <f aca="false">Assumptions!$C$18*('36-Month Forecast'!AA119+'36-Month Forecast'!AA120+'36-Month Forecast'!AA118)</f>
        <v>6172.2255</v>
      </c>
      <c r="AB31" s="8" t="n">
        <f aca="false">Assumptions!$C$18*('36-Month Forecast'!AB119+'36-Month Forecast'!AB120+'36-Month Forecast'!AB118)</f>
        <v>3677.4255</v>
      </c>
      <c r="AC31" s="8" t="n">
        <f aca="false">Assumptions!$C$18*('36-Month Forecast'!AC119+'36-Month Forecast'!AC120+'36-Month Forecast'!AC118)</f>
        <v>3677.4255</v>
      </c>
      <c r="AD31" s="8" t="n">
        <f aca="false">Assumptions!$C$18*('36-Month Forecast'!AD119+'36-Month Forecast'!AD120+'36-Month Forecast'!AD118)</f>
        <v>4914.9255</v>
      </c>
      <c r="AE31" s="8" t="n">
        <f aca="false">Assumptions!$C$18*('36-Month Forecast'!AE119+'36-Month Forecast'!AE120+'36-Month Forecast'!AE118)</f>
        <v>4066.8255</v>
      </c>
      <c r="AF31" s="8" t="n">
        <f aca="false">Assumptions!$C$18*('36-Month Forecast'!AF119+'36-Month Forecast'!AF120+'36-Month Forecast'!AF118)</f>
        <v>3677.4255</v>
      </c>
      <c r="AG31" s="8" t="n">
        <f aca="false">Assumptions!$C$18*('36-Month Forecast'!AG119+'36-Month Forecast'!AG120+'36-Month Forecast'!AG118)</f>
        <v>7967.4255</v>
      </c>
      <c r="AH31" s="8" t="n">
        <f aca="false">Assumptions!$C$18*('36-Month Forecast'!AH119+'36-Month Forecast'!AH120+'36-Month Forecast'!AH118)</f>
        <v>3677.4255</v>
      </c>
      <c r="AI31" s="8" t="n">
        <f aca="false">Assumptions!$C$18*('36-Month Forecast'!AI119+'36-Month Forecast'!AI120+'36-Month Forecast'!AI118)</f>
        <v>3677.4255</v>
      </c>
      <c r="AJ31" s="8" t="n">
        <f aca="false">Assumptions!$C$18*('36-Month Forecast'!AJ119+'36-Month Forecast'!AJ120+'36-Month Forecast'!AJ118)</f>
        <v>3677.4255</v>
      </c>
      <c r="AK31" s="8" t="n">
        <f aca="false">Assumptions!$C$18*('36-Month Forecast'!AK119+'36-Month Forecast'!AK120+'36-Month Forecast'!AK118)</f>
        <v>3677.4255</v>
      </c>
      <c r="AL31" s="8" t="n">
        <f aca="false">Assumptions!$C$18*('36-Month Forecast'!AL119+'36-Month Forecast'!AL120+'36-Month Forecast'!AL118)</f>
        <v>3677.4255</v>
      </c>
      <c r="AM31" s="45" t="n">
        <f aca="false">N31</f>
        <v>2863.0755</v>
      </c>
      <c r="AN31" s="45" t="n">
        <f aca="false">Z31</f>
        <v>3377.4255</v>
      </c>
      <c r="AO31" s="45" t="n">
        <f aca="false">AL31</f>
        <v>3677.4255</v>
      </c>
      <c r="AP31" s="45" t="n">
        <f aca="false">AL31</f>
        <v>3677.4255</v>
      </c>
    </row>
    <row r="32" customFormat="false" ht="15" hidden="false" customHeight="false" outlineLevel="0" collapsed="false">
      <c r="A32" s="7" t="s">
        <v>832</v>
      </c>
      <c r="C32" s="17" t="n">
        <f aca="false">C28-C31</f>
        <v>-9193.33592647641</v>
      </c>
      <c r="D32" s="17" t="n">
        <f aca="false">D28-D31</f>
        <v>-9816.35746810353</v>
      </c>
      <c r="E32" s="17" t="n">
        <f aca="false">E28-E31</f>
        <v>-12794.7447004408</v>
      </c>
      <c r="F32" s="17" t="n">
        <f aca="false">F28-F31</f>
        <v>-15838.1612604647</v>
      </c>
      <c r="G32" s="17" t="n">
        <f aca="false">G28-G31</f>
        <v>-16884.5356117565</v>
      </c>
      <c r="H32" s="17" t="n">
        <f aca="false">H28-H31</f>
        <v>-21428.9992650196</v>
      </c>
      <c r="I32" s="17" t="n">
        <f aca="false">I28-I31</f>
        <v>-33064.4493360967</v>
      </c>
      <c r="J32" s="17" t="n">
        <f aca="false">J28-J31</f>
        <v>-35479.2241590148</v>
      </c>
      <c r="K32" s="17" t="n">
        <f aca="false">K28-K31</f>
        <v>-36911.3687578337</v>
      </c>
      <c r="L32" s="17" t="n">
        <f aca="false">L28-L31</f>
        <v>-37913.9346534786</v>
      </c>
      <c r="M32" s="17" t="n">
        <f aca="false">M28-M31</f>
        <v>-38650.2588641737</v>
      </c>
      <c r="N32" s="17" t="n">
        <f aca="false">N28-N31</f>
        <v>-39375.8520385284</v>
      </c>
      <c r="O32" s="17" t="n">
        <f aca="false">O28-O31</f>
        <v>-44096.0182718052</v>
      </c>
      <c r="P32" s="17" t="n">
        <f aca="false">P28-P31</f>
        <v>-42408.5030711885</v>
      </c>
      <c r="Q32" s="17" t="n">
        <f aca="false">Q28-Q31</f>
        <v>-43185.6685177895</v>
      </c>
      <c r="R32" s="17" t="n">
        <f aca="false">R28-R31</f>
        <v>-45583.1769566541</v>
      </c>
      <c r="S32" s="17" t="n">
        <f aca="false">S28-S31</f>
        <v>-45661.5810181755</v>
      </c>
      <c r="T32" s="17" t="n">
        <f aca="false">T28-T31</f>
        <v>-46048.803389395</v>
      </c>
      <c r="U32" s="17" t="n">
        <f aca="false">U28-U31</f>
        <v>-52564.012788996</v>
      </c>
      <c r="V32" s="17" t="n">
        <f aca="false">V28-V31</f>
        <v>-49070.5671372636</v>
      </c>
      <c r="W32" s="17" t="n">
        <f aca="false">W28-W31</f>
        <v>-49838.6123241968</v>
      </c>
      <c r="X32" s="17" t="n">
        <f aca="false">X28-X31</f>
        <v>-50618.834437751</v>
      </c>
      <c r="Y32" s="17" t="n">
        <f aca="false">Y28-Y31</f>
        <v>-51406.2023680904</v>
      </c>
      <c r="Z32" s="17" t="n">
        <f aca="false">Z28-Z31</f>
        <v>-52189.0285856516</v>
      </c>
      <c r="AA32" s="17" t="n">
        <f aca="false">AA28-AA31</f>
        <v>-56679.6716703805</v>
      </c>
      <c r="AB32" s="17" t="n">
        <f aca="false">AB28-AB31</f>
        <v>-54952.4690692832</v>
      </c>
      <c r="AC32" s="17" t="n">
        <f aca="false">AC28-AC31</f>
        <v>-55685.8462868004</v>
      </c>
      <c r="AD32" s="17" t="n">
        <f aca="false">AD28-AD31</f>
        <v>-58037.7135013265</v>
      </c>
      <c r="AE32" s="17" t="n">
        <f aca="false">AE28-AE31</f>
        <v>-58098.7256401432</v>
      </c>
      <c r="AF32" s="17" t="n">
        <f aca="false">AF28-AF31</f>
        <v>-58469.5572839457</v>
      </c>
      <c r="AG32" s="17" t="n">
        <f aca="false">AG28-AG31</f>
        <v>-64981.6656986072</v>
      </c>
      <c r="AH32" s="17" t="n">
        <f aca="false">AH28-AH31</f>
        <v>-61493.6108520852</v>
      </c>
      <c r="AI32" s="17" t="n">
        <f aca="false">AI28-AI31</f>
        <v>-62267.1759637548</v>
      </c>
      <c r="AJ32" s="17" t="n">
        <f aca="false">AJ28-AJ31</f>
        <v>-63063.9092521896</v>
      </c>
      <c r="AK32" s="17" t="n">
        <f aca="false">AK28-AK31</f>
        <v>-63877.5424305152</v>
      </c>
      <c r="AL32" s="17" t="n">
        <f aca="false">AL28-AL31</f>
        <v>-64693.0528157922</v>
      </c>
      <c r="AM32" s="45" t="n">
        <f aca="false">N32</f>
        <v>-39375.8520385284</v>
      </c>
      <c r="AN32" s="45" t="n">
        <f aca="false">Z32</f>
        <v>-52189.0285856516</v>
      </c>
      <c r="AO32" s="45" t="n">
        <f aca="false">AL32</f>
        <v>-64693.0528157922</v>
      </c>
      <c r="AP32" s="45" t="n">
        <f aca="false">AL32</f>
        <v>-64693.0528157922</v>
      </c>
    </row>
    <row r="33" customFormat="false" ht="15" hidden="false" customHeight="false" outlineLevel="0" collapsed="false">
      <c r="A33" s="7" t="s">
        <v>833</v>
      </c>
      <c r="C33" s="42" t="str">
        <f aca="false">IF(COUNTIF(C28:$AL28,"&lt;0")=0,C$4,"")</f>
        <v/>
      </c>
      <c r="D33" s="42" t="str">
        <f aca="false">IF(COUNTIF(D28:$AL28,"&lt;0")=0,D$4,"")</f>
        <v/>
      </c>
      <c r="E33" s="42" t="str">
        <f aca="false">IF(COUNTIF(E28:$AL28,"&lt;0")=0,E$4,"")</f>
        <v/>
      </c>
      <c r="F33" s="42" t="str">
        <f aca="false">IF(COUNTIF(F28:$AL28,"&lt;0")=0,F$4,"")</f>
        <v/>
      </c>
      <c r="G33" s="42" t="str">
        <f aca="false">IF(COUNTIF(G28:$AL28,"&lt;0")=0,G$4,"")</f>
        <v/>
      </c>
      <c r="H33" s="42" t="str">
        <f aca="false">IF(COUNTIF(H28:$AL28,"&lt;0")=0,H$4,"")</f>
        <v/>
      </c>
      <c r="I33" s="42" t="str">
        <f aca="false">IF(COUNTIF(I28:$AL28,"&lt;0")=0,I$4,"")</f>
        <v/>
      </c>
      <c r="J33" s="42" t="str">
        <f aca="false">IF(COUNTIF(J28:$AL28,"&lt;0")=0,J$4,"")</f>
        <v/>
      </c>
      <c r="K33" s="42" t="str">
        <f aca="false">IF(COUNTIF(K28:$AL28,"&lt;0")=0,K$4,"")</f>
        <v/>
      </c>
      <c r="L33" s="42" t="str">
        <f aca="false">IF(COUNTIF(L28:$AL28,"&lt;0")=0,L$4,"")</f>
        <v/>
      </c>
      <c r="M33" s="42" t="str">
        <f aca="false">IF(COUNTIF(M28:$AL28,"&lt;0")=0,M$4,"")</f>
        <v/>
      </c>
      <c r="N33" s="42" t="str">
        <f aca="false">IF(COUNTIF(N28:$AL28,"&lt;0")=0,N$4,"")</f>
        <v/>
      </c>
      <c r="O33" s="42" t="str">
        <f aca="false">IF(COUNTIF(O28:$AL28,"&lt;0")=0,O$4,"")</f>
        <v/>
      </c>
      <c r="P33" s="42" t="str">
        <f aca="false">IF(COUNTIF(P28:$AL28,"&lt;0")=0,P$4,"")</f>
        <v/>
      </c>
      <c r="Q33" s="42" t="str">
        <f aca="false">IF(COUNTIF(Q28:$AL28,"&lt;0")=0,Q$4,"")</f>
        <v/>
      </c>
      <c r="R33" s="42" t="str">
        <f aca="false">IF(COUNTIF(R28:$AL28,"&lt;0")=0,R$4,"")</f>
        <v/>
      </c>
      <c r="S33" s="42" t="str">
        <f aca="false">IF(COUNTIF(S28:$AL28,"&lt;0")=0,S$4,"")</f>
        <v/>
      </c>
      <c r="T33" s="42" t="str">
        <f aca="false">IF(COUNTIF(T28:$AL28,"&lt;0")=0,T$4,"")</f>
        <v/>
      </c>
      <c r="U33" s="42" t="str">
        <f aca="false">IF(COUNTIF(U28:$AL28,"&lt;0")=0,U$4,"")</f>
        <v/>
      </c>
      <c r="V33" s="42" t="str">
        <f aca="false">IF(COUNTIF(V28:$AL28,"&lt;0")=0,V$4,"")</f>
        <v/>
      </c>
      <c r="W33" s="42" t="str">
        <f aca="false">IF(COUNTIF(W28:$AL28,"&lt;0")=0,W$4,"")</f>
        <v/>
      </c>
      <c r="X33" s="42" t="str">
        <f aca="false">IF(COUNTIF(X28:$AL28,"&lt;0")=0,X$4,"")</f>
        <v/>
      </c>
      <c r="Y33" s="42" t="str">
        <f aca="false">IF(COUNTIF(Y28:$AL28,"&lt;0")=0,Y$4,"")</f>
        <v/>
      </c>
      <c r="Z33" s="42" t="str">
        <f aca="false">IF(COUNTIF(Z28:$AL28,"&lt;0")=0,Z$4,"")</f>
        <v/>
      </c>
      <c r="AA33" s="42" t="str">
        <f aca="false">IF(COUNTIF(AA28:$AL28,"&lt;0")=0,AA$4,"")</f>
        <v/>
      </c>
      <c r="AB33" s="42" t="str">
        <f aca="false">IF(COUNTIF(AB28:$AL28,"&lt;0")=0,AB$4,"")</f>
        <v/>
      </c>
      <c r="AC33" s="42" t="str">
        <f aca="false">IF(COUNTIF(AC28:$AL28,"&lt;0")=0,AC$4,"")</f>
        <v/>
      </c>
      <c r="AD33" s="42" t="str">
        <f aca="false">IF(COUNTIF(AD28:$AL28,"&lt;0")=0,AD$4,"")</f>
        <v/>
      </c>
      <c r="AE33" s="42" t="str">
        <f aca="false">IF(COUNTIF(AE28:$AL28,"&lt;0")=0,AE$4,"")</f>
        <v/>
      </c>
      <c r="AF33" s="42" t="str">
        <f aca="false">IF(COUNTIF(AF28:$AL28,"&lt;0")=0,AF$4,"")</f>
        <v/>
      </c>
      <c r="AG33" s="42" t="str">
        <f aca="false">IF(COUNTIF(AG28:$AL28,"&lt;0")=0,AG$4,"")</f>
        <v/>
      </c>
      <c r="AH33" s="42" t="str">
        <f aca="false">IF(COUNTIF(AH28:$AL28,"&lt;0")=0,AH$4,"")</f>
        <v/>
      </c>
      <c r="AI33" s="42" t="str">
        <f aca="false">IF(COUNTIF(AI28:$AL28,"&lt;0")=0,AI$4,"")</f>
        <v/>
      </c>
      <c r="AJ33" s="42" t="str">
        <f aca="false">IF(COUNTIF(AJ28:$AL28,"&lt;0")=0,AJ$4,"")</f>
        <v/>
      </c>
      <c r="AK33" s="42" t="str">
        <f aca="false">IF(COUNTIF(AK28:$AL28,"&lt;0")=0,AK$4,"")</f>
        <v/>
      </c>
      <c r="AL33" s="42" t="str">
        <f aca="false">IF(COUNTIF(AL28:$AL28,"&lt;0")=0,AL$4,"")</f>
        <v/>
      </c>
    </row>
    <row r="35" customFormat="false" ht="15" hidden="false" customHeight="false" outlineLevel="0" collapsed="false">
      <c r="A35" s="3" t="s">
        <v>806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customFormat="false" ht="15" hidden="false" customHeight="false" outlineLevel="0" collapsed="false">
      <c r="A36" s="7" t="s">
        <v>810</v>
      </c>
      <c r="C36" s="8" t="n">
        <f aca="false">IF(C$4-Assumptions!$C$70&gt;=1,INDEX('36-Month Forecast'!$C$152:$AL$152,1,C$4-Assumptions!$C$70)+INDEX('36-Month Forecast'!$C$149:$AL$149,1,C$4-Assumptions!$C$70)*'Unit Economics'!$H$50,0)</f>
        <v>14.480995884375</v>
      </c>
      <c r="D36" s="8" t="n">
        <f aca="false">IF(D$4-Assumptions!$C$70&gt;=1,INDEX('36-Month Forecast'!$C$152:$AL$152,1,D$4-Assumptions!$C$70)+INDEX('36-Month Forecast'!$C$149:$AL$149,1,D$4-Assumptions!$C$70)*'Unit Economics'!$H$50,0)</f>
        <v>44.388063174</v>
      </c>
      <c r="E36" s="8" t="n">
        <f aca="false">IF(E$4-Assumptions!$C$70&gt;=1,INDEX('36-Month Forecast'!$C$152:$AL$152,1,E$4-Assumptions!$C$70)+INDEX('36-Month Forecast'!$C$149:$AL$149,1,E$4-Assumptions!$C$70)*'Unit Economics'!$H$50,0)</f>
        <v>77.44009790664</v>
      </c>
      <c r="F36" s="8" t="n">
        <f aca="false">IF(F$4-Assumptions!$C$70&gt;=1,INDEX('36-Month Forecast'!$C$152:$AL$152,1,F$4-Assumptions!$C$70)+INDEX('36-Month Forecast'!$C$149:$AL$149,1,F$4-Assumptions!$C$70)*'Unit Economics'!$H$50,0)</f>
        <v>85.662132993024</v>
      </c>
      <c r="G36" s="8" t="n">
        <f aca="false">IF(G$4-Assumptions!$C$70&gt;=1,INDEX('36-Month Forecast'!$C$152:$AL$152,1,G$4-Assumptions!$C$70)+INDEX('36-Month Forecast'!$C$149:$AL$149,1,G$4-Assumptions!$C$70)*'Unit Economics'!$H$50,0)</f>
        <v>86.3474300569682</v>
      </c>
      <c r="H36" s="8" t="n">
        <f aca="false">IF(H$4-Assumptions!$C$70&gt;=1,INDEX('36-Month Forecast'!$C$152:$AL$152,1,H$4-Assumptions!$C$70)+INDEX('36-Month Forecast'!$C$149:$AL$149,1,H$4-Assumptions!$C$70)*'Unit Economics'!$H$50,0)</f>
        <v>128.945495551739</v>
      </c>
      <c r="I36" s="8" t="n">
        <f aca="false">IF(I$4-Assumptions!$C$70&gt;=1,INDEX('36-Month Forecast'!$C$152:$AL$152,1,I$4-Assumptions!$C$70)+INDEX('36-Month Forecast'!$C$149:$AL$149,1,I$4-Assumptions!$C$70)*'Unit Economics'!$H$50,0)</f>
        <v>151.639902768845</v>
      </c>
      <c r="J36" s="8" t="n">
        <f aca="false">IF(J$4-Assumptions!$C$70&gt;=1,INDEX('36-Month Forecast'!$C$152:$AL$152,1,J$4-Assumptions!$C$70)+INDEX('36-Month Forecast'!$C$149:$AL$149,1,J$4-Assumptions!$C$70)*'Unit Economics'!$H$50,0)</f>
        <v>153.661768139097</v>
      </c>
      <c r="K36" s="8" t="n">
        <f aca="false">IF(K$4-Assumptions!$C$70&gt;=1,INDEX('36-Month Forecast'!$C$152:$AL$152,1,K$4-Assumptions!$C$70)+INDEX('36-Month Forecast'!$C$149:$AL$149,1,K$4-Assumptions!$C$70)*'Unit Economics'!$H$50,0)</f>
        <v>181.159137174514</v>
      </c>
      <c r="L36" s="8" t="n">
        <f aca="false">IF(L$4-Assumptions!$C$70&gt;=1,INDEX('36-Month Forecast'!$C$152:$AL$152,1,L$4-Assumptions!$C$70)+INDEX('36-Month Forecast'!$C$149:$AL$149,1,L$4-Assumptions!$C$70)*'Unit Economics'!$H$50,0)</f>
        <v>192.753321953683</v>
      </c>
      <c r="M36" s="8" t="n">
        <f aca="false">IF(M$4-Assumptions!$C$70&gt;=1,INDEX('36-Month Forecast'!$C$152:$AL$152,1,M$4-Assumptions!$C$70)+INDEX('36-Month Forecast'!$C$149:$AL$149,1,M$4-Assumptions!$C$70)*'Unit Economics'!$H$50,0)</f>
        <v>193.159118420954</v>
      </c>
      <c r="N36" s="8" t="n">
        <f aca="false">IF(N$4-Assumptions!$C$70&gt;=1,INDEX('36-Month Forecast'!$C$152:$AL$152,1,N$4-Assumptions!$C$70)+INDEX('36-Month Forecast'!$C$149:$AL$149,1,N$4-Assumptions!$C$70)*'Unit Economics'!$H$50,0)</f>
        <v>216.338212631468</v>
      </c>
      <c r="O36" s="8" t="n">
        <f aca="false">IF(O$4-Assumptions!$C$70&gt;=1,INDEX('36-Month Forecast'!$C$152:$AL$152,1,O$4-Assumptions!$C$70)+INDEX('36-Month Forecast'!$C$149:$AL$149,1,O$4-Assumptions!$C$70)*'Unit Economics'!$H$50,0)</f>
        <v>256.297153082222</v>
      </c>
      <c r="P36" s="8" t="n">
        <f aca="false">IF(P$4-Assumptions!$C$70&gt;=1,INDEX('36-Month Forecast'!$C$152:$AL$152,1,P$4-Assumptions!$C$70)+INDEX('36-Month Forecast'!$C$149:$AL$149,1,P$4-Assumptions!$C$70)*'Unit Economics'!$H$50,0)</f>
        <v>371.765765207686</v>
      </c>
      <c r="Q36" s="8" t="n">
        <f aca="false">IF(Q$4-Assumptions!$C$70&gt;=1,INDEX('36-Month Forecast'!$C$152:$AL$152,1,Q$4-Assumptions!$C$70)+INDEX('36-Month Forecast'!$C$149:$AL$149,1,Q$4-Assumptions!$C$70)*'Unit Economics'!$H$50,0)</f>
        <v>409.228315393999</v>
      </c>
      <c r="R36" s="8" t="n">
        <f aca="false">IF(R$4-Assumptions!$C$70&gt;=1,INDEX('36-Month Forecast'!$C$152:$AL$152,1,R$4-Assumptions!$C$70)+INDEX('36-Month Forecast'!$C$149:$AL$149,1,R$4-Assumptions!$C$70)*'Unit Economics'!$H$50,0)</f>
        <v>401.650013257073</v>
      </c>
      <c r="S36" s="8" t="n">
        <f aca="false">IF(S$4-Assumptions!$C$70&gt;=1,INDEX('36-Month Forecast'!$C$152:$AL$152,1,S$4-Assumptions!$C$70)+INDEX('36-Month Forecast'!$C$149:$AL$149,1,S$4-Assumptions!$C$70)*'Unit Economics'!$H$50,0)</f>
        <v>306.539290117798</v>
      </c>
      <c r="T36" s="8" t="n">
        <f aca="false">IF(T$4-Assumptions!$C$70&gt;=1,INDEX('36-Month Forecast'!$C$152:$AL$152,1,T$4-Assumptions!$C$70)+INDEX('36-Month Forecast'!$C$149:$AL$149,1,T$4-Assumptions!$C$70)*'Unit Economics'!$H$50,0)</f>
        <v>361.035163916518</v>
      </c>
      <c r="U36" s="8" t="n">
        <f aca="false">IF(U$4-Assumptions!$C$70&gt;=1,INDEX('36-Month Forecast'!$C$152:$AL$152,1,U$4-Assumptions!$C$70)+INDEX('36-Month Forecast'!$C$149:$AL$149,1,U$4-Assumptions!$C$70)*'Unit Economics'!$H$50,0)</f>
        <v>401.832137439084</v>
      </c>
      <c r="V36" s="8" t="n">
        <f aca="false">IF(V$4-Assumptions!$C$70&gt;=1,INDEX('36-Month Forecast'!$C$152:$AL$152,1,V$4-Assumptions!$C$70)+INDEX('36-Month Forecast'!$C$149:$AL$149,1,V$4-Assumptions!$C$70)*'Unit Economics'!$H$50,0)</f>
        <v>385.37615466777</v>
      </c>
      <c r="W36" s="8" t="n">
        <f aca="false">IF(W$4-Assumptions!$C$70&gt;=1,INDEX('36-Month Forecast'!$C$152:$AL$152,1,W$4-Assumptions!$C$70)+INDEX('36-Month Forecast'!$C$149:$AL$149,1,W$4-Assumptions!$C$70)*'Unit Economics'!$H$50,0)</f>
        <v>429.998656787195</v>
      </c>
      <c r="X36" s="8" t="n">
        <f aca="false">IF(X$4-Assumptions!$C$70&gt;=1,INDEX('36-Month Forecast'!$C$152:$AL$152,1,X$4-Assumptions!$C$70)+INDEX('36-Month Forecast'!$C$149:$AL$149,1,X$4-Assumptions!$C$70)*'Unit Economics'!$H$50,0)</f>
        <v>433.008647384706</v>
      </c>
      <c r="Y36" s="8" t="n">
        <f aca="false">IF(Y$4-Assumptions!$C$70&gt;=1,INDEX('36-Month Forecast'!$C$152:$AL$152,1,Y$4-Assumptions!$C$70)+INDEX('36-Month Forecast'!$C$149:$AL$149,1,Y$4-Assumptions!$C$70)*'Unit Economics'!$H$50,0)</f>
        <v>410.674517151179</v>
      </c>
      <c r="Z36" s="8" t="n">
        <f aca="false">IF(Z$4-Assumptions!$C$70&gt;=1,INDEX('36-Month Forecast'!$C$152:$AL$152,1,Z$4-Assumptions!$C$70)+INDEX('36-Month Forecast'!$C$149:$AL$149,1,Z$4-Assumptions!$C$70)*'Unit Economics'!$H$50,0)</f>
        <v>435.31498818025</v>
      </c>
      <c r="AA36" s="8" t="n">
        <f aca="false">IF(AA$4-Assumptions!$C$70&gt;=1,INDEX('36-Month Forecast'!$C$152:$AL$152,1,AA$4-Assumptions!$C$70)+INDEX('36-Month Forecast'!$C$149:$AL$149,1,AA$4-Assumptions!$C$70)*'Unit Economics'!$H$50,0)</f>
        <v>501.124371687499</v>
      </c>
      <c r="AB36" s="8" t="n">
        <f aca="false">IF(AB$4-Assumptions!$C$70&gt;=1,INDEX('36-Month Forecast'!$C$152:$AL$152,1,AB$4-Assumptions!$C$70)+INDEX('36-Month Forecast'!$C$149:$AL$149,1,AB$4-Assumptions!$C$70)*'Unit Economics'!$H$50,0)</f>
        <v>706.321614410065</v>
      </c>
      <c r="AC36" s="8" t="n">
        <f aca="false">IF(AC$4-Assumptions!$C$70&gt;=1,INDEX('36-Month Forecast'!$C$152:$AL$152,1,AC$4-Assumptions!$C$70)+INDEX('36-Month Forecast'!$C$149:$AL$149,1,AC$4-Assumptions!$C$70)*'Unit Economics'!$H$50,0)</f>
        <v>755.492465259381</v>
      </c>
      <c r="AD36" s="8" t="n">
        <f aca="false">IF(AD$4-Assumptions!$C$70&gt;=1,INDEX('36-Month Forecast'!$C$152:$AL$152,1,AD$4-Assumptions!$C$70)+INDEX('36-Month Forecast'!$C$149:$AL$149,1,AD$4-Assumptions!$C$70)*'Unit Economics'!$H$50,0)</f>
        <v>720.515962238113</v>
      </c>
      <c r="AE36" s="8" t="n">
        <f aca="false">IF(AE$4-Assumptions!$C$70&gt;=1,INDEX('36-Month Forecast'!$C$152:$AL$152,1,AE$4-Assumptions!$C$70)+INDEX('36-Month Forecast'!$C$149:$AL$149,1,AE$4-Assumptions!$C$70)*'Unit Economics'!$H$50,0)</f>
        <v>534.334637595785</v>
      </c>
      <c r="AF36" s="8" t="n">
        <f aca="false">IF(AF$4-Assumptions!$C$70&gt;=1,INDEX('36-Month Forecast'!$C$152:$AL$152,1,AF$4-Assumptions!$C$70)+INDEX('36-Month Forecast'!$C$149:$AL$149,1,AF$4-Assumptions!$C$70)*'Unit Economics'!$H$50,0)</f>
        <v>611.516307470731</v>
      </c>
      <c r="AG36" s="8" t="n">
        <f aca="false">IF(AG$4-Assumptions!$C$70&gt;=1,INDEX('36-Month Forecast'!$C$152:$AL$152,1,AG$4-Assumptions!$C$70)+INDEX('36-Month Forecast'!$C$149:$AL$149,1,AG$4-Assumptions!$C$70)*'Unit Economics'!$H$50,0)</f>
        <v>661.354886529596</v>
      </c>
      <c r="AH36" s="8" t="n">
        <f aca="false">IF(AH$4-Assumptions!$C$70&gt;=1,INDEX('36-Month Forecast'!$C$152:$AL$152,1,AH$4-Assumptions!$C$70)+INDEX('36-Month Forecast'!$C$149:$AL$149,1,AH$4-Assumptions!$C$70)*'Unit Economics'!$H$50,0)</f>
        <v>616.319768065914</v>
      </c>
      <c r="AI36" s="8" t="n">
        <f aca="false">IF(AI$4-Assumptions!$C$70&gt;=1,INDEX('36-Month Forecast'!$C$152:$AL$152,1,AI$4-Assumptions!$C$70)+INDEX('36-Month Forecast'!$C$149:$AL$149,1,AI$4-Assumptions!$C$70)*'Unit Economics'!$H$50,0)</f>
        <v>668.22038011357</v>
      </c>
      <c r="AJ36" s="8" t="n">
        <f aca="false">IF(AJ$4-Assumptions!$C$70&gt;=1,INDEX('36-Month Forecast'!$C$152:$AL$152,1,AJ$4-Assumptions!$C$70)+INDEX('36-Month Forecast'!$C$149:$AL$149,1,AJ$4-Assumptions!$C$70)*'Unit Economics'!$H$50,0)</f>
        <v>653.853641941128</v>
      </c>
      <c r="AK36" s="8" t="n">
        <f aca="false">IF(AK$4-Assumptions!$C$70&gt;=1,INDEX('36-Month Forecast'!$C$152:$AL$152,1,AK$4-Assumptions!$C$70)+INDEX('36-Month Forecast'!$C$149:$AL$149,1,AK$4-Assumptions!$C$70)*'Unit Economics'!$H$50,0)</f>
        <v>602.577751073113</v>
      </c>
      <c r="AL36" s="8" t="n">
        <f aca="false">IF(AL$4-Assumptions!$C$70&gt;=1,INDEX('36-Month Forecast'!$C$152:$AL$152,1,AL$4-Assumptions!$C$70)+INDEX('36-Month Forecast'!$C$149:$AL$149,1,AL$4-Assumptions!$C$70)*'Unit Economics'!$H$50,0)</f>
        <v>620.655083605307</v>
      </c>
      <c r="AM36" s="45" t="n">
        <f aca="false">SUMIF($C$6:$AL$6,1,C36:AL36)</f>
        <v>1525.97567665531</v>
      </c>
      <c r="AN36" s="45" t="n">
        <f aca="false">SUMIF($C$6:$AL$6,2,C36:AL36)</f>
        <v>4602.72080258548</v>
      </c>
      <c r="AO36" s="45" t="n">
        <f aca="false">SUMIF($C$6:$AL$6,3,C36:AL36)</f>
        <v>7652.2868699902</v>
      </c>
      <c r="AP36" s="45" t="n">
        <f aca="false">SUM(C36:AL36)</f>
        <v>13780.983349231</v>
      </c>
    </row>
    <row r="37" customFormat="false" ht="15" hidden="false" customHeight="false" outlineLevel="0" collapsed="false">
      <c r="A37" s="7" t="s">
        <v>811</v>
      </c>
      <c r="C37" s="8" t="n">
        <f aca="false">IF(C$4-Assumptions!$C$71&gt;=1,INDEX('36-Month Forecast'!$C$162:$AL$162,1,C$4-Assumptions!$C$71)+INDEX('36-Month Forecast'!$C$159:$AL$159,1,C$4-Assumptions!$C$71)*'Unit Economics'!$H$51,0)</f>
        <v>21.8061154285714</v>
      </c>
      <c r="D37" s="8" t="n">
        <f aca="false">IF(D$4-Assumptions!$C$71&gt;=1,INDEX('36-Month Forecast'!$C$162:$AL$162,1,D$4-Assumptions!$C$71)+INDEX('36-Month Forecast'!$C$159:$AL$159,1,D$4-Assumptions!$C$71)*'Unit Economics'!$H$51,0)</f>
        <v>66.84148224</v>
      </c>
      <c r="E37" s="8" t="n">
        <f aca="false">IF(E$4-Assumptions!$C$71&gt;=1,INDEX('36-Month Forecast'!$C$162:$AL$162,1,E$4-Assumptions!$C$71)+INDEX('36-Month Forecast'!$C$159:$AL$159,1,E$4-Assumptions!$C$71)*'Unit Economics'!$H$51,0)</f>
        <v>116.6126782464</v>
      </c>
      <c r="F37" s="8" t="n">
        <f aca="false">IF(F$4-Assumptions!$C$71&gt;=1,INDEX('36-Month Forecast'!$C$162:$AL$162,1,F$4-Assumptions!$C$71)+INDEX('36-Month Forecast'!$C$159:$AL$159,1,F$4-Assumptions!$C$71)*'Unit Economics'!$H$51,0)</f>
        <v>161.2422217728</v>
      </c>
      <c r="G37" s="8" t="n">
        <f aca="false">IF(G$4-Assumptions!$C$71&gt;=1,INDEX('36-Month Forecast'!$C$162:$AL$162,1,G$4-Assumptions!$C$71)+INDEX('36-Month Forecast'!$C$159:$AL$159,1,G$4-Assumptions!$C$71)*'Unit Economics'!$H$51,0)</f>
        <v>162.532159546982</v>
      </c>
      <c r="H37" s="8" t="n">
        <f aca="false">IF(H$4-Assumptions!$C$71&gt;=1,INDEX('36-Month Forecast'!$C$162:$AL$162,1,H$4-Assumptions!$C$71)+INDEX('36-Month Forecast'!$C$159:$AL$159,1,H$4-Assumptions!$C$71)*'Unit Economics'!$H$51,0)</f>
        <v>242.71469159016</v>
      </c>
      <c r="I37" s="8" t="n">
        <f aca="false">IF(I$4-Assumptions!$C$71&gt;=1,INDEX('36-Month Forecast'!$C$162:$AL$162,1,I$4-Assumptions!$C$71)+INDEX('36-Month Forecast'!$C$159:$AL$159,1,I$4-Assumptions!$C$71)*'Unit Economics'!$H$51,0)</f>
        <v>285.432477310029</v>
      </c>
      <c r="J37" s="8" t="n">
        <f aca="false">IF(J$4-Assumptions!$C$71&gt;=1,INDEX('36-Month Forecast'!$C$162:$AL$162,1,J$4-Assumptions!$C$71)+INDEX('36-Month Forecast'!$C$159:$AL$159,1,J$4-Assumptions!$C$71)*'Unit Economics'!$H$51,0)</f>
        <v>289.238243674162</v>
      </c>
      <c r="K37" s="8" t="n">
        <f aca="false">IF(K$4-Assumptions!$C$71&gt;=1,INDEX('36-Month Forecast'!$C$162:$AL$162,1,K$4-Assumptions!$C$71)+INDEX('36-Month Forecast'!$C$159:$AL$159,1,K$4-Assumptions!$C$71)*'Unit Economics'!$H$51,0)</f>
        <v>340.996666226381</v>
      </c>
      <c r="L37" s="8" t="n">
        <f aca="false">IF(L$4-Assumptions!$C$71&gt;=1,INDEX('36-Month Forecast'!$C$162:$AL$162,1,L$4-Assumptions!$C$71)+INDEX('36-Month Forecast'!$C$159:$AL$159,1,L$4-Assumptions!$C$71)*'Unit Economics'!$H$51,0)</f>
        <v>362.820452864869</v>
      </c>
      <c r="M37" s="8" t="n">
        <f aca="false">IF(M$4-Assumptions!$C$71&gt;=1,INDEX('36-Month Forecast'!$C$162:$AL$162,1,M$4-Assumptions!$C$71)+INDEX('36-Month Forecast'!$C$159:$AL$159,1,M$4-Assumptions!$C$71)*'Unit Economics'!$H$51,0)</f>
        <v>363.584285397217</v>
      </c>
      <c r="N37" s="8" t="n">
        <f aca="false">IF(N$4-Assumptions!$C$71&gt;=1,INDEX('36-Month Forecast'!$C$162:$AL$162,1,N$4-Assumptions!$C$71)+INDEX('36-Month Forecast'!$C$159:$AL$159,1,N$4-Assumptions!$C$71)*'Unit Economics'!$H$51,0)</f>
        <v>407.214399644883</v>
      </c>
      <c r="O37" s="8" t="n">
        <f aca="false">IF(O$4-Assumptions!$C$71&gt;=1,INDEX('36-Month Forecast'!$C$162:$AL$162,1,O$4-Assumptions!$C$71)+INDEX('36-Month Forecast'!$C$159:$AL$159,1,O$4-Assumptions!$C$71)*'Unit Economics'!$H$51,0)</f>
        <v>477.878074877377</v>
      </c>
      <c r="P37" s="8" t="n">
        <f aca="false">IF(P$4-Assumptions!$C$71&gt;=1,INDEX('36-Month Forecast'!$C$162:$AL$162,1,P$4-Assumptions!$C$71)+INDEX('36-Month Forecast'!$C$159:$AL$159,1,P$4-Assumptions!$C$71)*'Unit Economics'!$H$51,0)</f>
        <v>686.635339165915</v>
      </c>
      <c r="Q37" s="8" t="n">
        <f aca="false">IF(Q$4-Assumptions!$C$71&gt;=1,INDEX('36-Month Forecast'!$C$162:$AL$162,1,Q$4-Assumptions!$C$71)+INDEX('36-Month Forecast'!$C$159:$AL$159,1,Q$4-Assumptions!$C$71)*'Unit Economics'!$H$51,0)</f>
        <v>748.696610205912</v>
      </c>
      <c r="R37" s="8" t="n">
        <f aca="false">IF(R$4-Assumptions!$C$71&gt;=1,INDEX('36-Month Forecast'!$C$162:$AL$162,1,R$4-Assumptions!$C$71)+INDEX('36-Month Forecast'!$C$159:$AL$159,1,R$4-Assumptions!$C$71)*'Unit Economics'!$H$51,0)</f>
        <v>727.899482144636</v>
      </c>
      <c r="S37" s="8" t="n">
        <f aca="false">IF(S$4-Assumptions!$C$71&gt;=1,INDEX('36-Month Forecast'!$C$162:$AL$162,1,S$4-Assumptions!$C$71)+INDEX('36-Month Forecast'!$C$159:$AL$159,1,S$4-Assumptions!$C$71)*'Unit Economics'!$H$51,0)</f>
        <v>550.292008501345</v>
      </c>
      <c r="T37" s="8" t="n">
        <f aca="false">IF(T$4-Assumptions!$C$71&gt;=1,INDEX('36-Month Forecast'!$C$162:$AL$162,1,T$4-Assumptions!$C$71)+INDEX('36-Month Forecast'!$C$159:$AL$159,1,T$4-Assumptions!$C$71)*'Unit Economics'!$H$51,0)</f>
        <v>642.007343251569</v>
      </c>
      <c r="U37" s="8" t="n">
        <f aca="false">IF(U$4-Assumptions!$C$71&gt;=1,INDEX('36-Month Forecast'!$C$162:$AL$162,1,U$4-Assumptions!$C$71)+INDEX('36-Month Forecast'!$C$159:$AL$159,1,U$4-Assumptions!$C$71)*'Unit Economics'!$H$51,0)</f>
        <v>707.813095934855</v>
      </c>
      <c r="V37" s="8" t="n">
        <f aca="false">IF(V$4-Assumptions!$C$71&gt;=1,INDEX('36-Month Forecast'!$C$162:$AL$162,1,V$4-Assumptions!$C$71)+INDEX('36-Month Forecast'!$C$159:$AL$159,1,V$4-Assumptions!$C$71)*'Unit Economics'!$H$51,0)</f>
        <v>672.422441138112</v>
      </c>
      <c r="W37" s="8" t="n">
        <f aca="false">IF(W$4-Assumptions!$C$71&gt;=1,INDEX('36-Month Forecast'!$C$162:$AL$162,1,W$4-Assumptions!$C$71)+INDEX('36-Month Forecast'!$C$159:$AL$159,1,W$4-Assumptions!$C$71)*'Unit Economics'!$H$51,0)</f>
        <v>743.203750731598</v>
      </c>
      <c r="X37" s="8" t="n">
        <f aca="false">IF(X$4-Assumptions!$C$71&gt;=1,INDEX('36-Month Forecast'!$C$162:$AL$162,1,X$4-Assumptions!$C$71)+INDEX('36-Month Forecast'!$C$159:$AL$159,1,X$4-Assumptions!$C$71)*'Unit Economics'!$H$51,0)</f>
        <v>741.345741354769</v>
      </c>
      <c r="Y37" s="8" t="n">
        <f aca="false">IF(Y$4-Assumptions!$C$71&gt;=1,INDEX('36-Month Forecast'!$C$162:$AL$162,1,Y$4-Assumptions!$C$71)+INDEX('36-Month Forecast'!$C$159:$AL$159,1,Y$4-Assumptions!$C$71)*'Unit Economics'!$H$51,0)</f>
        <v>696.474814904349</v>
      </c>
      <c r="Z37" s="8" t="n">
        <f aca="false">IF(Z$4-Assumptions!$C$71&gt;=1,INDEX('36-Month Forecast'!$C$162:$AL$162,1,Z$4-Assumptions!$C$71)+INDEX('36-Month Forecast'!$C$159:$AL$159,1,Z$4-Assumptions!$C$71)*'Unit Economics'!$H$51,0)</f>
        <v>731.298555649566</v>
      </c>
      <c r="AA37" s="8" t="n">
        <f aca="false">IF(AA$4-Assumptions!$C$71&gt;=1,INDEX('36-Month Forecast'!$C$162:$AL$162,1,AA$4-Assumptions!$C$71)+INDEX('36-Month Forecast'!$C$159:$AL$159,1,AA$4-Assumptions!$C$71)*'Unit Economics'!$H$51,0)</f>
        <v>833.680353440505</v>
      </c>
      <c r="AB37" s="8" t="n">
        <f aca="false">IF(AB$4-Assumptions!$C$71&gt;=1,INDEX('36-Month Forecast'!$C$162:$AL$162,1,AB$4-Assumptions!$C$71)+INDEX('36-Month Forecast'!$C$159:$AL$159,1,AB$4-Assumptions!$C$71)*'Unit Economics'!$H$51,0)</f>
        <v>1163.64226174959</v>
      </c>
      <c r="AC37" s="8" t="n">
        <f aca="false">IF(AC$4-Assumptions!$C$71&gt;=1,INDEX('36-Month Forecast'!$C$162:$AL$162,1,AC$4-Assumptions!$C$71)+INDEX('36-Month Forecast'!$C$159:$AL$159,1,AC$4-Assumptions!$C$71)*'Unit Economics'!$H$51,0)</f>
        <v>1232.56568802245</v>
      </c>
      <c r="AD37" s="8" t="n">
        <f aca="false">IF(AD$4-Assumptions!$C$71&gt;=1,INDEX('36-Month Forecast'!$C$162:$AL$162,1,AD$4-Assumptions!$C$71)+INDEX('36-Month Forecast'!$C$159:$AL$159,1,AD$4-Assumptions!$C$71)*'Unit Economics'!$H$51,0)</f>
        <v>1164.08981646565</v>
      </c>
      <c r="AE37" s="8" t="n">
        <f aca="false">IF(AE$4-Assumptions!$C$71&gt;=1,INDEX('36-Month Forecast'!$C$162:$AL$162,1,AE$4-Assumptions!$C$71)+INDEX('36-Month Forecast'!$C$159:$AL$159,1,AE$4-Assumptions!$C$71)*'Unit Economics'!$H$51,0)</f>
        <v>854.907561212372</v>
      </c>
      <c r="AF37" s="8" t="n">
        <f aca="false">IF(AF$4-Assumptions!$C$71&gt;=1,INDEX('36-Month Forecast'!$C$162:$AL$162,1,AF$4-Assumptions!$C$71)+INDEX('36-Month Forecast'!$C$159:$AL$159,1,AF$4-Assumptions!$C$71)*'Unit Economics'!$H$51,0)</f>
        <v>968.895236040688</v>
      </c>
      <c r="AG37" s="8" t="n">
        <f aca="false">IF(AG$4-Assumptions!$C$71&gt;=1,INDEX('36-Month Forecast'!$C$162:$AL$162,1,AG$4-Assumptions!$C$71)+INDEX('36-Month Forecast'!$C$159:$AL$159,1,AG$4-Assumptions!$C$71)*'Unit Economics'!$H$51,0)</f>
        <v>1037.68679779958</v>
      </c>
      <c r="AH37" s="8" t="n">
        <f aca="false">IF(AH$4-Assumptions!$C$71&gt;=1,INDEX('36-Month Forecast'!$C$162:$AL$162,1,AH$4-Assumptions!$C$71)+INDEX('36-Month Forecast'!$C$159:$AL$159,1,AH$4-Assumptions!$C$71)*'Unit Economics'!$H$51,0)</f>
        <v>957.636673397895</v>
      </c>
      <c r="AI37" s="8" t="n">
        <f aca="false">IF(AI$4-Assumptions!$C$71&gt;=1,INDEX('36-Month Forecast'!$C$162:$AL$162,1,AI$4-Assumptions!$C$71)+INDEX('36-Month Forecast'!$C$159:$AL$159,1,AI$4-Assumptions!$C$71)*'Unit Economics'!$H$51,0)</f>
        <v>1028.19937564827</v>
      </c>
      <c r="AJ37" s="8" t="n">
        <f aca="false">IF(AJ$4-Assumptions!$C$71&gt;=1,INDEX('36-Month Forecast'!$C$162:$AL$162,1,AJ$4-Assumptions!$C$71)+INDEX('36-Month Forecast'!$C$159:$AL$159,1,AJ$4-Assumptions!$C$71)*'Unit Economics'!$H$51,0)</f>
        <v>996.32519500317</v>
      </c>
      <c r="AK37" s="8" t="n">
        <f aca="false">IF(AK$4-Assumptions!$C$71&gt;=1,INDEX('36-Month Forecast'!$C$162:$AL$162,1,AK$4-Assumptions!$C$71)+INDEX('36-Month Forecast'!$C$159:$AL$159,1,AK$4-Assumptions!$C$71)*'Unit Economics'!$H$51,0)</f>
        <v>909.277835860788</v>
      </c>
      <c r="AL37" s="8" t="n">
        <f aca="false">IF(AL$4-Assumptions!$C$71&gt;=1,INDEX('36-Month Forecast'!$C$162:$AL$162,1,AL$4-Assumptions!$C$71)+INDEX('36-Month Forecast'!$C$159:$AL$159,1,AL$4-Assumptions!$C$71)*'Unit Economics'!$H$51,0)</f>
        <v>927.463392578003</v>
      </c>
      <c r="AM37" s="45" t="n">
        <f aca="false">SUMIF($C$6:$AL$6,1,C37:AL37)</f>
        <v>2821.03587394246</v>
      </c>
      <c r="AN37" s="45" t="n">
        <f aca="false">SUMIF($C$6:$AL$6,2,C37:AL37)</f>
        <v>8125.96725786</v>
      </c>
      <c r="AO37" s="45" t="n">
        <f aca="false">SUMIF($C$6:$AL$6,3,C37:AL37)</f>
        <v>12074.370187219</v>
      </c>
      <c r="AP37" s="45" t="n">
        <f aca="false">SUM(C37:AL37)</f>
        <v>23021.3733190214</v>
      </c>
    </row>
    <row r="38" customFormat="false" ht="15" hidden="false" customHeight="false" outlineLevel="0" collapsed="false">
      <c r="A38" s="7" t="s">
        <v>812</v>
      </c>
      <c r="C38" s="8" t="n">
        <f aca="false">IF(C$4-Assumptions!$C$72&gt;=1,INDEX('36-Month Forecast'!$C$172:$AL$172,1,C$4-Assumptions!$C$72)+INDEX('36-Month Forecast'!$C$169:$AL$169,1,C$4-Assumptions!$C$72)*'Unit Economics'!$H$52,0)</f>
        <v>0</v>
      </c>
      <c r="D38" s="8" t="n">
        <f aca="false">IF(D$4-Assumptions!$C$72&gt;=1,INDEX('36-Month Forecast'!$C$172:$AL$172,1,D$4-Assumptions!$C$72)+INDEX('36-Month Forecast'!$C$169:$AL$169,1,D$4-Assumptions!$C$72)*'Unit Economics'!$H$52,0)</f>
        <v>0</v>
      </c>
      <c r="E38" s="8" t="n">
        <f aca="false">IF(E$4-Assumptions!$C$72&gt;=1,INDEX('36-Month Forecast'!$C$172:$AL$172,1,E$4-Assumptions!$C$72)+INDEX('36-Month Forecast'!$C$169:$AL$169,1,E$4-Assumptions!$C$72)*'Unit Economics'!$H$52,0)</f>
        <v>0</v>
      </c>
      <c r="F38" s="8" t="n">
        <f aca="false">IF(F$4-Assumptions!$C$72&gt;=1,INDEX('36-Month Forecast'!$C$172:$AL$172,1,F$4-Assumptions!$C$72)+INDEX('36-Month Forecast'!$C$169:$AL$169,1,F$4-Assumptions!$C$72)*'Unit Economics'!$H$52,0)</f>
        <v>41.50965</v>
      </c>
      <c r="G38" s="8" t="n">
        <f aca="false">IF(G$4-Assumptions!$C$72&gt;=1,INDEX('36-Month Forecast'!$C$172:$AL$172,1,G$4-Assumptions!$C$72)+INDEX('36-Month Forecast'!$C$169:$AL$169,1,G$4-Assumptions!$C$72)*'Unit Economics'!$H$52,0)</f>
        <v>94.833585</v>
      </c>
      <c r="H38" s="8" t="n">
        <f aca="false">IF(H$4-Assumptions!$C$72&gt;=1,INDEX('36-Month Forecast'!$C$172:$AL$172,1,H$4-Assumptions!$C$72)+INDEX('36-Month Forecast'!$C$169:$AL$169,1,H$4-Assumptions!$C$72)*'Unit Economics'!$H$52,0)</f>
        <v>144.88464375</v>
      </c>
      <c r="I38" s="8" t="n">
        <f aca="false">IF(I$4-Assumptions!$C$72&gt;=1,INDEX('36-Month Forecast'!$C$172:$AL$172,1,I$4-Assumptions!$C$72)+INDEX('36-Month Forecast'!$C$169:$AL$169,1,I$4-Assumptions!$C$72)*'Unit Economics'!$H$52,0)</f>
        <v>152.9981838</v>
      </c>
      <c r="J38" s="8" t="n">
        <f aca="false">IF(J$4-Assumptions!$C$72&gt;=1,INDEX('36-Month Forecast'!$C$172:$AL$172,1,J$4-Assumptions!$C$72)+INDEX('36-Month Forecast'!$C$169:$AL$169,1,J$4-Assumptions!$C$72)*'Unit Economics'!$H$52,0)</f>
        <v>233.74722525</v>
      </c>
      <c r="K38" s="8" t="n">
        <f aca="false">IF(K$4-Assumptions!$C$72&gt;=1,INDEX('36-Month Forecast'!$C$172:$AL$172,1,K$4-Assumptions!$C$72)+INDEX('36-Month Forecast'!$C$169:$AL$169,1,K$4-Assumptions!$C$72)*'Unit Economics'!$H$52,0)</f>
        <v>323.9736541965</v>
      </c>
      <c r="L38" s="8" t="n">
        <f aca="false">IF(L$4-Assumptions!$C$72&gt;=1,INDEX('36-Month Forecast'!$C$172:$AL$172,1,L$4-Assumptions!$C$72)+INDEX('36-Month Forecast'!$C$169:$AL$169,1,L$4-Assumptions!$C$72)*'Unit Economics'!$H$52,0)</f>
        <v>322.43092250985</v>
      </c>
      <c r="M38" s="8" t="n">
        <f aca="false">IF(M$4-Assumptions!$C$72&gt;=1,INDEX('36-Month Forecast'!$C$172:$AL$172,1,M$4-Assumptions!$C$72)+INDEX('36-Month Forecast'!$C$169:$AL$169,1,M$4-Assumptions!$C$72)*'Unit Economics'!$H$52,0)</f>
        <v>373.3410681693</v>
      </c>
      <c r="N38" s="8" t="n">
        <f aca="false">IF(N$4-Assumptions!$C$72&gt;=1,INDEX('36-Month Forecast'!$C$172:$AL$172,1,N$4-Assumptions!$C$72)+INDEX('36-Month Forecast'!$C$169:$AL$169,1,N$4-Assumptions!$C$72)*'Unit Economics'!$H$52,0)</f>
        <v>390.141416236919</v>
      </c>
      <c r="O38" s="8" t="n">
        <f aca="false">IF(O$4-Assumptions!$C$72&gt;=1,INDEX('36-Month Forecast'!$C$172:$AL$172,1,O$4-Assumptions!$C$72)+INDEX('36-Month Forecast'!$C$169:$AL$169,1,O$4-Assumptions!$C$72)*'Unit Economics'!$H$52,0)</f>
        <v>383.981288612125</v>
      </c>
      <c r="P38" s="8" t="n">
        <f aca="false">IF(P$4-Assumptions!$C$72&gt;=1,INDEX('36-Month Forecast'!$C$172:$AL$172,1,P$4-Assumptions!$C$72)+INDEX('36-Month Forecast'!$C$169:$AL$169,1,P$4-Assumptions!$C$72)*'Unit Economics'!$H$52,0)</f>
        <v>422.379417473338</v>
      </c>
      <c r="Q38" s="8" t="n">
        <f aca="false">IF(Q$4-Assumptions!$C$72&gt;=1,INDEX('36-Month Forecast'!$C$172:$AL$172,1,Q$4-Assumptions!$C$72)+INDEX('36-Month Forecast'!$C$169:$AL$169,1,Q$4-Assumptions!$C$72)*'Unit Economics'!$H$52,0)</f>
        <v>490.953958192539</v>
      </c>
      <c r="R38" s="8" t="n">
        <f aca="false">IF(R$4-Assumptions!$C$72&gt;=1,INDEX('36-Month Forecast'!$C$172:$AL$172,1,R$4-Assumptions!$C$72)+INDEX('36-Month Forecast'!$C$169:$AL$169,1,R$4-Assumptions!$C$72)*'Unit Economics'!$H$52,0)</f>
        <v>698.705001554013</v>
      </c>
      <c r="S38" s="8" t="n">
        <f aca="false">IF(S$4-Assumptions!$C$72&gt;=1,INDEX('36-Month Forecast'!$C$172:$AL$172,1,S$4-Assumptions!$C$72)+INDEX('36-Month Forecast'!$C$169:$AL$169,1,S$4-Assumptions!$C$72)*'Unit Economics'!$H$52,0)</f>
        <v>754.601401678334</v>
      </c>
      <c r="T38" s="8" t="n">
        <f aca="false">IF(T$4-Assumptions!$C$72&gt;=1,INDEX('36-Month Forecast'!$C$172:$AL$172,1,T$4-Assumptions!$C$72)+INDEX('36-Month Forecast'!$C$169:$AL$169,1,T$4-Assumptions!$C$72)*'Unit Economics'!$H$52,0)</f>
        <v>726.653201616173</v>
      </c>
      <c r="U38" s="8" t="n">
        <f aca="false">IF(U$4-Assumptions!$C$72&gt;=1,INDEX('36-Month Forecast'!$C$172:$AL$172,1,U$4-Assumptions!$C$72)+INDEX('36-Month Forecast'!$C$169:$AL$169,1,U$4-Assumptions!$C$72)*'Unit Economics'!$H$52,0)</f>
        <v>544.117917370191</v>
      </c>
      <c r="V38" s="8" t="n">
        <f aca="false">IF(V$4-Assumptions!$C$72&gt;=1,INDEX('36-Month Forecast'!$C$172:$AL$172,1,V$4-Assumptions!$C$72)+INDEX('36-Month Forecast'!$C$169:$AL$169,1,V$4-Assumptions!$C$72)*'Unit Economics'!$H$52,0)</f>
        <v>628.758482294442</v>
      </c>
      <c r="W38" s="8" t="n">
        <f aca="false">IF(W$4-Assumptions!$C$72&gt;=1,INDEX('36-Month Forecast'!$C$172:$AL$172,1,W$4-Assumptions!$C$72)+INDEX('36-Month Forecast'!$C$169:$AL$169,1,W$4-Assumptions!$C$72)*'Unit Economics'!$H$52,0)</f>
        <v>686.604262665531</v>
      </c>
      <c r="X38" s="8" t="n">
        <f aca="false">IF(X$4-Assumptions!$C$72&gt;=1,INDEX('36-Month Forecast'!$C$172:$AL$172,1,X$4-Assumptions!$C$72)+INDEX('36-Month Forecast'!$C$169:$AL$169,1,X$4-Assumptions!$C$72)*'Unit Economics'!$H$52,0)</f>
        <v>646.061915727186</v>
      </c>
      <c r="Y38" s="8" t="n">
        <f aca="false">IF(Y$4-Assumptions!$C$72&gt;=1,INDEX('36-Month Forecast'!$C$172:$AL$172,1,Y$4-Assumptions!$C$72)+INDEX('36-Month Forecast'!$C$169:$AL$169,1,Y$4-Assumptions!$C$72)*'Unit Economics'!$H$52,0)</f>
        <v>707.267781427656</v>
      </c>
      <c r="Z38" s="8" t="n">
        <f aca="false">IF(Z$4-Assumptions!$C$72&gt;=1,INDEX('36-Month Forecast'!$C$172:$AL$172,1,Z$4-Assumptions!$C$72)+INDEX('36-Month Forecast'!$C$169:$AL$169,1,Z$4-Assumptions!$C$72)*'Unit Economics'!$H$52,0)</f>
        <v>698.780568050524</v>
      </c>
      <c r="AA38" s="8" t="n">
        <f aca="false">IF(AA$4-Assumptions!$C$72&gt;=1,INDEX('36-Month Forecast'!$C$172:$AL$172,1,AA$4-Assumptions!$C$72)+INDEX('36-Month Forecast'!$C$169:$AL$169,1,AA$4-Assumptions!$C$72)*'Unit Economics'!$H$52,0)</f>
        <v>650.23370753333</v>
      </c>
      <c r="AB38" s="8" t="n">
        <f aca="false">IF(AB$4-Assumptions!$C$72&gt;=1,INDEX('36-Month Forecast'!$C$172:$AL$172,1,AB$4-Assumptions!$C$72)+INDEX('36-Month Forecast'!$C$169:$AL$169,1,AB$4-Assumptions!$C$72)*'Unit Economics'!$H$52,0)</f>
        <v>676.243055834663</v>
      </c>
      <c r="AC38" s="8" t="n">
        <f aca="false">IF(AC$4-Assumptions!$C$72&gt;=1,INDEX('36-Month Forecast'!$C$172:$AL$172,1,AC$4-Assumptions!$C$72)+INDEX('36-Month Forecast'!$C$169:$AL$169,1,AC$4-Assumptions!$C$72)*'Unit Economics'!$H$52,0)</f>
        <v>770.917083651516</v>
      </c>
      <c r="AD38" s="8" t="n">
        <f aca="false">IF(AD$4-Assumptions!$C$72&gt;=1,INDEX('36-Month Forecast'!$C$172:$AL$172,1,AD$4-Assumptions!$C$72)+INDEX('36-Month Forecast'!$C$169:$AL$169,1,AD$4-Assumptions!$C$72)*'Unit Economics'!$H$52,0)</f>
        <v>1076.03795044412</v>
      </c>
      <c r="AE38" s="8" t="n">
        <f aca="false">IF(AE$4-Assumptions!$C$72&gt;=1,INDEX('36-Month Forecast'!$C$172:$AL$172,1,AE$4-Assumptions!$C$72)+INDEX('36-Month Forecast'!$C$169:$AL$169,1,AE$4-Assumptions!$C$72)*'Unit Economics'!$H$52,0)</f>
        <v>1139.77250597042</v>
      </c>
      <c r="AF38" s="8" t="n">
        <f aca="false">IF(AF$4-Assumptions!$C$72&gt;=1,INDEX('36-Month Forecast'!$C$172:$AL$172,1,AF$4-Assumptions!$C$72)+INDEX('36-Month Forecast'!$C$169:$AL$169,1,AF$4-Assumptions!$C$72)*'Unit Economics'!$H$52,0)</f>
        <v>1076.45181119429</v>
      </c>
      <c r="AG38" s="8" t="n">
        <f aca="false">IF(AG$4-Assumptions!$C$72&gt;=1,INDEX('36-Month Forecast'!$C$172:$AL$172,1,AG$4-Assumptions!$C$72)+INDEX('36-Month Forecast'!$C$169:$AL$169,1,AG$4-Assumptions!$C$72)*'Unit Economics'!$H$52,0)</f>
        <v>790.546210141084</v>
      </c>
      <c r="AH38" s="8" t="n">
        <f aca="false">IF(AH$4-Assumptions!$C$72&gt;=1,INDEX('36-Month Forecast'!$C$172:$AL$172,1,AH$4-Assumptions!$C$72)+INDEX('36-Month Forecast'!$C$169:$AL$169,1,AH$4-Assumptions!$C$72)*'Unit Economics'!$H$52,0)</f>
        <v>895.952371493228</v>
      </c>
      <c r="AI38" s="8" t="n">
        <f aca="false">IF(AI$4-Assumptions!$C$72&gt;=1,INDEX('36-Month Forecast'!$C$172:$AL$172,1,AI$4-Assumptions!$C$72)+INDEX('36-Month Forecast'!$C$169:$AL$169,1,AI$4-Assumptions!$C$72)*'Unit Economics'!$H$52,0)</f>
        <v>959.564989869248</v>
      </c>
      <c r="AJ38" s="8" t="n">
        <f aca="false">IF(AJ$4-Assumptions!$C$72&gt;=1,INDEX('36-Month Forecast'!$C$172:$AL$172,1,AJ$4-Assumptions!$C$72)+INDEX('36-Month Forecast'!$C$169:$AL$169,1,AJ$4-Assumptions!$C$72)*'Unit Economics'!$H$52,0)</f>
        <v>885.541404936477</v>
      </c>
      <c r="AK38" s="8" t="n">
        <f aca="false">IF(AK$4-Assumptions!$C$72&gt;=1,INDEX('36-Month Forecast'!$C$172:$AL$172,1,AK$4-Assumptions!$C$72)+INDEX('36-Month Forecast'!$C$169:$AL$169,1,AK$4-Assumptions!$C$72)*'Unit Economics'!$H$52,0)</f>
        <v>950.791824247586</v>
      </c>
      <c r="AL38" s="8" t="n">
        <f aca="false">IF(AL$4-Assumptions!$C$72&gt;=1,INDEX('36-Month Forecast'!$C$172:$AL$172,1,AL$4-Assumptions!$C$72)+INDEX('36-Month Forecast'!$C$169:$AL$169,1,AL$4-Assumptions!$C$72)*'Unit Economics'!$H$52,0)</f>
        <v>921.317277695911</v>
      </c>
      <c r="AM38" s="45" t="n">
        <f aca="false">SUMIF($C$6:$AL$6,1,C38:AL38)</f>
        <v>2077.86034891257</v>
      </c>
      <c r="AN38" s="45" t="n">
        <f aca="false">SUMIF($C$6:$AL$6,2,C38:AL38)</f>
        <v>7388.86519666205</v>
      </c>
      <c r="AO38" s="45" t="n">
        <f aca="false">SUMIF($C$6:$AL$6,3,C38:AL38)</f>
        <v>10793.3701930119</v>
      </c>
      <c r="AP38" s="45" t="n">
        <f aca="false">SUM(C38:AL38)</f>
        <v>20260.0957385865</v>
      </c>
    </row>
    <row r="39" customFormat="false" ht="15" hidden="false" customHeight="false" outlineLevel="0" collapsed="false">
      <c r="A39" s="7" t="s">
        <v>813</v>
      </c>
      <c r="C39" s="8" t="n">
        <f aca="false">IF(C$4-Assumptions!$C$73&gt;=1,INDEX('36-Month Forecast'!$C$182:$AL$182,1,C$4-Assumptions!$C$73)+INDEX('36-Month Forecast'!$C$179:$AL$179,1,C$4-Assumptions!$C$73)*'Unit Economics'!$H$53,0)</f>
        <v>0</v>
      </c>
      <c r="D39" s="8" t="n">
        <f aca="false">IF(D$4-Assumptions!$C$73&gt;=1,INDEX('36-Month Forecast'!$C$182:$AL$182,1,D$4-Assumptions!$C$73)+INDEX('36-Month Forecast'!$C$179:$AL$179,1,D$4-Assumptions!$C$73)*'Unit Economics'!$H$53,0)</f>
        <v>0</v>
      </c>
      <c r="E39" s="8" t="n">
        <f aca="false">IF(E$4-Assumptions!$C$73&gt;=1,INDEX('36-Month Forecast'!$C$182:$AL$182,1,E$4-Assumptions!$C$73)+INDEX('36-Month Forecast'!$C$179:$AL$179,1,E$4-Assumptions!$C$73)*'Unit Economics'!$H$53,0)</f>
        <v>0</v>
      </c>
      <c r="F39" s="8" t="n">
        <f aca="false">IF(F$4-Assumptions!$C$73&gt;=1,INDEX('36-Month Forecast'!$C$182:$AL$182,1,F$4-Assumptions!$C$73)+INDEX('36-Month Forecast'!$C$179:$AL$179,1,F$4-Assumptions!$C$73)*'Unit Economics'!$H$53,0)</f>
        <v>-0</v>
      </c>
      <c r="G39" s="8" t="n">
        <f aca="false">IF(G$4-Assumptions!$C$73&gt;=1,INDEX('36-Month Forecast'!$C$182:$AL$182,1,G$4-Assumptions!$C$73)+INDEX('36-Month Forecast'!$C$179:$AL$179,1,G$4-Assumptions!$C$73)*'Unit Economics'!$H$53,0)</f>
        <v>0</v>
      </c>
      <c r="H39" s="8" t="n">
        <f aca="false">IF(H$4-Assumptions!$C$73&gt;=1,INDEX('36-Month Forecast'!$C$182:$AL$182,1,H$4-Assumptions!$C$73)+INDEX('36-Month Forecast'!$C$179:$AL$179,1,H$4-Assumptions!$C$73)*'Unit Economics'!$H$53,0)</f>
        <v>2.511945</v>
      </c>
      <c r="I39" s="8" t="n">
        <f aca="false">IF(I$4-Assumptions!$C$73&gt;=1,INDEX('36-Month Forecast'!$C$182:$AL$182,1,I$4-Assumptions!$C$73)+INDEX('36-Month Forecast'!$C$179:$AL$179,1,I$4-Assumptions!$C$73)*'Unit Economics'!$H$53,0)</f>
        <v>4.93085499999999</v>
      </c>
      <c r="J39" s="8" t="n">
        <f aca="false">IF(J$4-Assumptions!$C$73&gt;=1,INDEX('36-Month Forecast'!$C$182:$AL$182,1,J$4-Assumptions!$C$73)+INDEX('36-Month Forecast'!$C$179:$AL$179,1,J$4-Assumptions!$C$73)*'Unit Economics'!$H$53,0)</f>
        <v>5.64484280399999</v>
      </c>
      <c r="K39" s="8" t="n">
        <f aca="false">IF(K$4-Assumptions!$C$73&gt;=1,INDEX('36-Month Forecast'!$C$182:$AL$182,1,K$4-Assumptions!$C$73)+INDEX('36-Month Forecast'!$C$179:$AL$179,1,K$4-Assumptions!$C$73)*'Unit Economics'!$H$53,0)</f>
        <v>8.86449388479999</v>
      </c>
      <c r="L39" s="8" t="n">
        <f aca="false">IF(L$4-Assumptions!$C$73&gt;=1,INDEX('36-Month Forecast'!$C$182:$AL$182,1,L$4-Assumptions!$C$73)+INDEX('36-Month Forecast'!$C$179:$AL$179,1,L$4-Assumptions!$C$73)*'Unit Economics'!$H$53,0)</f>
        <v>12.332727117228</v>
      </c>
      <c r="M39" s="8" t="n">
        <f aca="false">IF(M$4-Assumptions!$C$73&gt;=1,INDEX('36-Month Forecast'!$C$182:$AL$182,1,M$4-Assumptions!$C$73)+INDEX('36-Month Forecast'!$C$179:$AL$179,1,M$4-Assumptions!$C$73)*'Unit Economics'!$H$53,0)</f>
        <v>14.1932070937698</v>
      </c>
      <c r="N39" s="8" t="n">
        <f aca="false">IF(N$4-Assumptions!$C$73&gt;=1,INDEX('36-Month Forecast'!$C$182:$AL$182,1,N$4-Assumptions!$C$73)+INDEX('36-Month Forecast'!$C$179:$AL$179,1,N$4-Assumptions!$C$73)*'Unit Economics'!$H$53,0)</f>
        <v>15.8366310730484</v>
      </c>
      <c r="O39" s="8" t="n">
        <f aca="false">IF(O$4-Assumptions!$C$73&gt;=1,INDEX('36-Month Forecast'!$C$182:$AL$182,1,O$4-Assumptions!$C$73)+INDEX('36-Month Forecast'!$C$179:$AL$179,1,O$4-Assumptions!$C$73)*'Unit Economics'!$H$53,0)</f>
        <v>15.9474874905598</v>
      </c>
      <c r="P39" s="8" t="n">
        <f aca="false">IF(P$4-Assumptions!$C$73&gt;=1,INDEX('36-Month Forecast'!$C$182:$AL$182,1,P$4-Assumptions!$C$73)+INDEX('36-Month Forecast'!$C$179:$AL$179,1,P$4-Assumptions!$C$73)*'Unit Economics'!$H$53,0)</f>
        <v>15.1249328726256</v>
      </c>
      <c r="Q39" s="8" t="n">
        <f aca="false">IF(Q$4-Assumptions!$C$73&gt;=1,INDEX('36-Month Forecast'!$C$182:$AL$182,1,Q$4-Assumptions!$C$73)+INDEX('36-Month Forecast'!$C$179:$AL$179,1,Q$4-Assumptions!$C$73)*'Unit Economics'!$H$53,0)</f>
        <v>16.0324288449832</v>
      </c>
      <c r="R39" s="8" t="n">
        <f aca="false">IF(R$4-Assumptions!$C$73&gt;=1,INDEX('36-Month Forecast'!$C$182:$AL$182,1,R$4-Assumptions!$C$73)+INDEX('36-Month Forecast'!$C$179:$AL$179,1,R$4-Assumptions!$C$73)*'Unit Economics'!$H$53,0)</f>
        <v>18.4561548527247</v>
      </c>
      <c r="S39" s="8" t="n">
        <f aca="false">IF(S$4-Assumptions!$C$73&gt;=1,INDEX('36-Month Forecast'!$C$182:$AL$182,1,S$4-Assumptions!$C$73)+INDEX('36-Month Forecast'!$C$179:$AL$179,1,S$4-Assumptions!$C$73)*'Unit Economics'!$H$53,0)</f>
        <v>26.0134645766299</v>
      </c>
      <c r="T39" s="8" t="n">
        <f aca="false">IF(T$4-Assumptions!$C$73&gt;=1,INDEX('36-Month Forecast'!$C$182:$AL$182,1,T$4-Assumptions!$C$73)+INDEX('36-Month Forecast'!$C$179:$AL$179,1,T$4-Assumptions!$C$73)*'Unit Economics'!$H$53,0)</f>
        <v>27.8244019183107</v>
      </c>
      <c r="U39" s="8" t="n">
        <f aca="false">IF(U$4-Assumptions!$C$73&gt;=1,INDEX('36-Month Forecast'!$C$182:$AL$182,1,U$4-Assumptions!$C$73)+INDEX('36-Month Forecast'!$C$179:$AL$179,1,U$4-Assumptions!$C$73)*'Unit Economics'!$H$53,0)</f>
        <v>26.5362351628333</v>
      </c>
      <c r="V39" s="8" t="n">
        <f aca="false">IF(V$4-Assumptions!$C$73&gt;=1,INDEX('36-Month Forecast'!$C$182:$AL$182,1,V$4-Assumptions!$C$73)+INDEX('36-Month Forecast'!$C$179:$AL$179,1,V$4-Assumptions!$C$73)*'Unit Economics'!$H$53,0)</f>
        <v>19.6792719967572</v>
      </c>
      <c r="W39" s="8" t="n">
        <f aca="false">IF(W$4-Assumptions!$C$73&gt;=1,INDEX('36-Month Forecast'!$C$182:$AL$182,1,W$4-Assumptions!$C$73)+INDEX('36-Month Forecast'!$C$179:$AL$179,1,W$4-Assumptions!$C$73)*'Unit Economics'!$H$53,0)</f>
        <v>22.5218335073999</v>
      </c>
      <c r="X39" s="8" t="n">
        <f aca="false">IF(X$4-Assumptions!$C$73&gt;=1,INDEX('36-Month Forecast'!$C$182:$AL$182,1,X$4-Assumptions!$C$73)+INDEX('36-Month Forecast'!$C$179:$AL$179,1,X$4-Assumptions!$C$73)*'Unit Economics'!$H$53,0)</f>
        <v>24.357362938253</v>
      </c>
      <c r="Y39" s="8" t="n">
        <f aca="false">IF(Y$4-Assumptions!$C$73&gt;=1,INDEX('36-Month Forecast'!$C$182:$AL$182,1,Y$4-Assumptions!$C$73)+INDEX('36-Month Forecast'!$C$179:$AL$179,1,Y$4-Assumptions!$C$73)*'Unit Economics'!$H$53,0)</f>
        <v>22.6987425096005</v>
      </c>
      <c r="Z39" s="8" t="n">
        <f aca="false">IF(Z$4-Assumptions!$C$73&gt;=1,INDEX('36-Month Forecast'!$C$182:$AL$182,1,Z$4-Assumptions!$C$73)+INDEX('36-Month Forecast'!$C$179:$AL$179,1,Z$4-Assumptions!$C$73)*'Unit Economics'!$H$53,0)</f>
        <v>24.6102155630406</v>
      </c>
      <c r="AA39" s="8" t="n">
        <f aca="false">IF(AA$4-Assumptions!$C$73&gt;=1,INDEX('36-Month Forecast'!$C$182:$AL$182,1,AA$4-Assumptions!$C$73)+INDEX('36-Month Forecast'!$C$179:$AL$179,1,AA$4-Assumptions!$C$73)*'Unit Economics'!$H$53,0)</f>
        <v>24.0810959284352</v>
      </c>
      <c r="AB39" s="8" t="n">
        <f aca="false">IF(AB$4-Assumptions!$C$73&gt;=1,INDEX('36-Month Forecast'!$C$182:$AL$182,1,AB$4-Assumptions!$C$73)+INDEX('36-Month Forecast'!$C$179:$AL$179,1,AB$4-Assumptions!$C$73)*'Unit Economics'!$H$53,0)</f>
        <v>22.1926310372053</v>
      </c>
      <c r="AC39" s="8" t="n">
        <f aca="false">IF(AC$4-Assumptions!$C$73&gt;=1,INDEX('36-Month Forecast'!$C$182:$AL$182,1,AC$4-Assumptions!$C$73)+INDEX('36-Month Forecast'!$C$179:$AL$179,1,AC$4-Assumptions!$C$73)*'Unit Economics'!$H$53,0)</f>
        <v>22.8584099683215</v>
      </c>
      <c r="AD39" s="8" t="n">
        <f aca="false">IF(AD$4-Assumptions!$C$73&gt;=1,INDEX('36-Month Forecast'!$C$182:$AL$182,1,AD$4-Assumptions!$C$73)+INDEX('36-Month Forecast'!$C$179:$AL$179,1,AD$4-Assumptions!$C$73)*'Unit Economics'!$H$53,0)</f>
        <v>26.0585873638865</v>
      </c>
      <c r="AE39" s="8" t="n">
        <f aca="false">IF(AE$4-Assumptions!$C$73&gt;=1,INDEX('36-Month Forecast'!$C$182:$AL$182,1,AE$4-Assumptions!$C$73)+INDEX('36-Month Forecast'!$C$179:$AL$179,1,AE$4-Assumptions!$C$73)*'Unit Economics'!$H$53,0)</f>
        <v>36.3723019415931</v>
      </c>
      <c r="AF39" s="8" t="n">
        <f aca="false">IF(AF$4-Assumptions!$C$73&gt;=1,INDEX('36-Month Forecast'!$C$182:$AL$182,1,AF$4-Assumptions!$C$73)+INDEX('36-Month Forecast'!$C$179:$AL$179,1,AF$4-Assumptions!$C$73)*'Unit Economics'!$H$53,0)</f>
        <v>38.5266613642875</v>
      </c>
      <c r="AG39" s="8" t="n">
        <f aca="false">IF(AG$4-Assumptions!$C$73&gt;=1,INDEX('36-Month Forecast'!$C$182:$AL$182,1,AG$4-Assumptions!$C$73)+INDEX('36-Month Forecast'!$C$179:$AL$179,1,AG$4-Assumptions!$C$73)*'Unit Economics'!$H$53,0)</f>
        <v>36.3862912884937</v>
      </c>
      <c r="AH39" s="8" t="n">
        <f aca="false">IF(AH$4-Assumptions!$C$73&gt;=1,INDEX('36-Month Forecast'!$C$182:$AL$182,1,AH$4-Assumptions!$C$73)+INDEX('36-Month Forecast'!$C$179:$AL$179,1,AH$4-Assumptions!$C$73)*'Unit Economics'!$H$53,0)</f>
        <v>26.7220923222698</v>
      </c>
      <c r="AI39" s="8" t="n">
        <f aca="false">IF(AI$4-Assumptions!$C$73&gt;=1,INDEX('36-Month Forecast'!$C$182:$AL$182,1,AI$4-Assumptions!$C$73)+INDEX('36-Month Forecast'!$C$179:$AL$179,1,AI$4-Assumptions!$C$73)*'Unit Economics'!$H$53,0)</f>
        <v>30.2850379652391</v>
      </c>
      <c r="AJ39" s="8" t="n">
        <f aca="false">IF(AJ$4-Assumptions!$C$73&gt;=1,INDEX('36-Month Forecast'!$C$182:$AL$182,1,AJ$4-Assumptions!$C$73)+INDEX('36-Month Forecast'!$C$179:$AL$179,1,AJ$4-Assumptions!$C$73)*'Unit Economics'!$H$53,0)</f>
        <v>32.4352756607711</v>
      </c>
      <c r="AK39" s="8" t="n">
        <f aca="false">IF(AK$4-Assumptions!$C$73&gt;=1,INDEX('36-Month Forecast'!$C$182:$AL$182,1,AK$4-Assumptions!$C$73)+INDEX('36-Month Forecast'!$C$179:$AL$179,1,AK$4-Assumptions!$C$73)*'Unit Economics'!$H$53,0)</f>
        <v>29.933125824083</v>
      </c>
      <c r="AL39" s="8" t="n">
        <f aca="false">IF(AL$4-Assumptions!$C$73&gt;=1,INDEX('36-Month Forecast'!$C$182:$AL$182,1,AL$4-Assumptions!$C$73)+INDEX('36-Month Forecast'!$C$179:$AL$179,1,AL$4-Assumptions!$C$73)*'Unit Economics'!$H$53,0)</f>
        <v>32.1387245690155</v>
      </c>
      <c r="AM39" s="45" t="n">
        <f aca="false">SUMIF($C$6:$AL$6,1,C39:AL39)</f>
        <v>64.3147019728462</v>
      </c>
      <c r="AN39" s="45" t="n">
        <f aca="false">SUMIF($C$6:$AL$6,2,C39:AL39)</f>
        <v>259.802532233719</v>
      </c>
      <c r="AO39" s="45" t="n">
        <f aca="false">SUMIF($C$6:$AL$6,3,C39:AL39)</f>
        <v>357.990235233601</v>
      </c>
      <c r="AP39" s="45" t="n">
        <f aca="false">SUM(C39:AL39)</f>
        <v>682.107469440166</v>
      </c>
    </row>
    <row r="40" customFormat="false" ht="15" hidden="false" customHeight="false" outlineLevel="0" collapsed="false">
      <c r="A40" s="7" t="s">
        <v>814</v>
      </c>
      <c r="C40" s="8" t="n">
        <f aca="false">IF(C$4-Assumptions!$C$74&gt;=1,INDEX('36-Month Forecast'!$C$192:$AL$192,1,C$4-Assumptions!$C$74)+INDEX('36-Month Forecast'!$C$189:$AL$189,1,C$4-Assumptions!$C$74)*'Unit Economics'!$H$54,0)</f>
        <v>-0</v>
      </c>
      <c r="D40" s="8" t="n">
        <f aca="false">IF(D$4-Assumptions!$C$74&gt;=1,INDEX('36-Month Forecast'!$C$192:$AL$192,1,D$4-Assumptions!$C$74)+INDEX('36-Month Forecast'!$C$189:$AL$189,1,D$4-Assumptions!$C$74)*'Unit Economics'!$H$54,0)</f>
        <v>-0</v>
      </c>
      <c r="E40" s="8" t="n">
        <f aca="false">IF(E$4-Assumptions!$C$74&gt;=1,INDEX('36-Month Forecast'!$C$192:$AL$192,1,E$4-Assumptions!$C$74)+INDEX('36-Month Forecast'!$C$189:$AL$189,1,E$4-Assumptions!$C$74)*'Unit Economics'!$H$54,0)</f>
        <v>0</v>
      </c>
      <c r="F40" s="8" t="n">
        <f aca="false">IF(F$4-Assumptions!$C$74&gt;=1,INDEX('36-Month Forecast'!$C$192:$AL$192,1,F$4-Assumptions!$C$74)+INDEX('36-Month Forecast'!$C$189:$AL$189,1,F$4-Assumptions!$C$74)*'Unit Economics'!$H$54,0)</f>
        <v>3.771658469376</v>
      </c>
      <c r="G40" s="8" t="n">
        <f aca="false">IF(G$4-Assumptions!$C$74&gt;=1,INDEX('36-Month Forecast'!$C$192:$AL$192,1,G$4-Assumptions!$C$74)+INDEX('36-Month Forecast'!$C$189:$AL$189,1,G$4-Assumptions!$C$74)*'Unit Economics'!$H$54,0)</f>
        <v>6.08293077940962</v>
      </c>
      <c r="H40" s="8" t="n">
        <f aca="false">IF(H$4-Assumptions!$C$74&gt;=1,INDEX('36-Month Forecast'!$C$192:$AL$192,1,H$4-Assumptions!$C$74)+INDEX('36-Month Forecast'!$C$189:$AL$189,1,H$4-Assumptions!$C$74)*'Unit Economics'!$H$54,0)</f>
        <v>11.3548041215646</v>
      </c>
      <c r="I40" s="8" t="n">
        <f aca="false">IF(I$4-Assumptions!$C$74&gt;=1,INDEX('36-Month Forecast'!$C$192:$AL$192,1,I$4-Assumptions!$C$74)+INDEX('36-Month Forecast'!$C$189:$AL$189,1,I$4-Assumptions!$C$74)*'Unit Economics'!$H$54,0)</f>
        <v>17.8043328626133</v>
      </c>
      <c r="J40" s="8" t="n">
        <f aca="false">IF(J$4-Assumptions!$C$74&gt;=1,INDEX('36-Month Forecast'!$C$192:$AL$192,1,J$4-Assumptions!$C$74)+INDEX('36-Month Forecast'!$C$189:$AL$189,1,J$4-Assumptions!$C$74)*'Unit Economics'!$H$54,0)</f>
        <v>22.5521549593102</v>
      </c>
      <c r="K40" s="8" t="n">
        <f aca="false">IF(K$4-Assumptions!$C$74&gt;=1,INDEX('36-Month Forecast'!$C$192:$AL$192,1,K$4-Assumptions!$C$74)+INDEX('36-Month Forecast'!$C$189:$AL$189,1,K$4-Assumptions!$C$74)*'Unit Economics'!$H$54,0)</f>
        <v>31.9053644898031</v>
      </c>
      <c r="L40" s="8" t="n">
        <f aca="false">IF(L$4-Assumptions!$C$74&gt;=1,INDEX('36-Month Forecast'!$C$192:$AL$192,1,L$4-Assumptions!$C$74)+INDEX('36-Month Forecast'!$C$189:$AL$189,1,L$4-Assumptions!$C$74)*'Unit Economics'!$H$54,0)</f>
        <v>33.9473078171505</v>
      </c>
      <c r="M40" s="8" t="n">
        <f aca="false">IF(M$4-Assumptions!$C$74&gt;=1,INDEX('36-Month Forecast'!$C$192:$AL$192,1,M$4-Assumptions!$C$74)+INDEX('36-Month Forecast'!$C$189:$AL$189,1,M$4-Assumptions!$C$74)*'Unit Economics'!$H$54,0)</f>
        <v>34.0187758336076</v>
      </c>
      <c r="N40" s="8" t="n">
        <f aca="false">IF(N$4-Assumptions!$C$74&gt;=1,INDEX('36-Month Forecast'!$C$192:$AL$192,1,N$4-Assumptions!$C$74)+INDEX('36-Month Forecast'!$C$189:$AL$189,1,N$4-Assumptions!$C$74)*'Unit Economics'!$H$54,0)</f>
        <v>38.1010289336406</v>
      </c>
      <c r="O40" s="8" t="n">
        <f aca="false">IF(O$4-Assumptions!$C$74&gt;=1,INDEX('36-Month Forecast'!$C$192:$AL$192,1,O$4-Assumptions!$C$74)+INDEX('36-Month Forecast'!$C$189:$AL$189,1,O$4-Assumptions!$C$74)*'Unit Economics'!$H$54,0)</f>
        <v>45.1385131013836</v>
      </c>
      <c r="P40" s="8" t="n">
        <f aca="false">IF(P$4-Assumptions!$C$74&gt;=1,INDEX('36-Month Forecast'!$C$192:$AL$192,1,P$4-Assumptions!$C$74)+INDEX('36-Month Forecast'!$C$189:$AL$189,1,P$4-Assumptions!$C$74)*'Unit Economics'!$H$54,0)</f>
        <v>65.4746011091648</v>
      </c>
      <c r="Q40" s="8" t="n">
        <f aca="false">IF(Q$4-Assumptions!$C$74&gt;=1,INDEX('36-Month Forecast'!$C$192:$AL$192,1,Q$4-Assumptions!$C$74)+INDEX('36-Month Forecast'!$C$189:$AL$189,1,Q$4-Assumptions!$C$74)*'Unit Economics'!$H$54,0)</f>
        <v>72.0724262978576</v>
      </c>
      <c r="R40" s="8" t="n">
        <f aca="false">IF(R$4-Assumptions!$C$74&gt;=1,INDEX('36-Month Forecast'!$C$192:$AL$192,1,R$4-Assumptions!$C$74)+INDEX('36-Month Forecast'!$C$189:$AL$189,1,R$4-Assumptions!$C$74)*'Unit Economics'!$H$54,0)</f>
        <v>70.7377517367862</v>
      </c>
      <c r="S40" s="8" t="n">
        <f aca="false">IF(S$4-Assumptions!$C$74&gt;=1,INDEX('36-Month Forecast'!$C$192:$AL$192,1,S$4-Assumptions!$C$74)+INDEX('36-Month Forecast'!$C$189:$AL$189,1,S$4-Assumptions!$C$74)*'Unit Economics'!$H$54,0)</f>
        <v>53.9870521255152</v>
      </c>
      <c r="T40" s="8" t="n">
        <f aca="false">IF(T$4-Assumptions!$C$74&gt;=1,INDEX('36-Month Forecast'!$C$192:$AL$192,1,T$4-Assumptions!$C$74)+INDEX('36-Month Forecast'!$C$189:$AL$189,1,T$4-Assumptions!$C$74)*'Unit Economics'!$H$54,0)</f>
        <v>63.5847502811623</v>
      </c>
      <c r="U40" s="8" t="n">
        <f aca="false">IF(U$4-Assumptions!$C$74&gt;=1,INDEX('36-Month Forecast'!$C$192:$AL$192,1,U$4-Assumptions!$C$74)+INDEX('36-Month Forecast'!$C$189:$AL$189,1,U$4-Assumptions!$C$74)*'Unit Economics'!$H$54,0)</f>
        <v>70.7698270629337</v>
      </c>
      <c r="V40" s="8" t="n">
        <f aca="false">IF(V$4-Assumptions!$C$74&gt;=1,INDEX('36-Month Forecast'!$C$192:$AL$192,1,V$4-Assumptions!$C$74)+INDEX('36-Month Forecast'!$C$189:$AL$189,1,V$4-Assumptions!$C$74)*'Unit Economics'!$H$54,0)</f>
        <v>67.8716341451183</v>
      </c>
      <c r="W40" s="8" t="n">
        <f aca="false">IF(W$4-Assumptions!$C$74&gt;=1,INDEX('36-Month Forecast'!$C$192:$AL$192,1,W$4-Assumptions!$C$74)+INDEX('36-Month Forecast'!$C$189:$AL$189,1,W$4-Assumptions!$C$74)*'Unit Economics'!$H$54,0)</f>
        <v>75.7304549408689</v>
      </c>
      <c r="X40" s="8" t="n">
        <f aca="false">IF(X$4-Assumptions!$C$74&gt;=1,INDEX('36-Month Forecast'!$C$192:$AL$192,1,X$4-Assumptions!$C$74)+INDEX('36-Month Forecast'!$C$189:$AL$189,1,X$4-Assumptions!$C$74)*'Unit Economics'!$H$54,0)</f>
        <v>76.2605681254549</v>
      </c>
      <c r="Y40" s="8" t="n">
        <f aca="false">IF(Y$4-Assumptions!$C$74&gt;=1,INDEX('36-Month Forecast'!$C$192:$AL$192,1,Y$4-Assumptions!$C$74)+INDEX('36-Month Forecast'!$C$189:$AL$189,1,Y$4-Assumptions!$C$74)*'Unit Economics'!$H$54,0)</f>
        <v>72.3271282958262</v>
      </c>
      <c r="Z40" s="8" t="n">
        <f aca="false">IF(Z$4-Assumptions!$C$74&gt;=1,INDEX('36-Month Forecast'!$C$192:$AL$192,1,Z$4-Assumptions!$C$74)+INDEX('36-Month Forecast'!$C$189:$AL$189,1,Z$4-Assumptions!$C$74)*'Unit Economics'!$H$54,0)</f>
        <v>76.6667559935758</v>
      </c>
      <c r="AA40" s="8" t="n">
        <f aca="false">IF(AA$4-Assumptions!$C$74&gt;=1,INDEX('36-Month Forecast'!$C$192:$AL$192,1,AA$4-Assumptions!$C$74)+INDEX('36-Month Forecast'!$C$189:$AL$189,1,AA$4-Assumptions!$C$74)*'Unit Economics'!$H$54,0)</f>
        <v>88.256965576134</v>
      </c>
      <c r="AB40" s="8" t="n">
        <f aca="false">IF(AB$4-Assumptions!$C$74&gt;=1,INDEX('36-Month Forecast'!$C$192:$AL$192,1,AB$4-Assumptions!$C$74)+INDEX('36-Month Forecast'!$C$189:$AL$189,1,AB$4-Assumptions!$C$74)*'Unit Economics'!$H$54,0)</f>
        <v>124.395870427835</v>
      </c>
      <c r="AC40" s="8" t="n">
        <f aca="false">IF(AC$4-Assumptions!$C$74&gt;=1,INDEX('36-Month Forecast'!$C$192:$AL$192,1,AC$4-Assumptions!$C$74)+INDEX('36-Month Forecast'!$C$189:$AL$189,1,AC$4-Assumptions!$C$74)*'Unit Economics'!$H$54,0)</f>
        <v>133.055736792235</v>
      </c>
      <c r="AD40" s="8" t="n">
        <f aca="false">IF(AD$4-Assumptions!$C$74&gt;=1,INDEX('36-Month Forecast'!$C$192:$AL$192,1,AD$4-Assumptions!$C$74)+INDEX('36-Month Forecast'!$C$189:$AL$189,1,AD$4-Assumptions!$C$74)*'Unit Economics'!$H$54,0)</f>
        <v>126.895748977779</v>
      </c>
      <c r="AE40" s="8" t="n">
        <f aca="false">IF(AE$4-Assumptions!$C$74&gt;=1,INDEX('36-Month Forecast'!$C$192:$AL$192,1,AE$4-Assumptions!$C$74)+INDEX('36-Month Forecast'!$C$189:$AL$189,1,AE$4-Assumptions!$C$74)*'Unit Economics'!$H$54,0)</f>
        <v>94.1058874419211</v>
      </c>
      <c r="AF40" s="8" t="n">
        <f aca="false">IF(AF$4-Assumptions!$C$74&gt;=1,INDEX('36-Month Forecast'!$C$192:$AL$192,1,AF$4-Assumptions!$C$74)+INDEX('36-Month Forecast'!$C$189:$AL$189,1,AF$4-Assumptions!$C$74)*'Unit Economics'!$H$54,0)</f>
        <v>107.698960072421</v>
      </c>
      <c r="AG40" s="8" t="n">
        <f aca="false">IF(AG$4-Assumptions!$C$74&gt;=1,INDEX('36-Month Forecast'!$C$192:$AL$192,1,AG$4-Assumptions!$C$74)+INDEX('36-Month Forecast'!$C$189:$AL$189,1,AG$4-Assumptions!$C$74)*'Unit Economics'!$H$54,0)</f>
        <v>116.476425318323</v>
      </c>
      <c r="AH40" s="8" t="n">
        <f aca="false">IF(AH$4-Assumptions!$C$74&gt;=1,INDEX('36-Month Forecast'!$C$192:$AL$192,1,AH$4-Assumptions!$C$74)+INDEX('36-Month Forecast'!$C$189:$AL$189,1,AH$4-Assumptions!$C$74)*'Unit Economics'!$H$54,0)</f>
        <v>108.54493540379</v>
      </c>
      <c r="AI40" s="8" t="n">
        <f aca="false">IF(AI$4-Assumptions!$C$74&gt;=1,INDEX('36-Month Forecast'!$C$192:$AL$192,1,AI$4-Assumptions!$C$74)+INDEX('36-Month Forecast'!$C$189:$AL$189,1,AI$4-Assumptions!$C$74)*'Unit Economics'!$H$54,0)</f>
        <v>117.685561543056</v>
      </c>
      <c r="AJ40" s="8" t="n">
        <f aca="false">IF(AJ$4-Assumptions!$C$74&gt;=1,INDEX('36-Month Forecast'!$C$192:$AL$192,1,AJ$4-Assumptions!$C$74)+INDEX('36-Month Forecast'!$C$189:$AL$189,1,AJ$4-Assumptions!$C$74)*'Unit Economics'!$H$54,0)</f>
        <v>115.15532196988</v>
      </c>
      <c r="AK40" s="8" t="n">
        <f aca="false">IF(AK$4-Assumptions!$C$74&gt;=1,INDEX('36-Month Forecast'!$C$192:$AL$192,1,AK$4-Assumptions!$C$74)+INDEX('36-Month Forecast'!$C$189:$AL$189,1,AK$4-Assumptions!$C$74)*'Unit Economics'!$H$54,0)</f>
        <v>106.124720404874</v>
      </c>
      <c r="AL40" s="8" t="n">
        <f aca="false">IF(AL$4-Assumptions!$C$74&gt;=1,INDEX('36-Month Forecast'!$C$192:$AL$192,1,AL$4-Assumptions!$C$74)+INDEX('36-Month Forecast'!$C$189:$AL$189,1,AL$4-Assumptions!$C$74)*'Unit Economics'!$H$54,0)</f>
        <v>109.30846201702</v>
      </c>
      <c r="AM40" s="45" t="n">
        <f aca="false">SUMIF($C$6:$AL$6,1,C40:AL40)</f>
        <v>199.538358266476</v>
      </c>
      <c r="AN40" s="45" t="n">
        <f aca="false">SUMIF($C$6:$AL$6,2,C40:AL40)</f>
        <v>810.621463215648</v>
      </c>
      <c r="AO40" s="45" t="n">
        <f aca="false">SUMIF($C$6:$AL$6,3,C40:AL40)</f>
        <v>1347.70459594527</v>
      </c>
      <c r="AP40" s="45" t="n">
        <f aca="false">SUM(C40:AL40)</f>
        <v>2357.86441742739</v>
      </c>
    </row>
    <row r="41" customFormat="false" ht="15" hidden="false" customHeight="false" outlineLevel="0" collapsed="false">
      <c r="A41" s="7" t="s">
        <v>815</v>
      </c>
      <c r="C41" s="8" t="n">
        <f aca="false">IF(C$4-Assumptions!$C$75&gt;=1,INDEX('36-Month Forecast'!$C$202:$AL$202,1,C$4-Assumptions!$C$75)+INDEX('36-Month Forecast'!$C$199:$AL$199,1,C$4-Assumptions!$C$75)*'Unit Economics'!$H$55,0)</f>
        <v>-0</v>
      </c>
      <c r="D41" s="8" t="n">
        <f aca="false">IF(D$4-Assumptions!$C$75&gt;=1,INDEX('36-Month Forecast'!$C$202:$AL$202,1,D$4-Assumptions!$C$75)+INDEX('36-Month Forecast'!$C$199:$AL$199,1,D$4-Assumptions!$C$75)*'Unit Economics'!$H$55,0)</f>
        <v>-0</v>
      </c>
      <c r="E41" s="8" t="n">
        <f aca="false">IF(E$4-Assumptions!$C$75&gt;=1,INDEX('36-Month Forecast'!$C$202:$AL$202,1,E$4-Assumptions!$C$75)+INDEX('36-Month Forecast'!$C$199:$AL$199,1,E$4-Assumptions!$C$75)*'Unit Economics'!$H$55,0)</f>
        <v>0</v>
      </c>
      <c r="F41" s="8" t="n">
        <f aca="false">IF(F$4-Assumptions!$C$75&gt;=1,INDEX('36-Month Forecast'!$C$202:$AL$202,1,F$4-Assumptions!$C$75)+INDEX('36-Month Forecast'!$C$199:$AL$199,1,F$4-Assumptions!$C$75)*'Unit Economics'!$H$55,0)</f>
        <v>1.17538316572342</v>
      </c>
      <c r="G41" s="8" t="n">
        <f aca="false">IF(G$4-Assumptions!$C$75&gt;=1,INDEX('36-Month Forecast'!$C$202:$AL$202,1,G$4-Assumptions!$C$75)+INDEX('36-Month Forecast'!$C$199:$AL$199,1,G$4-Assumptions!$C$75)*'Unit Economics'!$H$55,0)</f>
        <v>2.4852657669987</v>
      </c>
      <c r="H41" s="8" t="n">
        <f aca="false">IF(H$4-Assumptions!$C$75&gt;=1,INDEX('36-Month Forecast'!$C$202:$AL$202,1,H$4-Assumptions!$C$75)+INDEX('36-Month Forecast'!$C$199:$AL$199,1,H$4-Assumptions!$C$75)*'Unit Economics'!$H$55,0)</f>
        <v>5.24932343274813</v>
      </c>
      <c r="I41" s="8" t="n">
        <f aca="false">IF(I$4-Assumptions!$C$75&gt;=1,INDEX('36-Month Forecast'!$C$202:$AL$202,1,I$4-Assumptions!$C$75)+INDEX('36-Month Forecast'!$C$199:$AL$199,1,I$4-Assumptions!$C$75)*'Unit Economics'!$H$55,0)</f>
        <v>9.39382998006768</v>
      </c>
      <c r="J41" s="8" t="n">
        <f aca="false">IF(J$4-Assumptions!$C$75&gt;=1,INDEX('36-Month Forecast'!$C$202:$AL$202,1,J$4-Assumptions!$C$75)+INDEX('36-Month Forecast'!$C$199:$AL$199,1,J$4-Assumptions!$C$75)*'Unit Economics'!$H$55,0)</f>
        <v>13.4168978592251</v>
      </c>
      <c r="K41" s="8" t="n">
        <f aca="false">IF(K$4-Assumptions!$C$75&gt;=1,INDEX('36-Month Forecast'!$C$202:$AL$202,1,K$4-Assumptions!$C$75)+INDEX('36-Month Forecast'!$C$199:$AL$199,1,K$4-Assumptions!$C$75)*'Unit Economics'!$H$55,0)</f>
        <v>20.489658270283</v>
      </c>
      <c r="L41" s="8" t="n">
        <f aca="false">IF(L$4-Assumptions!$C$75&gt;=1,INDEX('36-Month Forecast'!$C$202:$AL$202,1,L$4-Assumptions!$C$75)+INDEX('36-Month Forecast'!$C$199:$AL$199,1,L$4-Assumptions!$C$75)*'Unit Economics'!$H$55,0)</f>
        <v>23.4276121187872</v>
      </c>
      <c r="M41" s="8" t="n">
        <f aca="false">IF(M$4-Assumptions!$C$75&gt;=1,INDEX('36-Month Forecast'!$C$202:$AL$202,1,M$4-Assumptions!$C$75)+INDEX('36-Month Forecast'!$C$199:$AL$199,1,M$4-Assumptions!$C$75)*'Unit Economics'!$H$55,0)</f>
        <v>24.6933135236623</v>
      </c>
      <c r="N41" s="8" t="n">
        <f aca="false">IF(N$4-Assumptions!$C$75&gt;=1,INDEX('36-Month Forecast'!$C$202:$AL$202,1,N$4-Assumptions!$C$75)+INDEX('36-Month Forecast'!$C$199:$AL$199,1,N$4-Assumptions!$C$75)*'Unit Economics'!$H$55,0)</f>
        <v>28.3594649419697</v>
      </c>
      <c r="O41" s="8" t="n">
        <f aca="false">IF(O$4-Assumptions!$C$75&gt;=1,INDEX('36-Month Forecast'!$C$202:$AL$202,1,O$4-Assumptions!$C$75)+INDEX('36-Month Forecast'!$C$199:$AL$199,1,O$4-Assumptions!$C$75)*'Unit Economics'!$H$55,0)</f>
        <v>36.2513072614187</v>
      </c>
      <c r="P41" s="8" t="n">
        <f aca="false">IF(P$4-Assumptions!$C$75&gt;=1,INDEX('36-Month Forecast'!$C$202:$AL$202,1,P$4-Assumptions!$C$75)+INDEX('36-Month Forecast'!$C$199:$AL$199,1,P$4-Assumptions!$C$75)*'Unit Economics'!$H$55,0)</f>
        <v>56.9851253839596</v>
      </c>
      <c r="Q41" s="8" t="n">
        <f aca="false">IF(Q$4-Assumptions!$C$75&gt;=1,INDEX('36-Month Forecast'!$C$202:$AL$202,1,Q$4-Assumptions!$C$75)+INDEX('36-Month Forecast'!$C$199:$AL$199,1,Q$4-Assumptions!$C$75)*'Unit Economics'!$H$55,0)</f>
        <v>70.4738448677593</v>
      </c>
      <c r="R41" s="8" t="n">
        <f aca="false">IF(R$4-Assumptions!$C$75&gt;=1,INDEX('36-Month Forecast'!$C$202:$AL$202,1,R$4-Assumptions!$C$75)+INDEX('36-Month Forecast'!$C$199:$AL$199,1,R$4-Assumptions!$C$75)*'Unit Economics'!$H$55,0)</f>
        <v>76.643736228024</v>
      </c>
      <c r="S41" s="8" t="n">
        <f aca="false">IF(S$4-Assumptions!$C$75&gt;=1,INDEX('36-Month Forecast'!$C$202:$AL$202,1,S$4-Assumptions!$C$75)+INDEX('36-Month Forecast'!$C$199:$AL$199,1,S$4-Assumptions!$C$75)*'Unit Economics'!$H$55,0)</f>
        <v>63.0617985899987</v>
      </c>
      <c r="T41" s="8" t="n">
        <f aca="false">IF(T$4-Assumptions!$C$75&gt;=1,INDEX('36-Month Forecast'!$C$202:$AL$202,1,T$4-Assumptions!$C$75)+INDEX('36-Month Forecast'!$C$199:$AL$199,1,T$4-Assumptions!$C$75)*'Unit Economics'!$H$55,0)</f>
        <v>76.3714880152831</v>
      </c>
      <c r="U41" s="8" t="n">
        <f aca="false">IF(U$4-Assumptions!$C$75&gt;=1,INDEX('36-Month Forecast'!$C$202:$AL$202,1,U$4-Assumptions!$C$75)+INDEX('36-Month Forecast'!$C$199:$AL$199,1,U$4-Assumptions!$C$75)*'Unit Economics'!$H$55,0)</f>
        <v>88.0463907100939</v>
      </c>
      <c r="V41" s="8" t="n">
        <f aca="false">IF(V$4-Assumptions!$C$75&gt;=1,INDEX('36-Month Forecast'!$C$202:$AL$202,1,V$4-Assumptions!$C$75)+INDEX('36-Month Forecast'!$C$199:$AL$199,1,V$4-Assumptions!$C$75)*'Unit Economics'!$H$55,0)</f>
        <v>87.5539969484482</v>
      </c>
      <c r="W41" s="8" t="n">
        <f aca="false">IF(W$4-Assumptions!$C$75&gt;=1,INDEX('36-Month Forecast'!$C$202:$AL$202,1,W$4-Assumptions!$C$75)+INDEX('36-Month Forecast'!$C$199:$AL$199,1,W$4-Assumptions!$C$75)*'Unit Economics'!$H$55,0)</f>
        <v>99.9197054407522</v>
      </c>
      <c r="X41" s="8" t="n">
        <f aca="false">IF(X$4-Assumptions!$C$75&gt;=1,INDEX('36-Month Forecast'!$C$202:$AL$202,1,X$4-Assumptions!$C$75)+INDEX('36-Month Forecast'!$C$199:$AL$199,1,X$4-Assumptions!$C$75)*'Unit Economics'!$H$55,0)</f>
        <v>103.152476323363</v>
      </c>
      <c r="Y41" s="8" t="n">
        <f aca="false">IF(Y$4-Assumptions!$C$75&gt;=1,INDEX('36-Month Forecast'!$C$202:$AL$202,1,Y$4-Assumptions!$C$75)+INDEX('36-Month Forecast'!$C$199:$AL$199,1,Y$4-Assumptions!$C$75)*'Unit Economics'!$H$55,0)</f>
        <v>99.575203625006</v>
      </c>
      <c r="Z41" s="8" t="n">
        <f aca="false">IF(Z$4-Assumptions!$C$75&gt;=1,INDEX('36-Month Forecast'!$C$202:$AL$202,1,Z$4-Assumptions!$C$75)+INDEX('36-Month Forecast'!$C$199:$AL$199,1,Z$4-Assumptions!$C$75)*'Unit Economics'!$H$55,0)</f>
        <v>106.270388160991</v>
      </c>
      <c r="AA41" s="8" t="n">
        <f aca="false">IF(AA$4-Assumptions!$C$75&gt;=1,INDEX('36-Month Forecast'!$C$202:$AL$202,1,AA$4-Assumptions!$C$75)+INDEX('36-Month Forecast'!$C$199:$AL$199,1,AA$4-Assumptions!$C$75)*'Unit Economics'!$H$55,0)</f>
        <v>126.658154243522</v>
      </c>
      <c r="AB41" s="8" t="n">
        <f aca="false">IF(AB$4-Assumptions!$C$75&gt;=1,INDEX('36-Month Forecast'!$C$202:$AL$202,1,AB$4-Assumptions!$C$75)+INDEX('36-Month Forecast'!$C$199:$AL$199,1,AB$4-Assumptions!$C$75)*'Unit Economics'!$H$55,0)</f>
        <v>185.917330701632</v>
      </c>
      <c r="AC41" s="8" t="n">
        <f aca="false">IF(AC$4-Assumptions!$C$75&gt;=1,INDEX('36-Month Forecast'!$C$202:$AL$202,1,AC$4-Assumptions!$C$75)+INDEX('36-Month Forecast'!$C$199:$AL$199,1,AC$4-Assumptions!$C$75)*'Unit Economics'!$H$55,0)</f>
        <v>212.365758227445</v>
      </c>
      <c r="AD41" s="8" t="n">
        <f aca="false">IF(AD$4-Assumptions!$C$75&gt;=1,INDEX('36-Month Forecast'!$C$202:$AL$202,1,AD$4-Assumptions!$C$75)+INDEX('36-Month Forecast'!$C$199:$AL$199,1,AD$4-Assumptions!$C$75)*'Unit Economics'!$H$55,0)</f>
        <v>215.619140906285</v>
      </c>
      <c r="AE41" s="8" t="n">
        <f aca="false">IF(AE$4-Assumptions!$C$75&gt;=1,INDEX('36-Month Forecast'!$C$202:$AL$202,1,AE$4-Assumptions!$C$75)+INDEX('36-Month Forecast'!$C$199:$AL$199,1,AE$4-Assumptions!$C$75)*'Unit Economics'!$H$55,0)</f>
        <v>167.946499027848</v>
      </c>
      <c r="AF41" s="8" t="n">
        <f aca="false">IF(AF$4-Assumptions!$C$75&gt;=1,INDEX('36-Month Forecast'!$C$202:$AL$202,1,AF$4-Assumptions!$C$75)+INDEX('36-Month Forecast'!$C$199:$AL$199,1,AF$4-Assumptions!$C$75)*'Unit Economics'!$H$55,0)</f>
        <v>196.166442844437</v>
      </c>
      <c r="AG41" s="8" t="n">
        <f aca="false">IF(AG$4-Assumptions!$C$75&gt;=1,INDEX('36-Month Forecast'!$C$202:$AL$202,1,AG$4-Assumptions!$C$75)+INDEX('36-Month Forecast'!$C$199:$AL$199,1,AG$4-Assumptions!$C$75)*'Unit Economics'!$H$55,0)</f>
        <v>217.704916797625</v>
      </c>
      <c r="AH41" s="8" t="n">
        <f aca="false">IF(AH$4-Assumptions!$C$75&gt;=1,INDEX('36-Month Forecast'!$C$202:$AL$202,1,AH$4-Assumptions!$C$75)+INDEX('36-Month Forecast'!$C$199:$AL$199,1,AH$4-Assumptions!$C$75)*'Unit Economics'!$H$55,0)</f>
        <v>208.487832094237</v>
      </c>
      <c r="AI41" s="8" t="n">
        <f aca="false">IF(AI$4-Assumptions!$C$75&gt;=1,INDEX('36-Month Forecast'!$C$202:$AL$202,1,AI$4-Assumptions!$C$75)+INDEX('36-Month Forecast'!$C$199:$AL$199,1,AI$4-Assumptions!$C$75)*'Unit Economics'!$H$55,0)</f>
        <v>230.335591613771</v>
      </c>
      <c r="AJ41" s="8" t="n">
        <f aca="false">IF(AJ$4-Assumptions!$C$75&gt;=1,INDEX('36-Month Forecast'!$C$202:$AL$202,1,AJ$4-Assumptions!$C$75)+INDEX('36-Month Forecast'!$C$199:$AL$199,1,AJ$4-Assumptions!$C$75)*'Unit Economics'!$H$55,0)</f>
        <v>230.098566093337</v>
      </c>
      <c r="AK41" s="8" t="n">
        <f aca="false">IF(AK$4-Assumptions!$C$75&gt;=1,INDEX('36-Month Forecast'!$C$202:$AL$202,1,AK$4-Assumptions!$C$75)+INDEX('36-Month Forecast'!$C$199:$AL$199,1,AK$4-Assumptions!$C$75)*'Unit Economics'!$H$55,0)</f>
        <v>215.512906341488</v>
      </c>
      <c r="AL41" s="8" t="n">
        <f aca="false">IF(AL$4-Assumptions!$C$75&gt;=1,INDEX('36-Month Forecast'!$C$202:$AL$202,1,AL$4-Assumptions!$C$75)+INDEX('36-Month Forecast'!$C$199:$AL$199,1,AL$4-Assumptions!$C$75)*'Unit Economics'!$H$55,0)</f>
        <v>223.982422379678</v>
      </c>
      <c r="AM41" s="45" t="n">
        <f aca="false">SUMIF($C$6:$AL$6,1,C41:AL41)</f>
        <v>128.690749059465</v>
      </c>
      <c r="AN41" s="45" t="n">
        <f aca="false">SUMIF($C$6:$AL$6,2,C41:AL41)</f>
        <v>964.305461555097</v>
      </c>
      <c r="AO41" s="45" t="n">
        <f aca="false">SUMIF($C$6:$AL$6,3,C41:AL41)</f>
        <v>2430.79556127131</v>
      </c>
      <c r="AP41" s="45" t="n">
        <f aca="false">SUM(C41:AL41)</f>
        <v>3523.79177188587</v>
      </c>
    </row>
    <row r="42" customFormat="false" ht="15" hidden="false" customHeight="false" outlineLevel="0" collapsed="false">
      <c r="A42" s="7" t="s">
        <v>816</v>
      </c>
      <c r="C42" s="8" t="n">
        <f aca="false">IF(C$4-Assumptions!$C$76&gt;=1,INDEX('36-Month Forecast'!$C$212:$AL$212,1,C$4-Assumptions!$C$76)+INDEX('36-Month Forecast'!$C$209:$AL$209,1,C$4-Assumptions!$C$76)*'Unit Economics'!$H$56,0)</f>
        <v>-0</v>
      </c>
      <c r="D42" s="8" t="n">
        <f aca="false">IF(D$4-Assumptions!$C$76&gt;=1,INDEX('36-Month Forecast'!$C$212:$AL$212,1,D$4-Assumptions!$C$76)+INDEX('36-Month Forecast'!$C$209:$AL$209,1,D$4-Assumptions!$C$76)*'Unit Economics'!$H$56,0)</f>
        <v>-0</v>
      </c>
      <c r="E42" s="8" t="n">
        <f aca="false">IF(E$4-Assumptions!$C$76&gt;=1,INDEX('36-Month Forecast'!$C$212:$AL$212,1,E$4-Assumptions!$C$76)+INDEX('36-Month Forecast'!$C$209:$AL$209,1,E$4-Assumptions!$C$76)*'Unit Economics'!$H$56,0)</f>
        <v>-0</v>
      </c>
      <c r="F42" s="8" t="n">
        <f aca="false">IF(F$4-Assumptions!$C$76&gt;=1,INDEX('36-Month Forecast'!$C$212:$AL$212,1,F$4-Assumptions!$C$76)+INDEX('36-Month Forecast'!$C$209:$AL$209,1,F$4-Assumptions!$C$76)*'Unit Economics'!$H$56,0)</f>
        <v>0</v>
      </c>
      <c r="G42" s="8" t="n">
        <f aca="false">IF(G$4-Assumptions!$C$76&gt;=1,INDEX('36-Month Forecast'!$C$212:$AL$212,1,G$4-Assumptions!$C$76)+INDEX('36-Month Forecast'!$C$209:$AL$209,1,G$4-Assumptions!$C$76)*'Unit Economics'!$H$56,0)</f>
        <v>11.0007369</v>
      </c>
      <c r="H42" s="8" t="n">
        <f aca="false">IF(H$4-Assumptions!$C$76&gt;=1,INDEX('36-Month Forecast'!$C$212:$AL$212,1,H$4-Assumptions!$C$76)+INDEX('36-Month Forecast'!$C$209:$AL$209,1,H$4-Assumptions!$C$76)*'Unit Economics'!$H$56,0)</f>
        <v>25.91284692</v>
      </c>
      <c r="I42" s="8" t="n">
        <f aca="false">IF(I$4-Assumptions!$C$76&gt;=1,INDEX('36-Month Forecast'!$C$212:$AL$212,1,I$4-Assumptions!$C$76)+INDEX('36-Month Forecast'!$C$209:$AL$209,1,I$4-Assumptions!$C$76)*'Unit Economics'!$H$56,0)</f>
        <v>43.26149793294</v>
      </c>
      <c r="J42" s="8" t="n">
        <f aca="false">IF(J$4-Assumptions!$C$76&gt;=1,INDEX('36-Month Forecast'!$C$212:$AL$212,1,J$4-Assumptions!$C$76)+INDEX('36-Month Forecast'!$C$209:$AL$209,1,J$4-Assumptions!$C$76)*'Unit Economics'!$H$56,0)</f>
        <v>55.3197821186928</v>
      </c>
      <c r="K42" s="8" t="n">
        <f aca="false">IF(K$4-Assumptions!$C$76&gt;=1,INDEX('36-Month Forecast'!$C$212:$AL$212,1,K$4-Assumptions!$C$76)+INDEX('36-Month Forecast'!$C$209:$AL$209,1,K$4-Assumptions!$C$76)*'Unit Economics'!$H$56,0)</f>
        <v>77.1565382181768</v>
      </c>
      <c r="L42" s="8" t="n">
        <f aca="false">IF(L$4-Assumptions!$C$76&gt;=1,INDEX('36-Month Forecast'!$C$212:$AL$212,1,L$4-Assumptions!$C$76)+INDEX('36-Month Forecast'!$C$209:$AL$209,1,L$4-Assumptions!$C$76)*'Unit Economics'!$H$56,0)</f>
        <v>93.2359607828449</v>
      </c>
      <c r="M42" s="8" t="n">
        <f aca="false">IF(M$4-Assumptions!$C$76&gt;=1,INDEX('36-Month Forecast'!$C$212:$AL$212,1,M$4-Assumptions!$C$76)+INDEX('36-Month Forecast'!$C$209:$AL$209,1,M$4-Assumptions!$C$76)*'Unit Economics'!$H$56,0)</f>
        <v>88.4269480687823</v>
      </c>
      <c r="N42" s="8" t="n">
        <f aca="false">IF(N$4-Assumptions!$C$76&gt;=1,INDEX('36-Month Forecast'!$C$212:$AL$212,1,N$4-Assumptions!$C$76)+INDEX('36-Month Forecast'!$C$209:$AL$209,1,N$4-Assumptions!$C$76)*'Unit Economics'!$H$56,0)</f>
        <v>93.7325649529093</v>
      </c>
      <c r="O42" s="8" t="n">
        <f aca="false">IF(O$4-Assumptions!$C$76&gt;=1,INDEX('36-Month Forecast'!$C$212:$AL$212,1,O$4-Assumptions!$C$76)+INDEX('36-Month Forecast'!$C$209:$AL$209,1,O$4-Assumptions!$C$76)*'Unit Economics'!$H$56,0)</f>
        <v>108.950322557029</v>
      </c>
      <c r="P42" s="8" t="n">
        <f aca="false">IF(P$4-Assumptions!$C$76&gt;=1,INDEX('36-Month Forecast'!$C$212:$AL$212,1,P$4-Assumptions!$C$76)+INDEX('36-Month Forecast'!$C$209:$AL$209,1,P$4-Assumptions!$C$76)*'Unit Economics'!$H$56,0)</f>
        <v>155.053511681161</v>
      </c>
      <c r="Q42" s="8" t="n">
        <f aca="false">IF(Q$4-Assumptions!$C$76&gt;=1,INDEX('36-Month Forecast'!$C$212:$AL$212,1,Q$4-Assumptions!$C$76)+INDEX('36-Month Forecast'!$C$209:$AL$209,1,Q$4-Assumptions!$C$76)*'Unit Economics'!$H$56,0)</f>
        <v>167.457792615654</v>
      </c>
      <c r="R42" s="8" t="n">
        <f aca="false">IF(R$4-Assumptions!$C$76&gt;=1,INDEX('36-Month Forecast'!$C$212:$AL$212,1,R$4-Assumptions!$C$76)+INDEX('36-Month Forecast'!$C$209:$AL$209,1,R$4-Assumptions!$C$76)*'Unit Economics'!$H$56,0)</f>
        <v>161.255652148407</v>
      </c>
      <c r="S42" s="8" t="n">
        <f aca="false">IF(S$4-Assumptions!$C$76&gt;=1,INDEX('36-Month Forecast'!$C$212:$AL$212,1,S$4-Assumptions!$C$76)+INDEX('36-Month Forecast'!$C$209:$AL$209,1,S$4-Assumptions!$C$76)*'Unit Economics'!$H$56,0)</f>
        <v>120.748232328727</v>
      </c>
      <c r="T42" s="8" t="n">
        <f aca="false">IF(T$4-Assumptions!$C$76&gt;=1,INDEX('36-Month Forecast'!$C$212:$AL$212,1,T$4-Assumptions!$C$76)+INDEX('36-Month Forecast'!$C$209:$AL$209,1,T$4-Assumptions!$C$76)*'Unit Economics'!$H$56,0)</f>
        <v>139.531290690974</v>
      </c>
      <c r="U42" s="8" t="n">
        <f aca="false">IF(U$4-Assumptions!$C$76&gt;=1,INDEX('36-Month Forecast'!$C$212:$AL$212,1,U$4-Assumptions!$C$76)+INDEX('36-Month Forecast'!$C$209:$AL$209,1,U$4-Assumptions!$C$76)*'Unit Economics'!$H$56,0)</f>
        <v>152.368169434543</v>
      </c>
      <c r="V42" s="8" t="n">
        <f aca="false">IF(V$4-Assumptions!$C$76&gt;=1,INDEX('36-Month Forecast'!$C$212:$AL$212,1,V$4-Assumptions!$C$76)+INDEX('36-Month Forecast'!$C$209:$AL$209,1,V$4-Assumptions!$C$76)*'Unit Economics'!$H$56,0)</f>
        <v>143.371191810789</v>
      </c>
      <c r="W42" s="8" t="n">
        <f aca="false">IF(W$4-Assumptions!$C$76&gt;=1,INDEX('36-Month Forecast'!$C$212:$AL$212,1,W$4-Assumptions!$C$76)+INDEX('36-Month Forecast'!$C$209:$AL$209,1,W$4-Assumptions!$C$76)*'Unit Economics'!$H$56,0)</f>
        <v>156.953725771812</v>
      </c>
      <c r="X42" s="8" t="n">
        <f aca="false">IF(X$4-Assumptions!$C$76&gt;=1,INDEX('36-Month Forecast'!$C$212:$AL$212,1,X$4-Assumptions!$C$76)+INDEX('36-Month Forecast'!$C$209:$AL$209,1,X$4-Assumptions!$C$76)*'Unit Economics'!$H$56,0)</f>
        <v>155.07028106255</v>
      </c>
      <c r="Y42" s="8" t="n">
        <f aca="false">IF(Y$4-Assumptions!$C$76&gt;=1,INDEX('36-Month Forecast'!$C$212:$AL$212,1,Y$4-Assumptions!$C$76)+INDEX('36-Month Forecast'!$C$209:$AL$209,1,Y$4-Assumptions!$C$76)*'Unit Economics'!$H$56,0)</f>
        <v>144.296977325573</v>
      </c>
      <c r="Z42" s="8" t="n">
        <f aca="false">IF(Z$4-Assumptions!$C$76&gt;=1,INDEX('36-Month Forecast'!$C$212:$AL$212,1,Z$4-Assumptions!$C$76)+INDEX('36-Month Forecast'!$C$209:$AL$209,1,Z$4-Assumptions!$C$76)*'Unit Economics'!$H$56,0)</f>
        <v>150.068856418596</v>
      </c>
      <c r="AA42" s="8" t="n">
        <f aca="false">IF(AA$4-Assumptions!$C$76&gt;=1,INDEX('36-Month Forecast'!$C$212:$AL$212,1,AA$4-Assumptions!$C$76)+INDEX('36-Month Forecast'!$C$209:$AL$209,1,AA$4-Assumptions!$C$76)*'Unit Economics'!$H$56,0)</f>
        <v>171.078496317199</v>
      </c>
      <c r="AB42" s="8" t="n">
        <f aca="false">IF(AB$4-Assumptions!$C$76&gt;=1,INDEX('36-Month Forecast'!$C$212:$AL$212,1,AB$4-Assumptions!$C$76)+INDEX('36-Month Forecast'!$C$209:$AL$209,1,AB$4-Assumptions!$C$76)*'Unit Economics'!$H$56,0)</f>
        <v>238.789564333269</v>
      </c>
      <c r="AC42" s="8" t="n">
        <f aca="false">IF(AC$4-Assumptions!$C$76&gt;=1,INDEX('36-Month Forecast'!$C$212:$AL$212,1,AC$4-Assumptions!$C$76)+INDEX('36-Month Forecast'!$C$209:$AL$209,1,AC$4-Assumptions!$C$76)*'Unit Economics'!$H$56,0)</f>
        <v>252.933253913009</v>
      </c>
      <c r="AD42" s="8" t="n">
        <f aca="false">IF(AD$4-Assumptions!$C$76&gt;=1,INDEX('36-Month Forecast'!$C$212:$AL$212,1,AD$4-Assumptions!$C$76)+INDEX('36-Month Forecast'!$C$209:$AL$209,1,AD$4-Assumptions!$C$76)*'Unit Economics'!$H$56,0)</f>
        <v>238.881406473398</v>
      </c>
      <c r="AE42" s="8" t="n">
        <f aca="false">IF(AE$4-Assumptions!$C$76&gt;=1,INDEX('36-Month Forecast'!$C$212:$AL$212,1,AE$4-Assumptions!$C$76)+INDEX('36-Month Forecast'!$C$209:$AL$209,1,AE$4-Assumptions!$C$76)*'Unit Economics'!$H$56,0)</f>
        <v>175.434504914063</v>
      </c>
      <c r="AF42" s="8" t="n">
        <f aca="false">IF(AF$4-Assumptions!$C$76&gt;=1,INDEX('36-Month Forecast'!$C$212:$AL$212,1,AF$4-Assumptions!$C$76)+INDEX('36-Month Forecast'!$C$209:$AL$209,1,AF$4-Assumptions!$C$76)*'Unit Economics'!$H$56,0)</f>
        <v>198.825772235938</v>
      </c>
      <c r="AG42" s="8" t="n">
        <f aca="false">IF(AG$4-Assumptions!$C$76&gt;=1,INDEX('36-Month Forecast'!$C$212:$AL$212,1,AG$4-Assumptions!$C$76)+INDEX('36-Month Forecast'!$C$209:$AL$209,1,AG$4-Assumptions!$C$76)*'Unit Economics'!$H$56,0)</f>
        <v>212.94240206469</v>
      </c>
      <c r="AH42" s="8" t="n">
        <f aca="false">IF(AH$4-Assumptions!$C$76&gt;=1,INDEX('36-Month Forecast'!$C$212:$AL$212,1,AH$4-Assumptions!$C$76)+INDEX('36-Month Forecast'!$C$209:$AL$209,1,AH$4-Assumptions!$C$76)*'Unit Economics'!$H$56,0)</f>
        <v>196.515416762557</v>
      </c>
      <c r="AI42" s="8" t="n">
        <f aca="false">IF(AI$4-Assumptions!$C$76&gt;=1,INDEX('36-Month Forecast'!$C$212:$AL$212,1,AI$4-Assumptions!$C$76)+INDEX('36-Month Forecast'!$C$209:$AL$209,1,AI$4-Assumptions!$C$76)*'Unit Economics'!$H$56,0)</f>
        <v>210.995500102956</v>
      </c>
      <c r="AJ42" s="8" t="n">
        <f aca="false">IF(AJ$4-Assumptions!$C$76&gt;=1,INDEX('36-Month Forecast'!$C$212:$AL$212,1,AJ$4-Assumptions!$C$76)+INDEX('36-Month Forecast'!$C$209:$AL$209,1,AJ$4-Assumptions!$C$76)*'Unit Economics'!$H$56,0)</f>
        <v>204.454639599764</v>
      </c>
      <c r="AK42" s="8" t="n">
        <f aca="false">IF(AK$4-Assumptions!$C$76&gt;=1,INDEX('36-Month Forecast'!$C$212:$AL$212,1,AK$4-Assumptions!$C$76)+INDEX('36-Month Forecast'!$C$209:$AL$209,1,AK$4-Assumptions!$C$76)*'Unit Economics'!$H$56,0)</f>
        <v>186.591760561048</v>
      </c>
      <c r="AL42" s="8" t="n">
        <f aca="false">IF(AL$4-Assumptions!$C$76&gt;=1,INDEX('36-Month Forecast'!$C$212:$AL$212,1,AL$4-Assumptions!$C$76)+INDEX('36-Month Forecast'!$C$209:$AL$209,1,AL$4-Assumptions!$C$76)*'Unit Economics'!$H$56,0)</f>
        <v>190.323595772269</v>
      </c>
      <c r="AM42" s="45" t="n">
        <f aca="false">SUMIF($C$6:$AL$6,1,C42:AL42)</f>
        <v>488.046875894346</v>
      </c>
      <c r="AN42" s="45" t="n">
        <f aca="false">SUMIF($C$6:$AL$6,2,C42:AL42)</f>
        <v>1755.12600384581</v>
      </c>
      <c r="AO42" s="45" t="n">
        <f aca="false">SUMIF($C$6:$AL$6,3,C42:AL42)</f>
        <v>2477.76631305016</v>
      </c>
      <c r="AP42" s="45" t="n">
        <f aca="false">SUM(C42:AL42)</f>
        <v>4720.93919279032</v>
      </c>
    </row>
    <row r="43" customFormat="false" ht="15" hidden="false" customHeight="false" outlineLevel="0" collapsed="false">
      <c r="A43" s="7" t="s">
        <v>817</v>
      </c>
      <c r="C43" s="8" t="n">
        <f aca="false">IF(C$4-Assumptions!$C$77&gt;=1,INDEX('36-Month Forecast'!$C$222:$AL$222,1,C$4-Assumptions!$C$77)+INDEX('36-Month Forecast'!$C$219:$AL$219,1,C$4-Assumptions!$C$77)*'Unit Economics'!$H$57,0)</f>
        <v>0</v>
      </c>
      <c r="D43" s="8" t="n">
        <f aca="false">IF(D$4-Assumptions!$C$77&gt;=1,INDEX('36-Month Forecast'!$C$222:$AL$222,1,D$4-Assumptions!$C$77)+INDEX('36-Month Forecast'!$C$219:$AL$219,1,D$4-Assumptions!$C$77)*'Unit Economics'!$H$57,0)</f>
        <v>-0</v>
      </c>
      <c r="E43" s="8" t="n">
        <f aca="false">IF(E$4-Assumptions!$C$77&gt;=1,INDEX('36-Month Forecast'!$C$222:$AL$222,1,E$4-Assumptions!$C$77)+INDEX('36-Month Forecast'!$C$219:$AL$219,1,E$4-Assumptions!$C$77)*'Unit Economics'!$H$57,0)</f>
        <v>-0</v>
      </c>
      <c r="F43" s="8" t="n">
        <f aca="false">IF(F$4-Assumptions!$C$77&gt;=1,INDEX('36-Month Forecast'!$C$222:$AL$222,1,F$4-Assumptions!$C$77)+INDEX('36-Month Forecast'!$C$219:$AL$219,1,F$4-Assumptions!$C$77)*'Unit Economics'!$H$57,0)</f>
        <v>-0</v>
      </c>
      <c r="G43" s="8" t="n">
        <f aca="false">IF(G$4-Assumptions!$C$77&gt;=1,INDEX('36-Month Forecast'!$C$222:$AL$222,1,G$4-Assumptions!$C$77)+INDEX('36-Month Forecast'!$C$219:$AL$219,1,G$4-Assumptions!$C$77)*'Unit Economics'!$H$57,0)</f>
        <v>-0</v>
      </c>
      <c r="H43" s="8" t="n">
        <f aca="false">IF(H$4-Assumptions!$C$77&gt;=1,INDEX('36-Month Forecast'!$C$222:$AL$222,1,H$4-Assumptions!$C$77)+INDEX('36-Month Forecast'!$C$219:$AL$219,1,H$4-Assumptions!$C$77)*'Unit Economics'!$H$57,0)</f>
        <v>-0</v>
      </c>
      <c r="I43" s="8" t="n">
        <f aca="false">IF(I$4-Assumptions!$C$77&gt;=1,INDEX('36-Month Forecast'!$C$222:$AL$222,1,I$4-Assumptions!$C$77)+INDEX('36-Month Forecast'!$C$219:$AL$219,1,I$4-Assumptions!$C$77)*'Unit Economics'!$H$57,0)</f>
        <v>-0</v>
      </c>
      <c r="J43" s="8" t="n">
        <f aca="false">IF(J$4-Assumptions!$C$77&gt;=1,INDEX('36-Month Forecast'!$C$222:$AL$222,1,J$4-Assumptions!$C$77)+INDEX('36-Month Forecast'!$C$219:$AL$219,1,J$4-Assumptions!$C$77)*'Unit Economics'!$H$57,0)</f>
        <v>-0</v>
      </c>
      <c r="K43" s="8" t="n">
        <f aca="false">IF(K$4-Assumptions!$C$77&gt;=1,INDEX('36-Month Forecast'!$C$222:$AL$222,1,K$4-Assumptions!$C$77)+INDEX('36-Month Forecast'!$C$219:$AL$219,1,K$4-Assumptions!$C$77)*'Unit Economics'!$H$57,0)</f>
        <v>-0</v>
      </c>
      <c r="L43" s="8" t="n">
        <f aca="false">IF(L$4-Assumptions!$C$77&gt;=1,INDEX('36-Month Forecast'!$C$222:$AL$222,1,L$4-Assumptions!$C$77)+INDEX('36-Month Forecast'!$C$219:$AL$219,1,L$4-Assumptions!$C$77)*'Unit Economics'!$H$57,0)</f>
        <v>-0</v>
      </c>
      <c r="M43" s="8" t="n">
        <f aca="false">IF(M$4-Assumptions!$C$77&gt;=1,INDEX('36-Month Forecast'!$C$222:$AL$222,1,M$4-Assumptions!$C$77)+INDEX('36-Month Forecast'!$C$219:$AL$219,1,M$4-Assumptions!$C$77)*'Unit Economics'!$H$57,0)</f>
        <v>-0</v>
      </c>
      <c r="N43" s="8" t="n">
        <f aca="false">IF(N$4-Assumptions!$C$77&gt;=1,INDEX('36-Month Forecast'!$C$222:$AL$222,1,N$4-Assumptions!$C$77)+INDEX('36-Month Forecast'!$C$219:$AL$219,1,N$4-Assumptions!$C$77)*'Unit Economics'!$H$57,0)</f>
        <v>-0</v>
      </c>
      <c r="O43" s="8" t="n">
        <f aca="false">IF(O$4-Assumptions!$C$77&gt;=1,INDEX('36-Month Forecast'!$C$222:$AL$222,1,O$4-Assumptions!$C$77)+INDEX('36-Month Forecast'!$C$219:$AL$219,1,O$4-Assumptions!$C$77)*'Unit Economics'!$H$57,0)</f>
        <v>0</v>
      </c>
      <c r="P43" s="8" t="n">
        <f aca="false">IF(P$4-Assumptions!$C$77&gt;=1,INDEX('36-Month Forecast'!$C$222:$AL$222,1,P$4-Assumptions!$C$77)+INDEX('36-Month Forecast'!$C$219:$AL$219,1,P$4-Assumptions!$C$77)*'Unit Economics'!$H$57,0)</f>
        <v>39.332304</v>
      </c>
      <c r="Q43" s="8" t="n">
        <f aca="false">IF(Q$4-Assumptions!$C$77&gt;=1,INDEX('36-Month Forecast'!$C$222:$AL$222,1,Q$4-Assumptions!$C$77)+INDEX('36-Month Forecast'!$C$219:$AL$219,1,Q$4-Assumptions!$C$77)*'Unit Economics'!$H$57,0)</f>
        <v>69.4870704</v>
      </c>
      <c r="R43" s="8" t="n">
        <f aca="false">IF(R$4-Assumptions!$C$77&gt;=1,INDEX('36-Month Forecast'!$C$222:$AL$222,1,R$4-Assumptions!$C$77)+INDEX('36-Month Forecast'!$C$219:$AL$219,1,R$4-Assumptions!$C$77)*'Unit Economics'!$H$57,0)</f>
        <v>77.3391093552</v>
      </c>
      <c r="S43" s="8" t="n">
        <f aca="false">IF(S$4-Assumptions!$C$77&gt;=1,INDEX('36-Month Forecast'!$C$222:$AL$222,1,S$4-Assumptions!$C$77)+INDEX('36-Month Forecast'!$C$219:$AL$219,1,S$4-Assumptions!$C$77)*'Unit Economics'!$H$57,0)</f>
        <v>171.766479063168</v>
      </c>
      <c r="T43" s="8" t="n">
        <f aca="false">IF(T$4-Assumptions!$C$77&gt;=1,INDEX('36-Month Forecast'!$C$222:$AL$222,1,T$4-Assumptions!$C$77)+INDEX('36-Month Forecast'!$C$219:$AL$219,1,T$4-Assumptions!$C$77)*'Unit Economics'!$H$57,0)</f>
        <v>206.900531598816</v>
      </c>
      <c r="U43" s="8" t="n">
        <f aca="false">IF(U$4-Assumptions!$C$77&gt;=1,INDEX('36-Month Forecast'!$C$222:$AL$222,1,U$4-Assumptions!$C$77)+INDEX('36-Month Forecast'!$C$219:$AL$219,1,U$4-Assumptions!$C$77)*'Unit Economics'!$H$57,0)</f>
        <v>263.177476193694</v>
      </c>
      <c r="V43" s="8" t="n">
        <f aca="false">IF(V$4-Assumptions!$C$77&gt;=1,INDEX('36-Month Forecast'!$C$222:$AL$222,1,V$4-Assumptions!$C$77)+INDEX('36-Month Forecast'!$C$219:$AL$219,1,V$4-Assumptions!$C$77)*'Unit Economics'!$H$57,0)</f>
        <v>251.071312288784</v>
      </c>
      <c r="W43" s="8" t="n">
        <f aca="false">IF(W$4-Assumptions!$C$77&gt;=1,INDEX('36-Month Forecast'!$C$222:$AL$222,1,W$4-Assumptions!$C$77)+INDEX('36-Month Forecast'!$C$219:$AL$219,1,W$4-Assumptions!$C$77)*'Unit Economics'!$H$57,0)</f>
        <v>206.994348575864</v>
      </c>
      <c r="X43" s="8" t="n">
        <f aca="false">IF(X$4-Assumptions!$C$77&gt;=1,INDEX('36-Month Forecast'!$C$222:$AL$222,1,X$4-Assumptions!$C$77)+INDEX('36-Month Forecast'!$C$219:$AL$219,1,X$4-Assumptions!$C$77)*'Unit Economics'!$H$57,0)</f>
        <v>125.379433994523</v>
      </c>
      <c r="Y43" s="8" t="n">
        <f aca="false">IF(Y$4-Assumptions!$C$77&gt;=1,INDEX('36-Month Forecast'!$C$222:$AL$222,1,Y$4-Assumptions!$C$77)+INDEX('36-Month Forecast'!$C$219:$AL$219,1,Y$4-Assumptions!$C$77)*'Unit Economics'!$H$57,0)</f>
        <v>199.353300051292</v>
      </c>
      <c r="Z43" s="8" t="n">
        <f aca="false">IF(Z$4-Assumptions!$C$77&gt;=1,INDEX('36-Month Forecast'!$C$222:$AL$222,1,Z$4-Assumptions!$C$77)+INDEX('36-Month Forecast'!$C$219:$AL$219,1,Z$4-Assumptions!$C$77)*'Unit Economics'!$H$57,0)</f>
        <v>457.848079117802</v>
      </c>
      <c r="AA43" s="8" t="n">
        <f aca="false">IF(AA$4-Assumptions!$C$77&gt;=1,INDEX('36-Month Forecast'!$C$222:$AL$222,1,AA$4-Assumptions!$C$77)+INDEX('36-Month Forecast'!$C$219:$AL$219,1,AA$4-Assumptions!$C$77)*'Unit Economics'!$H$57,0)</f>
        <v>522.651191854475</v>
      </c>
      <c r="AB43" s="8" t="n">
        <f aca="false">IF(AB$4-Assumptions!$C$77&gt;=1,INDEX('36-Month Forecast'!$C$222:$AL$222,1,AB$4-Assumptions!$C$77)+INDEX('36-Month Forecast'!$C$219:$AL$219,1,AB$4-Assumptions!$C$77)*'Unit Economics'!$H$57,0)</f>
        <v>461.426337951522</v>
      </c>
      <c r="AC43" s="8" t="n">
        <f aca="false">IF(AC$4-Assumptions!$C$77&gt;=1,INDEX('36-Month Forecast'!$C$222:$AL$222,1,AC$4-Assumptions!$C$77)+INDEX('36-Month Forecast'!$C$219:$AL$219,1,AC$4-Assumptions!$C$77)*'Unit Economics'!$H$57,0)</f>
        <v>396.057606741723</v>
      </c>
      <c r="AD43" s="8" t="n">
        <f aca="false">IF(AD$4-Assumptions!$C$77&gt;=1,INDEX('36-Month Forecast'!$C$222:$AL$222,1,AD$4-Assumptions!$C$77)+INDEX('36-Month Forecast'!$C$219:$AL$219,1,AD$4-Assumptions!$C$77)*'Unit Economics'!$H$57,0)</f>
        <v>285.557534460782</v>
      </c>
      <c r="AE43" s="8" t="n">
        <f aca="false">IF(AE$4-Assumptions!$C$77&gt;=1,INDEX('36-Month Forecast'!$C$222:$AL$222,1,AE$4-Assumptions!$C$77)+INDEX('36-Month Forecast'!$C$219:$AL$219,1,AE$4-Assumptions!$C$77)*'Unit Economics'!$H$57,0)</f>
        <v>462.195266491524</v>
      </c>
      <c r="AF43" s="8" t="n">
        <f aca="false">IF(AF$4-Assumptions!$C$77&gt;=1,INDEX('36-Month Forecast'!$C$222:$AL$222,1,AF$4-Assumptions!$C$77)+INDEX('36-Month Forecast'!$C$219:$AL$219,1,AF$4-Assumptions!$C$77)*'Unit Economics'!$H$57,0)</f>
        <v>432.782840442063</v>
      </c>
      <c r="AG43" s="8" t="n">
        <f aca="false">IF(AG$4-Assumptions!$C$77&gt;=1,INDEX('36-Month Forecast'!$C$222:$AL$222,1,AG$4-Assumptions!$C$77)+INDEX('36-Month Forecast'!$C$219:$AL$219,1,AG$4-Assumptions!$C$77)*'Unit Economics'!$H$57,0)</f>
        <v>445.766325655325</v>
      </c>
      <c r="AH43" s="8" t="n">
        <f aca="false">IF(AH$4-Assumptions!$C$77&gt;=1,INDEX('36-Month Forecast'!$C$222:$AL$222,1,AH$4-Assumptions!$C$77)+INDEX('36-Month Forecast'!$C$219:$AL$219,1,AH$4-Assumptions!$C$77)*'Unit Economics'!$H$57,0)</f>
        <v>413.225383882486</v>
      </c>
      <c r="AI43" s="8" t="n">
        <f aca="false">IF(AI$4-Assumptions!$C$77&gt;=1,INDEX('36-Month Forecast'!$C$222:$AL$222,1,AI$4-Assumptions!$C$77)+INDEX('36-Month Forecast'!$C$219:$AL$219,1,AI$4-Assumptions!$C$77)*'Unit Economics'!$H$57,0)</f>
        <v>331.039446421414</v>
      </c>
      <c r="AJ43" s="8" t="n">
        <f aca="false">IF(AJ$4-Assumptions!$C$77&gt;=1,INDEX('36-Month Forecast'!$C$222:$AL$222,1,AJ$4-Assumptions!$C$77)+INDEX('36-Month Forecast'!$C$219:$AL$219,1,AJ$4-Assumptions!$C$77)*'Unit Economics'!$H$57,0)</f>
        <v>194.840359893747</v>
      </c>
      <c r="AK43" s="8" t="n">
        <f aca="false">IF(AK$4-Assumptions!$C$77&gt;=1,INDEX('36-Month Forecast'!$C$222:$AL$222,1,AK$4-Assumptions!$C$77)+INDEX('36-Month Forecast'!$C$219:$AL$219,1,AK$4-Assumptions!$C$77)*'Unit Economics'!$H$57,0)</f>
        <v>301.028356035838</v>
      </c>
      <c r="AL43" s="8" t="n">
        <f aca="false">IF(AL$4-Assumptions!$C$77&gt;=1,INDEX('36-Month Forecast'!$C$222:$AL$222,1,AL$4-Assumptions!$C$77)+INDEX('36-Month Forecast'!$C$219:$AL$219,1,AL$4-Assumptions!$C$77)*'Unit Economics'!$H$57,0)</f>
        <v>671.794947886646</v>
      </c>
      <c r="AM43" s="45" t="n">
        <f aca="false">SUMIF($C$6:$AL$6,1,C43:AL43)</f>
        <v>0</v>
      </c>
      <c r="AN43" s="45" t="n">
        <f aca="false">SUMIF($C$6:$AL$6,2,C43:AL43)</f>
        <v>2068.64944463914</v>
      </c>
      <c r="AO43" s="45" t="n">
        <f aca="false">SUMIF($C$6:$AL$6,3,C43:AL43)</f>
        <v>4918.36559771755</v>
      </c>
      <c r="AP43" s="45" t="n">
        <f aca="false">SUM(C43:AL43)</f>
        <v>6987.01504235669</v>
      </c>
    </row>
    <row r="44" customFormat="false" ht="15" hidden="false" customHeight="false" outlineLevel="0" collapsed="false">
      <c r="A44" s="7" t="s">
        <v>818</v>
      </c>
      <c r="C44" s="8" t="n">
        <f aca="false">IF(C$4-Assumptions!$C$78&gt;=1,INDEX('36-Month Forecast'!$C$232:$AL$232,1,C$4-Assumptions!$C$78)+INDEX('36-Month Forecast'!$C$229:$AL$229,1,C$4-Assumptions!$C$78)*'Unit Economics'!$H$58,0)</f>
        <v>0</v>
      </c>
      <c r="D44" s="8" t="n">
        <f aca="false">IF(D$4-Assumptions!$C$78&gt;=1,INDEX('36-Month Forecast'!$C$232:$AL$232,1,D$4-Assumptions!$C$78)+INDEX('36-Month Forecast'!$C$229:$AL$229,1,D$4-Assumptions!$C$78)*'Unit Economics'!$H$58,0)</f>
        <v>-0</v>
      </c>
      <c r="E44" s="8" t="n">
        <f aca="false">IF(E$4-Assumptions!$C$78&gt;=1,INDEX('36-Month Forecast'!$C$232:$AL$232,1,E$4-Assumptions!$C$78)+INDEX('36-Month Forecast'!$C$229:$AL$229,1,E$4-Assumptions!$C$78)*'Unit Economics'!$H$58,0)</f>
        <v>-0</v>
      </c>
      <c r="F44" s="8" t="n">
        <f aca="false">IF(F$4-Assumptions!$C$78&gt;=1,INDEX('36-Month Forecast'!$C$232:$AL$232,1,F$4-Assumptions!$C$78)+INDEX('36-Month Forecast'!$C$229:$AL$229,1,F$4-Assumptions!$C$78)*'Unit Economics'!$H$58,0)</f>
        <v>-0</v>
      </c>
      <c r="G44" s="8" t="n">
        <f aca="false">IF(G$4-Assumptions!$C$78&gt;=1,INDEX('36-Month Forecast'!$C$232:$AL$232,1,G$4-Assumptions!$C$78)+INDEX('36-Month Forecast'!$C$229:$AL$229,1,G$4-Assumptions!$C$78)*'Unit Economics'!$H$58,0)</f>
        <v>-0</v>
      </c>
      <c r="H44" s="8" t="n">
        <f aca="false">IF(H$4-Assumptions!$C$78&gt;=1,INDEX('36-Month Forecast'!$C$232:$AL$232,1,H$4-Assumptions!$C$78)+INDEX('36-Month Forecast'!$C$229:$AL$229,1,H$4-Assumptions!$C$78)*'Unit Economics'!$H$58,0)</f>
        <v>-0</v>
      </c>
      <c r="I44" s="8" t="n">
        <f aca="false">IF(I$4-Assumptions!$C$78&gt;=1,INDEX('36-Month Forecast'!$C$232:$AL$232,1,I$4-Assumptions!$C$78)+INDEX('36-Month Forecast'!$C$229:$AL$229,1,I$4-Assumptions!$C$78)*'Unit Economics'!$H$58,0)</f>
        <v>-0</v>
      </c>
      <c r="J44" s="8" t="n">
        <f aca="false">IF(J$4-Assumptions!$C$78&gt;=1,INDEX('36-Month Forecast'!$C$232:$AL$232,1,J$4-Assumptions!$C$78)+INDEX('36-Month Forecast'!$C$229:$AL$229,1,J$4-Assumptions!$C$78)*'Unit Economics'!$H$58,0)</f>
        <v>-0</v>
      </c>
      <c r="K44" s="8" t="n">
        <f aca="false">IF(K$4-Assumptions!$C$78&gt;=1,INDEX('36-Month Forecast'!$C$232:$AL$232,1,K$4-Assumptions!$C$78)+INDEX('36-Month Forecast'!$C$229:$AL$229,1,K$4-Assumptions!$C$78)*'Unit Economics'!$H$58,0)</f>
        <v>-0</v>
      </c>
      <c r="L44" s="8" t="n">
        <f aca="false">IF(L$4-Assumptions!$C$78&gt;=1,INDEX('36-Month Forecast'!$C$232:$AL$232,1,L$4-Assumptions!$C$78)+INDEX('36-Month Forecast'!$C$229:$AL$229,1,L$4-Assumptions!$C$78)*'Unit Economics'!$H$58,0)</f>
        <v>-0</v>
      </c>
      <c r="M44" s="8" t="n">
        <f aca="false">IF(M$4-Assumptions!$C$78&gt;=1,INDEX('36-Month Forecast'!$C$232:$AL$232,1,M$4-Assumptions!$C$78)+INDEX('36-Month Forecast'!$C$229:$AL$229,1,M$4-Assumptions!$C$78)*'Unit Economics'!$H$58,0)</f>
        <v>-0</v>
      </c>
      <c r="N44" s="8" t="n">
        <f aca="false">IF(N$4-Assumptions!$C$78&gt;=1,INDEX('36-Month Forecast'!$C$232:$AL$232,1,N$4-Assumptions!$C$78)+INDEX('36-Month Forecast'!$C$229:$AL$229,1,N$4-Assumptions!$C$78)*'Unit Economics'!$H$58,0)</f>
        <v>-0</v>
      </c>
      <c r="O44" s="8" t="n">
        <f aca="false">IF(O$4-Assumptions!$C$78&gt;=1,INDEX('36-Month Forecast'!$C$232:$AL$232,1,O$4-Assumptions!$C$78)+INDEX('36-Month Forecast'!$C$229:$AL$229,1,O$4-Assumptions!$C$78)*'Unit Economics'!$H$58,0)</f>
        <v>-0</v>
      </c>
      <c r="P44" s="8" t="n">
        <f aca="false">IF(P$4-Assumptions!$C$78&gt;=1,INDEX('36-Month Forecast'!$C$232:$AL$232,1,P$4-Assumptions!$C$78)+INDEX('36-Month Forecast'!$C$229:$AL$229,1,P$4-Assumptions!$C$78)*'Unit Economics'!$H$58,0)</f>
        <v>-0</v>
      </c>
      <c r="Q44" s="8" t="n">
        <f aca="false">IF(Q$4-Assumptions!$C$78&gt;=1,INDEX('36-Month Forecast'!$C$232:$AL$232,1,Q$4-Assumptions!$C$78)+INDEX('36-Month Forecast'!$C$229:$AL$229,1,Q$4-Assumptions!$C$78)*'Unit Economics'!$H$58,0)</f>
        <v>-0</v>
      </c>
      <c r="R44" s="8" t="n">
        <f aca="false">IF(R$4-Assumptions!$C$78&gt;=1,INDEX('36-Month Forecast'!$C$232:$AL$232,1,R$4-Assumptions!$C$78)+INDEX('36-Month Forecast'!$C$229:$AL$229,1,R$4-Assumptions!$C$78)*'Unit Economics'!$H$58,0)</f>
        <v>-0</v>
      </c>
      <c r="S44" s="8" t="n">
        <f aca="false">IF(S$4-Assumptions!$C$78&gt;=1,INDEX('36-Month Forecast'!$C$232:$AL$232,1,S$4-Assumptions!$C$78)+INDEX('36-Month Forecast'!$C$229:$AL$229,1,S$4-Assumptions!$C$78)*'Unit Economics'!$H$58,0)</f>
        <v>-0</v>
      </c>
      <c r="T44" s="8" t="n">
        <f aca="false">IF(T$4-Assumptions!$C$78&gt;=1,INDEX('36-Month Forecast'!$C$232:$AL$232,1,T$4-Assumptions!$C$78)+INDEX('36-Month Forecast'!$C$229:$AL$229,1,T$4-Assumptions!$C$78)*'Unit Economics'!$H$58,0)</f>
        <v>-0</v>
      </c>
      <c r="U44" s="8" t="n">
        <f aca="false">IF(U$4-Assumptions!$C$78&gt;=1,INDEX('36-Month Forecast'!$C$232:$AL$232,1,U$4-Assumptions!$C$78)+INDEX('36-Month Forecast'!$C$229:$AL$229,1,U$4-Assumptions!$C$78)*'Unit Economics'!$H$58,0)</f>
        <v>-0</v>
      </c>
      <c r="V44" s="8" t="n">
        <f aca="false">IF(V$4-Assumptions!$C$78&gt;=1,INDEX('36-Month Forecast'!$C$232:$AL$232,1,V$4-Assumptions!$C$78)+INDEX('36-Month Forecast'!$C$229:$AL$229,1,V$4-Assumptions!$C$78)*'Unit Economics'!$H$58,0)</f>
        <v>-0</v>
      </c>
      <c r="W44" s="8" t="n">
        <f aca="false">IF(W$4-Assumptions!$C$78&gt;=1,INDEX('36-Month Forecast'!$C$232:$AL$232,1,W$4-Assumptions!$C$78)+INDEX('36-Month Forecast'!$C$229:$AL$229,1,W$4-Assumptions!$C$78)*'Unit Economics'!$H$58,0)</f>
        <v>-0</v>
      </c>
      <c r="X44" s="8" t="n">
        <f aca="false">IF(X$4-Assumptions!$C$78&gt;=1,INDEX('36-Month Forecast'!$C$232:$AL$232,1,X$4-Assumptions!$C$78)+INDEX('36-Month Forecast'!$C$229:$AL$229,1,X$4-Assumptions!$C$78)*'Unit Economics'!$H$58,0)</f>
        <v>-0</v>
      </c>
      <c r="Y44" s="8" t="n">
        <f aca="false">IF(Y$4-Assumptions!$C$78&gt;=1,INDEX('36-Month Forecast'!$C$232:$AL$232,1,Y$4-Assumptions!$C$78)+INDEX('36-Month Forecast'!$C$229:$AL$229,1,Y$4-Assumptions!$C$78)*'Unit Economics'!$H$58,0)</f>
        <v>-0</v>
      </c>
      <c r="Z44" s="8" t="n">
        <f aca="false">IF(Z$4-Assumptions!$C$78&gt;=1,INDEX('36-Month Forecast'!$C$232:$AL$232,1,Z$4-Assumptions!$C$78)+INDEX('36-Month Forecast'!$C$229:$AL$229,1,Z$4-Assumptions!$C$78)*'Unit Economics'!$H$58,0)</f>
        <v>-0</v>
      </c>
      <c r="AA44" s="8" t="n">
        <f aca="false">IF(AA$4-Assumptions!$C$78&gt;=1,INDEX('36-Month Forecast'!$C$232:$AL$232,1,AA$4-Assumptions!$C$78)+INDEX('36-Month Forecast'!$C$229:$AL$229,1,AA$4-Assumptions!$C$78)*'Unit Economics'!$H$58,0)</f>
        <v>0</v>
      </c>
      <c r="AB44" s="8" t="n">
        <f aca="false">IF(AB$4-Assumptions!$C$78&gt;=1,INDEX('36-Month Forecast'!$C$232:$AL$232,1,AB$4-Assumptions!$C$78)+INDEX('36-Month Forecast'!$C$229:$AL$229,1,AB$4-Assumptions!$C$78)*'Unit Economics'!$H$58,0)</f>
        <v>20.696985</v>
      </c>
      <c r="AC44" s="8" t="n">
        <f aca="false">IF(AC$4-Assumptions!$C$78&gt;=1,INDEX('36-Month Forecast'!$C$232:$AL$232,1,AC$4-Assumptions!$C$78)+INDEX('36-Month Forecast'!$C$229:$AL$229,1,AC$4-Assumptions!$C$78)*'Unit Economics'!$H$58,0)</f>
        <v>59.476599</v>
      </c>
      <c r="AD44" s="8" t="n">
        <f aca="false">IF(AD$4-Assumptions!$C$78&gt;=1,INDEX('36-Month Forecast'!$C$232:$AL$232,1,AD$4-Assumptions!$C$78)+INDEX('36-Month Forecast'!$C$229:$AL$229,1,AD$4-Assumptions!$C$78)*'Unit Economics'!$H$58,0)</f>
        <v>97.2785527875</v>
      </c>
      <c r="AE44" s="8" t="n">
        <f aca="false">IF(AE$4-Assumptions!$C$78&gt;=1,INDEX('36-Month Forecast'!$C$232:$AL$232,1,AE$4-Assumptions!$C$78)+INDEX('36-Month Forecast'!$C$229:$AL$229,1,AE$4-Assumptions!$C$78)*'Unit Economics'!$H$58,0)</f>
        <v>126.1018276875</v>
      </c>
      <c r="AF44" s="8" t="n">
        <f aca="false">IF(AF$4-Assumptions!$C$78&gt;=1,INDEX('36-Month Forecast'!$C$232:$AL$232,1,AF$4-Assumptions!$C$78)+INDEX('36-Month Forecast'!$C$229:$AL$229,1,AF$4-Assumptions!$C$78)*'Unit Economics'!$H$58,0)</f>
        <v>119.166227164688</v>
      </c>
      <c r="AG44" s="8" t="n">
        <f aca="false">IF(AG$4-Assumptions!$C$78&gt;=1,INDEX('36-Month Forecast'!$C$232:$AL$232,1,AG$4-Assumptions!$C$78)+INDEX('36-Month Forecast'!$C$229:$AL$229,1,AG$4-Assumptions!$C$78)*'Unit Economics'!$H$58,0)</f>
        <v>166.832718030563</v>
      </c>
      <c r="AH44" s="8" t="n">
        <f aca="false">IF(AH$4-Assumptions!$C$78&gt;=1,INDEX('36-Month Forecast'!$C$232:$AL$232,1,AH$4-Assumptions!$C$78)+INDEX('36-Month Forecast'!$C$229:$AL$229,1,AH$4-Assumptions!$C$78)*'Unit Economics'!$H$58,0)</f>
        <v>183.933071628695</v>
      </c>
      <c r="AI44" s="8" t="n">
        <f aca="false">IF(AI$4-Assumptions!$C$78&gt;=1,INDEX('36-Month Forecast'!$C$232:$AL$232,1,AI$4-Assumptions!$C$78)+INDEX('36-Month Forecast'!$C$229:$AL$229,1,AI$4-Assumptions!$C$78)*'Unit Economics'!$H$58,0)</f>
        <v>174.73641804726</v>
      </c>
      <c r="AJ44" s="8" t="n">
        <f aca="false">IF(AJ$4-Assumptions!$C$78&gt;=1,INDEX('36-Month Forecast'!$C$232:$AL$232,1,AJ$4-Assumptions!$C$78)+INDEX('36-Month Forecast'!$C$229:$AL$229,1,AJ$4-Assumptions!$C$78)*'Unit Economics'!$H$58,0)</f>
        <v>193.12972521013</v>
      </c>
      <c r="AK44" s="8" t="n">
        <f aca="false">IF(AK$4-Assumptions!$C$78&gt;=1,INDEX('36-Month Forecast'!$C$232:$AL$232,1,AK$4-Assumptions!$C$78)+INDEX('36-Month Forecast'!$C$229:$AL$229,1,AK$4-Assumptions!$C$78)*'Unit Economics'!$H$58,0)</f>
        <v>192.646900897105</v>
      </c>
      <c r="AL44" s="8" t="n">
        <f aca="false">IF(AL$4-Assumptions!$C$78&gt;=1,INDEX('36-Month Forecast'!$C$232:$AL$232,1,AL$4-Assumptions!$C$78)+INDEX('36-Month Forecast'!$C$229:$AL$229,1,AL$4-Assumptions!$C$78)*'Unit Economics'!$H$58,0)</f>
        <v>180.986693737543</v>
      </c>
      <c r="AM44" s="45" t="n">
        <f aca="false">SUMIF($C$6:$AL$6,1,C44:AL44)</f>
        <v>0</v>
      </c>
      <c r="AN44" s="45" t="n">
        <f aca="false">SUMIF($C$6:$AL$6,2,C44:AL44)</f>
        <v>0</v>
      </c>
      <c r="AO44" s="45" t="n">
        <f aca="false">SUMIF($C$6:$AL$6,3,C44:AL44)</f>
        <v>1514.98571919098</v>
      </c>
      <c r="AP44" s="45" t="n">
        <f aca="false">SUM(C44:AL44)</f>
        <v>1514.98571919098</v>
      </c>
    </row>
    <row r="45" customFormat="false" ht="15" hidden="false" customHeight="false" outlineLevel="0" collapsed="false">
      <c r="A45" s="10" t="s">
        <v>819</v>
      </c>
      <c r="C45" s="17" t="n">
        <f aca="false">SUM(C36:C44)</f>
        <v>36.2871113129464</v>
      </c>
      <c r="D45" s="17" t="n">
        <f aca="false">SUM(D36:D44)</f>
        <v>111.229545414</v>
      </c>
      <c r="E45" s="17" t="n">
        <f aca="false">SUM(E36:E44)</f>
        <v>194.05277615304</v>
      </c>
      <c r="F45" s="17" t="n">
        <f aca="false">SUM(F36:F44)</f>
        <v>293.361046400923</v>
      </c>
      <c r="G45" s="17" t="n">
        <f aca="false">SUM(G36:G44)</f>
        <v>363.282108050359</v>
      </c>
      <c r="H45" s="17" t="n">
        <f aca="false">SUM(H36:H44)</f>
        <v>561.573750366212</v>
      </c>
      <c r="I45" s="17" t="n">
        <f aca="false">SUM(I36:I44)</f>
        <v>665.461079654495</v>
      </c>
      <c r="J45" s="17" t="n">
        <f aca="false">SUM(J36:J44)</f>
        <v>773.580914804487</v>
      </c>
      <c r="K45" s="17" t="n">
        <f aca="false">SUM(K36:K44)</f>
        <v>984.545512460458</v>
      </c>
      <c r="L45" s="17" t="n">
        <f aca="false">SUM(L36:L44)</f>
        <v>1040.94830516441</v>
      </c>
      <c r="M45" s="17" t="n">
        <f aca="false">SUM(M36:M44)</f>
        <v>1091.41671650729</v>
      </c>
      <c r="N45" s="17" t="n">
        <f aca="false">SUM(N36:N44)</f>
        <v>1189.72371841484</v>
      </c>
      <c r="O45" s="17" t="n">
        <f aca="false">SUM(O36:O44)</f>
        <v>1324.44414698211</v>
      </c>
      <c r="P45" s="17" t="n">
        <f aca="false">SUM(P36:P44)</f>
        <v>1812.75099689385</v>
      </c>
      <c r="Q45" s="17" t="n">
        <f aca="false">SUM(Q36:Q44)</f>
        <v>2044.4024468187</v>
      </c>
      <c r="R45" s="17" t="n">
        <f aca="false">SUM(R36:R44)</f>
        <v>2232.68690127686</v>
      </c>
      <c r="S45" s="17" t="n">
        <f aca="false">SUM(S36:S44)</f>
        <v>2047.00972698152</v>
      </c>
      <c r="T45" s="17" t="n">
        <f aca="false">SUM(T36:T44)</f>
        <v>2243.90817128881</v>
      </c>
      <c r="U45" s="17" t="n">
        <f aca="false">SUM(U36:U44)</f>
        <v>2254.66124930823</v>
      </c>
      <c r="V45" s="17" t="n">
        <f aca="false">SUM(V36:V44)</f>
        <v>2256.10448529022</v>
      </c>
      <c r="W45" s="17" t="n">
        <f aca="false">SUM(W36:W44)</f>
        <v>2421.92673842102</v>
      </c>
      <c r="X45" s="17" t="n">
        <f aca="false">SUM(X36:X44)</f>
        <v>2304.6364269108</v>
      </c>
      <c r="Y45" s="17" t="n">
        <f aca="false">SUM(Y36:Y44)</f>
        <v>2352.66846529048</v>
      </c>
      <c r="Z45" s="17" t="n">
        <f aca="false">SUM(Z36:Z44)</f>
        <v>2680.85840713434</v>
      </c>
      <c r="AA45" s="17" t="n">
        <f aca="false">SUM(AA36:AA44)</f>
        <v>2917.7643365811</v>
      </c>
      <c r="AB45" s="17" t="n">
        <f aca="false">SUM(AB36:AB44)</f>
        <v>3599.62565144578</v>
      </c>
      <c r="AC45" s="17" t="n">
        <f aca="false">SUM(AC36:AC44)</f>
        <v>3835.72260157608</v>
      </c>
      <c r="AD45" s="17" t="n">
        <f aca="false">SUM(AD36:AD44)</f>
        <v>3950.93470011751</v>
      </c>
      <c r="AE45" s="17" t="n">
        <f aca="false">SUM(AE36:AE44)</f>
        <v>3591.17099228303</v>
      </c>
      <c r="AF45" s="17" t="n">
        <f aca="false">SUM(AF36:AF44)</f>
        <v>3750.03025882954</v>
      </c>
      <c r="AG45" s="17" t="n">
        <f aca="false">SUM(AG36:AG44)</f>
        <v>3685.69697362528</v>
      </c>
      <c r="AH45" s="17" t="n">
        <f aca="false">SUM(AH36:AH44)</f>
        <v>3607.33754505107</v>
      </c>
      <c r="AI45" s="17" t="n">
        <f aca="false">SUM(AI36:AI44)</f>
        <v>3751.06230132478</v>
      </c>
      <c r="AJ45" s="17" t="n">
        <f aca="false">SUM(AJ36:AJ44)</f>
        <v>3505.83413030841</v>
      </c>
      <c r="AK45" s="17" t="n">
        <f aca="false">SUM(AK36:AK44)</f>
        <v>3494.48518124592</v>
      </c>
      <c r="AL45" s="17" t="n">
        <f aca="false">SUM(AL36:AL44)</f>
        <v>3877.97060024139</v>
      </c>
      <c r="AM45" s="45" t="n">
        <f aca="false">SUMIF($C$6:$AL$6,1,C45:AL45)</f>
        <v>7305.46258470347</v>
      </c>
      <c r="AN45" s="45" t="n">
        <f aca="false">SUMIF($C$6:$AL$6,2,C45:AL45)</f>
        <v>25976.058162597</v>
      </c>
      <c r="AO45" s="45" t="n">
        <f aca="false">SUMIF($C$6:$AL$6,3,C45:AL45)</f>
        <v>43567.6352726299</v>
      </c>
      <c r="AP45" s="45" t="n">
        <f aca="false">SUM(C45:AL45)</f>
        <v>76849.1560199303</v>
      </c>
    </row>
    <row r="46" customFormat="false" ht="15" hidden="false" customHeight="false" outlineLevel="0" collapsed="false">
      <c r="A46" s="7" t="s">
        <v>820</v>
      </c>
      <c r="C46" s="8" t="n">
        <f aca="false">Assumptions!$C$16</f>
        <v>0</v>
      </c>
      <c r="D46" s="17" t="n">
        <f aca="false">0</f>
        <v>0</v>
      </c>
      <c r="E46" s="17" t="n">
        <f aca="false">0</f>
        <v>0</v>
      </c>
      <c r="F46" s="17" t="n">
        <f aca="false">0</f>
        <v>0</v>
      </c>
      <c r="G46" s="17" t="n">
        <f aca="false">0</f>
        <v>0</v>
      </c>
      <c r="H46" s="17" t="n">
        <f aca="false">0</f>
        <v>0</v>
      </c>
      <c r="I46" s="17" t="n">
        <f aca="false">0</f>
        <v>0</v>
      </c>
      <c r="J46" s="17" t="n">
        <f aca="false">0</f>
        <v>0</v>
      </c>
      <c r="K46" s="17" t="n">
        <f aca="false">0</f>
        <v>0</v>
      </c>
      <c r="L46" s="17" t="n">
        <f aca="false">0</f>
        <v>0</v>
      </c>
      <c r="M46" s="17" t="n">
        <f aca="false">0</f>
        <v>0</v>
      </c>
      <c r="N46" s="17" t="n">
        <f aca="false">0</f>
        <v>0</v>
      </c>
      <c r="O46" s="17" t="n">
        <f aca="false">0</f>
        <v>0</v>
      </c>
      <c r="P46" s="17" t="n">
        <f aca="false">0</f>
        <v>0</v>
      </c>
      <c r="Q46" s="17" t="n">
        <f aca="false">0</f>
        <v>0</v>
      </c>
      <c r="R46" s="17" t="n">
        <f aca="false">0</f>
        <v>0</v>
      </c>
      <c r="S46" s="17" t="n">
        <f aca="false">0</f>
        <v>0</v>
      </c>
      <c r="T46" s="17" t="n">
        <f aca="false">0</f>
        <v>0</v>
      </c>
      <c r="U46" s="17" t="n">
        <f aca="false">0</f>
        <v>0</v>
      </c>
      <c r="V46" s="17" t="n">
        <f aca="false">0</f>
        <v>0</v>
      </c>
      <c r="W46" s="17" t="n">
        <f aca="false">0</f>
        <v>0</v>
      </c>
      <c r="X46" s="17" t="n">
        <f aca="false">0</f>
        <v>0</v>
      </c>
      <c r="Y46" s="17" t="n">
        <f aca="false">0</f>
        <v>0</v>
      </c>
      <c r="Z46" s="17" t="n">
        <f aca="false">0</f>
        <v>0</v>
      </c>
      <c r="AA46" s="17" t="n">
        <f aca="false">0</f>
        <v>0</v>
      </c>
      <c r="AB46" s="17" t="n">
        <f aca="false">0</f>
        <v>0</v>
      </c>
      <c r="AC46" s="17" t="n">
        <f aca="false">0</f>
        <v>0</v>
      </c>
      <c r="AD46" s="17" t="n">
        <f aca="false">0</f>
        <v>0</v>
      </c>
      <c r="AE46" s="17" t="n">
        <f aca="false">0</f>
        <v>0</v>
      </c>
      <c r="AF46" s="17" t="n">
        <f aca="false">0</f>
        <v>0</v>
      </c>
      <c r="AG46" s="17" t="n">
        <f aca="false">0</f>
        <v>0</v>
      </c>
      <c r="AH46" s="17" t="n">
        <f aca="false">0</f>
        <v>0</v>
      </c>
      <c r="AI46" s="17" t="n">
        <f aca="false">0</f>
        <v>0</v>
      </c>
      <c r="AJ46" s="17" t="n">
        <f aca="false">0</f>
        <v>0</v>
      </c>
      <c r="AK46" s="17" t="n">
        <f aca="false">0</f>
        <v>0</v>
      </c>
      <c r="AL46" s="17" t="n">
        <f aca="false">0</f>
        <v>0</v>
      </c>
      <c r="AM46" s="45" t="n">
        <f aca="false">SUMIF($C$6:$AL$6,1,C46:AL46)</f>
        <v>0</v>
      </c>
      <c r="AN46" s="45" t="n">
        <f aca="false">SUMIF($C$6:$AL$6,2,C46:AL46)</f>
        <v>0</v>
      </c>
      <c r="AO46" s="45" t="n">
        <f aca="false">SUMIF($C$6:$AL$6,3,C46:AL46)</f>
        <v>0</v>
      </c>
      <c r="AP46" s="45" t="n">
        <f aca="false">SUM(C46:AL46)</f>
        <v>0</v>
      </c>
    </row>
    <row r="47" customFormat="false" ht="15" hidden="false" customHeight="false" outlineLevel="0" collapsed="false">
      <c r="A47" s="7" t="s">
        <v>821</v>
      </c>
      <c r="C47" s="8" t="n">
        <f aca="false">-'36-Month Forecast'!C257</f>
        <v>-0</v>
      </c>
      <c r="D47" s="8" t="n">
        <f aca="false">-'36-Month Forecast'!D257</f>
        <v>-0</v>
      </c>
      <c r="E47" s="8" t="n">
        <f aca="false">-'36-Month Forecast'!E257</f>
        <v>-0</v>
      </c>
      <c r="F47" s="8" t="n">
        <f aca="false">-'36-Month Forecast'!F257</f>
        <v>-0</v>
      </c>
      <c r="G47" s="8" t="n">
        <f aca="false">-'36-Month Forecast'!G257</f>
        <v>-0</v>
      </c>
      <c r="H47" s="8" t="n">
        <f aca="false">-'36-Month Forecast'!H257</f>
        <v>-0</v>
      </c>
      <c r="I47" s="8" t="n">
        <f aca="false">-'36-Month Forecast'!I257</f>
        <v>-0</v>
      </c>
      <c r="J47" s="8" t="n">
        <f aca="false">-'36-Month Forecast'!J257</f>
        <v>-3625</v>
      </c>
      <c r="K47" s="8" t="n">
        <f aca="false">-'36-Month Forecast'!K257</f>
        <v>-0</v>
      </c>
      <c r="L47" s="8" t="n">
        <f aca="false">-'36-Month Forecast'!L257</f>
        <v>-0</v>
      </c>
      <c r="M47" s="8" t="n">
        <f aca="false">-'36-Month Forecast'!M257</f>
        <v>-0</v>
      </c>
      <c r="N47" s="8" t="n">
        <f aca="false">-'36-Month Forecast'!N257</f>
        <v>-0</v>
      </c>
      <c r="O47" s="8" t="n">
        <f aca="false">-'36-Month Forecast'!O257</f>
        <v>-0</v>
      </c>
      <c r="P47" s="8" t="n">
        <f aca="false">-'36-Month Forecast'!P257</f>
        <v>-0</v>
      </c>
      <c r="Q47" s="8" t="n">
        <f aca="false">-'36-Month Forecast'!Q257</f>
        <v>-0</v>
      </c>
      <c r="R47" s="8" t="n">
        <f aca="false">-'36-Month Forecast'!R257</f>
        <v>-0</v>
      </c>
      <c r="S47" s="8" t="n">
        <f aca="false">-'36-Month Forecast'!S257</f>
        <v>-0</v>
      </c>
      <c r="T47" s="8" t="n">
        <f aca="false">-'36-Month Forecast'!T257</f>
        <v>-0</v>
      </c>
      <c r="U47" s="8" t="n">
        <f aca="false">-'36-Month Forecast'!U257</f>
        <v>-0</v>
      </c>
      <c r="V47" s="8" t="n">
        <f aca="false">-'36-Month Forecast'!V257</f>
        <v>-0</v>
      </c>
      <c r="W47" s="8" t="n">
        <f aca="false">-'36-Month Forecast'!W257</f>
        <v>-0</v>
      </c>
      <c r="X47" s="8" t="n">
        <f aca="false">-'36-Month Forecast'!X257</f>
        <v>-0</v>
      </c>
      <c r="Y47" s="8" t="n">
        <f aca="false">-'36-Month Forecast'!Y257</f>
        <v>-0</v>
      </c>
      <c r="Z47" s="8" t="n">
        <f aca="false">-'36-Month Forecast'!Z257</f>
        <v>-0</v>
      </c>
      <c r="AA47" s="8" t="n">
        <f aca="false">-'36-Month Forecast'!AA257</f>
        <v>-0</v>
      </c>
      <c r="AB47" s="8" t="n">
        <f aca="false">-'36-Month Forecast'!AB257</f>
        <v>-0</v>
      </c>
      <c r="AC47" s="8" t="n">
        <f aca="false">-'36-Month Forecast'!AC257</f>
        <v>-0</v>
      </c>
      <c r="AD47" s="8" t="n">
        <f aca="false">-'36-Month Forecast'!AD257</f>
        <v>-0</v>
      </c>
      <c r="AE47" s="8" t="n">
        <f aca="false">-'36-Month Forecast'!AE257</f>
        <v>-0</v>
      </c>
      <c r="AF47" s="8" t="n">
        <f aca="false">-'36-Month Forecast'!AF257</f>
        <v>-0</v>
      </c>
      <c r="AG47" s="8" t="n">
        <f aca="false">-'36-Month Forecast'!AG257</f>
        <v>-0</v>
      </c>
      <c r="AH47" s="8" t="n">
        <f aca="false">-'36-Month Forecast'!AH257</f>
        <v>-0</v>
      </c>
      <c r="AI47" s="8" t="n">
        <f aca="false">-'36-Month Forecast'!AI257</f>
        <v>-0</v>
      </c>
      <c r="AJ47" s="8" t="n">
        <f aca="false">-'36-Month Forecast'!AJ257</f>
        <v>-0</v>
      </c>
      <c r="AK47" s="8" t="n">
        <f aca="false">-'36-Month Forecast'!AK257</f>
        <v>-0</v>
      </c>
      <c r="AL47" s="8" t="n">
        <f aca="false">-'36-Month Forecast'!AL257</f>
        <v>-0</v>
      </c>
      <c r="AM47" s="45" t="n">
        <f aca="false">SUMIF($C$6:$AL$6,1,C47:AL47)</f>
        <v>-3625</v>
      </c>
      <c r="AN47" s="45" t="n">
        <f aca="false">SUMIF($C$6:$AL$6,2,C47:AL47)</f>
        <v>0</v>
      </c>
      <c r="AO47" s="45" t="n">
        <f aca="false">SUMIF($C$6:$AL$6,3,C47:AL47)</f>
        <v>0</v>
      </c>
      <c r="AP47" s="45" t="n">
        <f aca="false">SUM(C47:AL47)</f>
        <v>-3625</v>
      </c>
    </row>
    <row r="48" customFormat="false" ht="15" hidden="false" customHeight="false" outlineLevel="0" collapsed="false">
      <c r="A48" s="7" t="s">
        <v>788</v>
      </c>
      <c r="C48" s="8" t="n">
        <f aca="false">-'36-Month Forecast'!C245</f>
        <v>-0</v>
      </c>
      <c r="D48" s="8" t="n">
        <f aca="false">-'36-Month Forecast'!D245</f>
        <v>-150</v>
      </c>
      <c r="E48" s="8" t="n">
        <f aca="false">-'36-Month Forecast'!E245</f>
        <v>-150</v>
      </c>
      <c r="F48" s="8" t="n">
        <f aca="false">-'36-Month Forecast'!F245</f>
        <v>-150</v>
      </c>
      <c r="G48" s="8" t="n">
        <f aca="false">-'36-Month Forecast'!G245</f>
        <v>-150</v>
      </c>
      <c r="H48" s="8" t="n">
        <f aca="false">-'36-Month Forecast'!H245</f>
        <v>-150</v>
      </c>
      <c r="I48" s="8" t="n">
        <f aca="false">-'36-Month Forecast'!I245</f>
        <v>-150</v>
      </c>
      <c r="J48" s="8" t="n">
        <f aca="false">-'36-Month Forecast'!J245</f>
        <v>-150</v>
      </c>
      <c r="K48" s="8" t="n">
        <f aca="false">-'36-Month Forecast'!K245</f>
        <v>-150</v>
      </c>
      <c r="L48" s="8" t="n">
        <f aca="false">-'36-Month Forecast'!L245</f>
        <v>-150</v>
      </c>
      <c r="M48" s="8" t="n">
        <f aca="false">-'36-Month Forecast'!M245</f>
        <v>-150</v>
      </c>
      <c r="N48" s="8" t="n">
        <f aca="false">-'36-Month Forecast'!N245</f>
        <v>-150</v>
      </c>
      <c r="O48" s="8" t="n">
        <f aca="false">-'36-Month Forecast'!O245</f>
        <v>-300</v>
      </c>
      <c r="P48" s="8" t="n">
        <f aca="false">-'36-Month Forecast'!P245</f>
        <v>-300</v>
      </c>
      <c r="Q48" s="8" t="n">
        <f aca="false">-'36-Month Forecast'!Q245</f>
        <v>-300</v>
      </c>
      <c r="R48" s="8" t="n">
        <f aca="false">-'36-Month Forecast'!R245</f>
        <v>-300</v>
      </c>
      <c r="S48" s="8" t="n">
        <f aca="false">-'36-Month Forecast'!S245</f>
        <v>-300</v>
      </c>
      <c r="T48" s="8" t="n">
        <f aca="false">-'36-Month Forecast'!T245</f>
        <v>-300</v>
      </c>
      <c r="U48" s="8" t="n">
        <f aca="false">-'36-Month Forecast'!U245</f>
        <v>-300</v>
      </c>
      <c r="V48" s="8" t="n">
        <f aca="false">-'36-Month Forecast'!V245</f>
        <v>-300</v>
      </c>
      <c r="W48" s="8" t="n">
        <f aca="false">-'36-Month Forecast'!W245</f>
        <v>-300</v>
      </c>
      <c r="X48" s="8" t="n">
        <f aca="false">-'36-Month Forecast'!X245</f>
        <v>-300</v>
      </c>
      <c r="Y48" s="8" t="n">
        <f aca="false">-'36-Month Forecast'!Y245</f>
        <v>-300</v>
      </c>
      <c r="Z48" s="8" t="n">
        <f aca="false">-'36-Month Forecast'!Z245</f>
        <v>-300</v>
      </c>
      <c r="AA48" s="8" t="n">
        <f aca="false">-'36-Month Forecast'!AA245</f>
        <v>-450</v>
      </c>
      <c r="AB48" s="8" t="n">
        <f aca="false">-'36-Month Forecast'!AB245</f>
        <v>-450</v>
      </c>
      <c r="AC48" s="8" t="n">
        <f aca="false">-'36-Month Forecast'!AC245</f>
        <v>-450</v>
      </c>
      <c r="AD48" s="8" t="n">
        <f aca="false">-'36-Month Forecast'!AD245</f>
        <v>-450</v>
      </c>
      <c r="AE48" s="8" t="n">
        <f aca="false">-'36-Month Forecast'!AE245</f>
        <v>-450</v>
      </c>
      <c r="AF48" s="8" t="n">
        <f aca="false">-'36-Month Forecast'!AF245</f>
        <v>-450</v>
      </c>
      <c r="AG48" s="8" t="n">
        <f aca="false">-'36-Month Forecast'!AG245</f>
        <v>-450</v>
      </c>
      <c r="AH48" s="8" t="n">
        <f aca="false">-'36-Month Forecast'!AH245</f>
        <v>-450</v>
      </c>
      <c r="AI48" s="8" t="n">
        <f aca="false">-'36-Month Forecast'!AI245</f>
        <v>-450</v>
      </c>
      <c r="AJ48" s="8" t="n">
        <f aca="false">-'36-Month Forecast'!AJ245</f>
        <v>-450</v>
      </c>
      <c r="AK48" s="8" t="n">
        <f aca="false">-'36-Month Forecast'!AK245</f>
        <v>-450</v>
      </c>
      <c r="AL48" s="8" t="n">
        <f aca="false">-'36-Month Forecast'!AL245</f>
        <v>-450</v>
      </c>
      <c r="AM48" s="45" t="n">
        <f aca="false">SUMIF($C$6:$AL$6,1,C48:AL48)</f>
        <v>-1650</v>
      </c>
      <c r="AN48" s="45" t="n">
        <f aca="false">SUMIF($C$6:$AL$6,2,C48:AL48)</f>
        <v>-3600</v>
      </c>
      <c r="AO48" s="45" t="n">
        <f aca="false">SUMIF($C$6:$AL$6,3,C48:AL48)</f>
        <v>-5400</v>
      </c>
      <c r="AP48" s="45" t="n">
        <f aca="false">SUM(C48:AL48)</f>
        <v>-10650</v>
      </c>
    </row>
    <row r="49" customFormat="false" ht="15" hidden="false" customHeight="false" outlineLevel="0" collapsed="false">
      <c r="A49" s="7" t="s">
        <v>822</v>
      </c>
      <c r="C49" s="8" t="n">
        <f aca="false">-'36-Month Forecast'!C246</f>
        <v>-1237.3185</v>
      </c>
      <c r="D49" s="8" t="n">
        <f aca="false">-'36-Month Forecast'!D246</f>
        <v>-735.7185</v>
      </c>
      <c r="E49" s="8" t="n">
        <f aca="false">-'36-Month Forecast'!E246</f>
        <v>-814.3685</v>
      </c>
      <c r="F49" s="8" t="n">
        <f aca="false">-'36-Month Forecast'!F246</f>
        <v>-1226.8685</v>
      </c>
      <c r="G49" s="8" t="n">
        <f aca="false">-'36-Month Forecast'!G246</f>
        <v>-944.1685</v>
      </c>
      <c r="H49" s="8" t="n">
        <f aca="false">-'36-Month Forecast'!H246</f>
        <v>-814.3685</v>
      </c>
      <c r="I49" s="8" t="n">
        <f aca="false">-'36-Month Forecast'!I246</f>
        <v>-2244.3685</v>
      </c>
      <c r="J49" s="8" t="n">
        <f aca="false">-'36-Month Forecast'!J246</f>
        <v>-814.3685</v>
      </c>
      <c r="K49" s="8" t="n">
        <f aca="false">-'36-Month Forecast'!K246</f>
        <v>-814.3685</v>
      </c>
      <c r="L49" s="8" t="n">
        <f aca="false">-'36-Month Forecast'!L246</f>
        <v>-814.3685</v>
      </c>
      <c r="M49" s="8" t="n">
        <f aca="false">-'36-Month Forecast'!M246</f>
        <v>-814.3685</v>
      </c>
      <c r="N49" s="8" t="n">
        <f aca="false">-'36-Month Forecast'!N246</f>
        <v>-814.3685</v>
      </c>
      <c r="O49" s="8" t="n">
        <f aca="false">-'36-Month Forecast'!O246</f>
        <v>-1667.4185</v>
      </c>
      <c r="P49" s="8" t="n">
        <f aca="false">-'36-Month Forecast'!P246</f>
        <v>-835.8185</v>
      </c>
      <c r="Q49" s="8" t="n">
        <f aca="false">-'36-Month Forecast'!Q246</f>
        <v>-835.8185</v>
      </c>
      <c r="R49" s="8" t="n">
        <f aca="false">-'36-Month Forecast'!R246</f>
        <v>-1248.3185</v>
      </c>
      <c r="S49" s="8" t="n">
        <f aca="false">-'36-Month Forecast'!S246</f>
        <v>-965.6185</v>
      </c>
      <c r="T49" s="8" t="n">
        <f aca="false">-'36-Month Forecast'!T246</f>
        <v>-835.8185</v>
      </c>
      <c r="U49" s="8" t="n">
        <f aca="false">-'36-Month Forecast'!U246</f>
        <v>-2265.8185</v>
      </c>
      <c r="V49" s="8" t="n">
        <f aca="false">-'36-Month Forecast'!V246</f>
        <v>-835.8185</v>
      </c>
      <c r="W49" s="8" t="n">
        <f aca="false">-'36-Month Forecast'!W246</f>
        <v>-835.8185</v>
      </c>
      <c r="X49" s="8" t="n">
        <f aca="false">-'36-Month Forecast'!X246</f>
        <v>-835.8185</v>
      </c>
      <c r="Y49" s="8" t="n">
        <f aca="false">-'36-Month Forecast'!Y246</f>
        <v>-835.8185</v>
      </c>
      <c r="Z49" s="8" t="n">
        <f aca="false">-'36-Month Forecast'!Z246</f>
        <v>-835.8185</v>
      </c>
      <c r="AA49" s="8" t="n">
        <f aca="false">-'36-Month Forecast'!AA246</f>
        <v>-1667.4185</v>
      </c>
      <c r="AB49" s="8" t="n">
        <f aca="false">-'36-Month Forecast'!AB246</f>
        <v>-835.8185</v>
      </c>
      <c r="AC49" s="8" t="n">
        <f aca="false">-'36-Month Forecast'!AC246</f>
        <v>-835.8185</v>
      </c>
      <c r="AD49" s="8" t="n">
        <f aca="false">-'36-Month Forecast'!AD246</f>
        <v>-1248.3185</v>
      </c>
      <c r="AE49" s="8" t="n">
        <f aca="false">-'36-Month Forecast'!AE246</f>
        <v>-965.6185</v>
      </c>
      <c r="AF49" s="8" t="n">
        <f aca="false">-'36-Month Forecast'!AF246</f>
        <v>-835.8185</v>
      </c>
      <c r="AG49" s="8" t="n">
        <f aca="false">-'36-Month Forecast'!AG246</f>
        <v>-2265.8185</v>
      </c>
      <c r="AH49" s="8" t="n">
        <f aca="false">-'36-Month Forecast'!AH246</f>
        <v>-835.8185</v>
      </c>
      <c r="AI49" s="8" t="n">
        <f aca="false">-'36-Month Forecast'!AI246</f>
        <v>-835.8185</v>
      </c>
      <c r="AJ49" s="8" t="n">
        <f aca="false">-'36-Month Forecast'!AJ246</f>
        <v>-835.8185</v>
      </c>
      <c r="AK49" s="8" t="n">
        <f aca="false">-'36-Month Forecast'!AK246</f>
        <v>-835.8185</v>
      </c>
      <c r="AL49" s="8" t="n">
        <f aca="false">-'36-Month Forecast'!AL246</f>
        <v>-835.8185</v>
      </c>
      <c r="AM49" s="45" t="n">
        <f aca="false">SUMIF($C$6:$AL$6,1,C49:AL49)</f>
        <v>-12089.022</v>
      </c>
      <c r="AN49" s="45" t="n">
        <f aca="false">SUMIF($C$6:$AL$6,2,C49:AL49)</f>
        <v>-12833.722</v>
      </c>
      <c r="AO49" s="45" t="n">
        <f aca="false">SUMIF($C$6:$AL$6,3,C49:AL49)</f>
        <v>-12833.722</v>
      </c>
      <c r="AP49" s="45" t="n">
        <f aca="false">SUM(C49:AL49)</f>
        <v>-37756.466</v>
      </c>
    </row>
    <row r="50" customFormat="false" ht="15" hidden="false" customHeight="false" outlineLevel="0" collapsed="false">
      <c r="A50" s="7" t="s">
        <v>823</v>
      </c>
      <c r="C50" s="8" t="n">
        <f aca="false">-'36-Month Forecast'!C247</f>
        <v>-0</v>
      </c>
      <c r="D50" s="8" t="n">
        <f aca="false">-'36-Month Forecast'!D247</f>
        <v>-0</v>
      </c>
      <c r="E50" s="8" t="n">
        <f aca="false">-'36-Month Forecast'!E247</f>
        <v>-0</v>
      </c>
      <c r="F50" s="8" t="n">
        <f aca="false">-'36-Month Forecast'!F247</f>
        <v>-0</v>
      </c>
      <c r="G50" s="8" t="n">
        <f aca="false">-'36-Month Forecast'!G247</f>
        <v>-0</v>
      </c>
      <c r="H50" s="8" t="n">
        <f aca="false">-'36-Month Forecast'!H247</f>
        <v>-0</v>
      </c>
      <c r="I50" s="8" t="n">
        <f aca="false">-'36-Month Forecast'!I247</f>
        <v>-0</v>
      </c>
      <c r="J50" s="8" t="n">
        <f aca="false">-'36-Month Forecast'!J247</f>
        <v>-139.99</v>
      </c>
      <c r="K50" s="8" t="n">
        <f aca="false">-'36-Month Forecast'!K247</f>
        <v>-139.99</v>
      </c>
      <c r="L50" s="8" t="n">
        <f aca="false">-'36-Month Forecast'!L247</f>
        <v>-139.99</v>
      </c>
      <c r="M50" s="8" t="n">
        <f aca="false">-'36-Month Forecast'!M247</f>
        <v>-139.99</v>
      </c>
      <c r="N50" s="8" t="n">
        <f aca="false">-'36-Month Forecast'!N247</f>
        <v>-139.99</v>
      </c>
      <c r="O50" s="8" t="n">
        <f aca="false">-'36-Month Forecast'!O247</f>
        <v>-139.99</v>
      </c>
      <c r="P50" s="8" t="n">
        <f aca="false">-'36-Month Forecast'!P247</f>
        <v>-139.99</v>
      </c>
      <c r="Q50" s="8" t="n">
        <f aca="false">-'36-Month Forecast'!Q247</f>
        <v>-139.99</v>
      </c>
      <c r="R50" s="8" t="n">
        <f aca="false">-'36-Month Forecast'!R247</f>
        <v>-139.99</v>
      </c>
      <c r="S50" s="8" t="n">
        <f aca="false">-'36-Month Forecast'!S247</f>
        <v>-139.99</v>
      </c>
      <c r="T50" s="8" t="n">
        <f aca="false">-'36-Month Forecast'!T247</f>
        <v>-139.99</v>
      </c>
      <c r="U50" s="8" t="n">
        <f aca="false">-'36-Month Forecast'!U247</f>
        <v>-139.99</v>
      </c>
      <c r="V50" s="8" t="n">
        <f aca="false">-'36-Month Forecast'!V247</f>
        <v>-139.99</v>
      </c>
      <c r="W50" s="8" t="n">
        <f aca="false">-'36-Month Forecast'!W247</f>
        <v>-139.99</v>
      </c>
      <c r="X50" s="8" t="n">
        <f aca="false">-'36-Month Forecast'!X247</f>
        <v>-139.99</v>
      </c>
      <c r="Y50" s="8" t="n">
        <f aca="false">-'36-Month Forecast'!Y247</f>
        <v>-139.99</v>
      </c>
      <c r="Z50" s="8" t="n">
        <f aca="false">-'36-Month Forecast'!Z247</f>
        <v>-139.99</v>
      </c>
      <c r="AA50" s="8" t="n">
        <f aca="false">-'36-Month Forecast'!AA247</f>
        <v>-498.49</v>
      </c>
      <c r="AB50" s="8" t="n">
        <f aca="false">-'36-Month Forecast'!AB247</f>
        <v>-498.49</v>
      </c>
      <c r="AC50" s="8" t="n">
        <f aca="false">-'36-Month Forecast'!AC247</f>
        <v>-498.49</v>
      </c>
      <c r="AD50" s="8" t="n">
        <f aca="false">-'36-Month Forecast'!AD247</f>
        <v>-498.49</v>
      </c>
      <c r="AE50" s="8" t="n">
        <f aca="false">-'36-Month Forecast'!AE247</f>
        <v>-498.49</v>
      </c>
      <c r="AF50" s="8" t="n">
        <f aca="false">-'36-Month Forecast'!AF247</f>
        <v>-498.49</v>
      </c>
      <c r="AG50" s="8" t="n">
        <f aca="false">-'36-Month Forecast'!AG247</f>
        <v>-498.49</v>
      </c>
      <c r="AH50" s="8" t="n">
        <f aca="false">-'36-Month Forecast'!AH247</f>
        <v>-498.49</v>
      </c>
      <c r="AI50" s="8" t="n">
        <f aca="false">-'36-Month Forecast'!AI247</f>
        <v>-498.49</v>
      </c>
      <c r="AJ50" s="8" t="n">
        <f aca="false">-'36-Month Forecast'!AJ247</f>
        <v>-498.49</v>
      </c>
      <c r="AK50" s="8" t="n">
        <f aca="false">-'36-Month Forecast'!AK247</f>
        <v>-498.49</v>
      </c>
      <c r="AL50" s="8" t="n">
        <f aca="false">-'36-Month Forecast'!AL247</f>
        <v>-498.49</v>
      </c>
      <c r="AM50" s="45" t="n">
        <f aca="false">SUMIF($C$6:$AL$6,1,C50:AL50)</f>
        <v>-699.95</v>
      </c>
      <c r="AN50" s="45" t="n">
        <f aca="false">SUMIF($C$6:$AL$6,2,C50:AL50)</f>
        <v>-1679.88</v>
      </c>
      <c r="AO50" s="45" t="n">
        <f aca="false">SUMIF($C$6:$AL$6,3,C50:AL50)</f>
        <v>-5981.88</v>
      </c>
      <c r="AP50" s="45" t="n">
        <f aca="false">SUM(C50:AL50)</f>
        <v>-8361.71</v>
      </c>
    </row>
    <row r="51" customFormat="false" ht="15" hidden="false" customHeight="false" outlineLevel="0" collapsed="false">
      <c r="A51" s="7" t="s">
        <v>824</v>
      </c>
      <c r="C51" s="8" t="n">
        <f aca="false">-'36-Month Forecast'!C249</f>
        <v>-4253.5</v>
      </c>
      <c r="D51" s="8" t="n">
        <f aca="false">-'36-Month Forecast'!D249</f>
        <v>-1420</v>
      </c>
      <c r="E51" s="8" t="n">
        <f aca="false">-'36-Month Forecast'!E249</f>
        <v>-1975</v>
      </c>
      <c r="F51" s="8" t="n">
        <f aca="false">-'36-Month Forecast'!F249</f>
        <v>-650</v>
      </c>
      <c r="G51" s="8" t="n">
        <f aca="false">-'36-Month Forecast'!G249</f>
        <v>-1037.5</v>
      </c>
      <c r="H51" s="8" t="n">
        <f aca="false">-'36-Month Forecast'!H249</f>
        <v>-4250</v>
      </c>
      <c r="I51" s="8" t="n">
        <f aca="false">-'36-Month Forecast'!I249</f>
        <v>-5250</v>
      </c>
      <c r="J51" s="8" t="n">
        <f aca="false">-'36-Month Forecast'!J249</f>
        <v>-0</v>
      </c>
      <c r="K51" s="8" t="n">
        <f aca="false">-'36-Month Forecast'!K249</f>
        <v>-687.5</v>
      </c>
      <c r="L51" s="8" t="n">
        <f aca="false">-'36-Month Forecast'!L249</f>
        <v>-262.5</v>
      </c>
      <c r="M51" s="8" t="n">
        <f aca="false">-'36-Month Forecast'!M249</f>
        <v>-0</v>
      </c>
      <c r="N51" s="8" t="n">
        <f aca="false">-'36-Month Forecast'!N249</f>
        <v>-0</v>
      </c>
      <c r="O51" s="8" t="n">
        <f aca="false">-'36-Month Forecast'!O249</f>
        <v>-0</v>
      </c>
      <c r="P51" s="8" t="n">
        <f aca="false">-'36-Month Forecast'!P249</f>
        <v>-0</v>
      </c>
      <c r="Q51" s="8" t="n">
        <f aca="false">-'36-Month Forecast'!Q249</f>
        <v>-0</v>
      </c>
      <c r="R51" s="8" t="n">
        <f aca="false">-'36-Month Forecast'!R249</f>
        <v>-0</v>
      </c>
      <c r="S51" s="8" t="n">
        <f aca="false">-'36-Month Forecast'!S249</f>
        <v>-0</v>
      </c>
      <c r="T51" s="8" t="n">
        <f aca="false">-'36-Month Forecast'!T249</f>
        <v>-0</v>
      </c>
      <c r="U51" s="8" t="n">
        <f aca="false">-'36-Month Forecast'!U249</f>
        <v>-0</v>
      </c>
      <c r="V51" s="8" t="n">
        <f aca="false">-'36-Month Forecast'!V249</f>
        <v>-0</v>
      </c>
      <c r="W51" s="8" t="n">
        <f aca="false">-'36-Month Forecast'!W249</f>
        <v>-0</v>
      </c>
      <c r="X51" s="8" t="n">
        <f aca="false">-'36-Month Forecast'!X249</f>
        <v>-0</v>
      </c>
      <c r="Y51" s="8" t="n">
        <f aca="false">-'36-Month Forecast'!Y249</f>
        <v>-0</v>
      </c>
      <c r="Z51" s="8" t="n">
        <f aca="false">-'36-Month Forecast'!Z249</f>
        <v>-0</v>
      </c>
      <c r="AA51" s="8" t="n">
        <f aca="false">-'36-Month Forecast'!AA249</f>
        <v>-0</v>
      </c>
      <c r="AB51" s="8" t="n">
        <f aca="false">-'36-Month Forecast'!AB249</f>
        <v>-0</v>
      </c>
      <c r="AC51" s="8" t="n">
        <f aca="false">-'36-Month Forecast'!AC249</f>
        <v>-0</v>
      </c>
      <c r="AD51" s="8" t="n">
        <f aca="false">-'36-Month Forecast'!AD249</f>
        <v>-0</v>
      </c>
      <c r="AE51" s="8" t="n">
        <f aca="false">-'36-Month Forecast'!AE249</f>
        <v>-0</v>
      </c>
      <c r="AF51" s="8" t="n">
        <f aca="false">-'36-Month Forecast'!AF249</f>
        <v>-0</v>
      </c>
      <c r="AG51" s="8" t="n">
        <f aca="false">-'36-Month Forecast'!AG249</f>
        <v>-0</v>
      </c>
      <c r="AH51" s="8" t="n">
        <f aca="false">-'36-Month Forecast'!AH249</f>
        <v>-0</v>
      </c>
      <c r="AI51" s="8" t="n">
        <f aca="false">-'36-Month Forecast'!AI249</f>
        <v>-0</v>
      </c>
      <c r="AJ51" s="8" t="n">
        <f aca="false">-'36-Month Forecast'!AJ249</f>
        <v>-0</v>
      </c>
      <c r="AK51" s="8" t="n">
        <f aca="false">-'36-Month Forecast'!AK249</f>
        <v>-0</v>
      </c>
      <c r="AL51" s="8" t="n">
        <f aca="false">-'36-Month Forecast'!AL249</f>
        <v>-0</v>
      </c>
      <c r="AM51" s="45" t="n">
        <f aca="false">SUMIF($C$6:$AL$6,1,C51:AL51)</f>
        <v>-19786</v>
      </c>
      <c r="AN51" s="45" t="n">
        <f aca="false">SUMIF($C$6:$AL$6,2,C51:AL51)</f>
        <v>0</v>
      </c>
      <c r="AO51" s="45" t="n">
        <f aca="false">SUMIF($C$6:$AL$6,3,C51:AL51)</f>
        <v>0</v>
      </c>
      <c r="AP51" s="45" t="n">
        <f aca="false">SUM(C51:AL51)</f>
        <v>-19786</v>
      </c>
    </row>
    <row r="52" customFormat="false" ht="15" hidden="false" customHeight="false" outlineLevel="0" collapsed="false">
      <c r="A52" s="7" t="s">
        <v>825</v>
      </c>
      <c r="C52" s="8" t="n">
        <f aca="false">-'36-Month Forecast'!C250</f>
        <v>-0</v>
      </c>
      <c r="D52" s="8" t="n">
        <f aca="false">-'36-Month Forecast'!D250</f>
        <v>-0</v>
      </c>
      <c r="E52" s="8" t="n">
        <f aca="false">-'36-Month Forecast'!E250</f>
        <v>-0</v>
      </c>
      <c r="F52" s="8" t="n">
        <f aca="false">-'36-Month Forecast'!F250</f>
        <v>-0</v>
      </c>
      <c r="G52" s="8" t="n">
        <f aca="false">-'36-Month Forecast'!G250</f>
        <v>-0</v>
      </c>
      <c r="H52" s="8" t="n">
        <f aca="false">-'36-Month Forecast'!H250</f>
        <v>-0</v>
      </c>
      <c r="I52" s="8" t="n">
        <f aca="false">-'36-Month Forecast'!I250</f>
        <v>-0</v>
      </c>
      <c r="J52" s="8" t="n">
        <f aca="false">-'36-Month Forecast'!J250</f>
        <v>-1875</v>
      </c>
      <c r="K52" s="8" t="n">
        <f aca="false">-'36-Month Forecast'!K250</f>
        <v>-0</v>
      </c>
      <c r="L52" s="8" t="n">
        <f aca="false">-'36-Month Forecast'!L250</f>
        <v>-0</v>
      </c>
      <c r="M52" s="8" t="n">
        <f aca="false">-'36-Month Forecast'!M250</f>
        <v>-0</v>
      </c>
      <c r="N52" s="8" t="n">
        <f aca="false">-'36-Month Forecast'!N250</f>
        <v>-0</v>
      </c>
      <c r="O52" s="8" t="n">
        <f aca="false">-'36-Month Forecast'!O250</f>
        <v>-179</v>
      </c>
      <c r="P52" s="8" t="n">
        <f aca="false">-'36-Month Forecast'!P250</f>
        <v>-0</v>
      </c>
      <c r="Q52" s="8" t="n">
        <f aca="false">-'36-Month Forecast'!Q250</f>
        <v>-0</v>
      </c>
      <c r="R52" s="8" t="n">
        <f aca="false">-'36-Month Forecast'!R250</f>
        <v>-0</v>
      </c>
      <c r="S52" s="8" t="n">
        <f aca="false">-'36-Month Forecast'!S250</f>
        <v>-0</v>
      </c>
      <c r="T52" s="8" t="n">
        <f aca="false">-'36-Month Forecast'!T250</f>
        <v>-0</v>
      </c>
      <c r="U52" s="8" t="n">
        <f aca="false">-'36-Month Forecast'!U250</f>
        <v>-0</v>
      </c>
      <c r="V52" s="8" t="n">
        <f aca="false">-'36-Month Forecast'!V250</f>
        <v>-0</v>
      </c>
      <c r="W52" s="8" t="n">
        <f aca="false">-'36-Month Forecast'!W250</f>
        <v>-0</v>
      </c>
      <c r="X52" s="8" t="n">
        <f aca="false">-'36-Month Forecast'!X250</f>
        <v>-5100</v>
      </c>
      <c r="Y52" s="8" t="n">
        <f aca="false">-'36-Month Forecast'!Y250</f>
        <v>-0</v>
      </c>
      <c r="Z52" s="8" t="n">
        <f aca="false">-'36-Month Forecast'!Z250</f>
        <v>-0</v>
      </c>
      <c r="AA52" s="8" t="n">
        <f aca="false">-'36-Month Forecast'!AA250</f>
        <v>-0</v>
      </c>
      <c r="AB52" s="8" t="n">
        <f aca="false">-'36-Month Forecast'!AB250</f>
        <v>-0</v>
      </c>
      <c r="AC52" s="8" t="n">
        <f aca="false">-'36-Month Forecast'!AC250</f>
        <v>-0</v>
      </c>
      <c r="AD52" s="8" t="n">
        <f aca="false">-'36-Month Forecast'!AD250</f>
        <v>-0</v>
      </c>
      <c r="AE52" s="8" t="n">
        <f aca="false">-'36-Month Forecast'!AE250</f>
        <v>-0</v>
      </c>
      <c r="AF52" s="8" t="n">
        <f aca="false">-'36-Month Forecast'!AF250</f>
        <v>-0</v>
      </c>
      <c r="AG52" s="8" t="n">
        <f aca="false">-'36-Month Forecast'!AG250</f>
        <v>-0</v>
      </c>
      <c r="AH52" s="8" t="n">
        <f aca="false">-'36-Month Forecast'!AH250</f>
        <v>-0</v>
      </c>
      <c r="AI52" s="8" t="n">
        <f aca="false">-'36-Month Forecast'!AI250</f>
        <v>-0</v>
      </c>
      <c r="AJ52" s="8" t="n">
        <f aca="false">-'36-Month Forecast'!AJ250</f>
        <v>-0</v>
      </c>
      <c r="AK52" s="8" t="n">
        <f aca="false">-'36-Month Forecast'!AK250</f>
        <v>-0</v>
      </c>
      <c r="AL52" s="8" t="n">
        <f aca="false">-'36-Month Forecast'!AL250</f>
        <v>-0</v>
      </c>
      <c r="AM52" s="45" t="n">
        <f aca="false">SUMIF($C$6:$AL$6,1,C52:AL52)</f>
        <v>-1875</v>
      </c>
      <c r="AN52" s="45" t="n">
        <f aca="false">SUMIF($C$6:$AL$6,2,C52:AL52)</f>
        <v>-5279</v>
      </c>
      <c r="AO52" s="45" t="n">
        <f aca="false">SUMIF($C$6:$AL$6,3,C52:AL52)</f>
        <v>0</v>
      </c>
      <c r="AP52" s="45" t="n">
        <f aca="false">SUM(C52:AL52)</f>
        <v>-7154</v>
      </c>
    </row>
    <row r="53" customFormat="false" ht="15" hidden="false" customHeight="false" outlineLevel="0" collapsed="false">
      <c r="A53" s="57" t="s">
        <v>826</v>
      </c>
      <c r="B53" s="61"/>
      <c r="C53" s="59" t="n">
        <f aca="false">SUM(C45:C52)</f>
        <v>-5454.53138868705</v>
      </c>
      <c r="D53" s="59" t="n">
        <f aca="false">SUM(D45:D52)</f>
        <v>-2194.488954586</v>
      </c>
      <c r="E53" s="59" t="n">
        <f aca="false">SUM(E45:E52)</f>
        <v>-2745.31572384696</v>
      </c>
      <c r="F53" s="59" t="n">
        <f aca="false">SUM(F45:F52)</f>
        <v>-1733.50745359908</v>
      </c>
      <c r="G53" s="59" t="n">
        <f aca="false">SUM(G45:G52)</f>
        <v>-1768.38639194964</v>
      </c>
      <c r="H53" s="59" t="n">
        <f aca="false">SUM(H45:H52)</f>
        <v>-4652.79474963379</v>
      </c>
      <c r="I53" s="59" t="n">
        <f aca="false">SUM(I45:I52)</f>
        <v>-6978.90742034551</v>
      </c>
      <c r="J53" s="59" t="n">
        <f aca="false">SUM(J45:J52)</f>
        <v>-5830.77758519551</v>
      </c>
      <c r="K53" s="59" t="n">
        <f aca="false">SUM(K45:K52)</f>
        <v>-807.312987539542</v>
      </c>
      <c r="L53" s="59" t="n">
        <f aca="false">SUM(L45:L52)</f>
        <v>-325.910194835587</v>
      </c>
      <c r="M53" s="59" t="n">
        <f aca="false">SUM(M45:M52)</f>
        <v>-12.9417834927074</v>
      </c>
      <c r="N53" s="59" t="n">
        <f aca="false">SUM(N45:N52)</f>
        <v>85.3652184148375</v>
      </c>
      <c r="O53" s="59" t="n">
        <f aca="false">SUM(O45:O52)</f>
        <v>-961.964353017885</v>
      </c>
      <c r="P53" s="59" t="n">
        <f aca="false">SUM(P45:P52)</f>
        <v>536.94249689385</v>
      </c>
      <c r="Q53" s="59" t="n">
        <f aca="false">SUM(Q45:Q52)</f>
        <v>768.593946818703</v>
      </c>
      <c r="R53" s="59" t="n">
        <f aca="false">SUM(R45:R52)</f>
        <v>544.378401276864</v>
      </c>
      <c r="S53" s="59" t="n">
        <f aca="false">SUM(S45:S52)</f>
        <v>641.401226981516</v>
      </c>
      <c r="T53" s="59" t="n">
        <f aca="false">SUM(T45:T52)</f>
        <v>968.099671288806</v>
      </c>
      <c r="U53" s="59" t="n">
        <f aca="false">SUM(U45:U52)</f>
        <v>-451.147250691771</v>
      </c>
      <c r="V53" s="59" t="n">
        <f aca="false">SUM(V45:V52)</f>
        <v>980.295985290221</v>
      </c>
      <c r="W53" s="59" t="n">
        <f aca="false">SUM(W45:W52)</f>
        <v>1146.11823842102</v>
      </c>
      <c r="X53" s="59" t="n">
        <f aca="false">SUM(X45:X52)</f>
        <v>-4071.1720730892</v>
      </c>
      <c r="Y53" s="59" t="n">
        <f aca="false">SUM(Y45:Y52)</f>
        <v>1076.85996529048</v>
      </c>
      <c r="Z53" s="59" t="n">
        <f aca="false">SUM(Z45:Z52)</f>
        <v>1405.04990713434</v>
      </c>
      <c r="AA53" s="59" t="n">
        <f aca="false">SUM(AA45:AA52)</f>
        <v>301.855836581099</v>
      </c>
      <c r="AB53" s="59" t="n">
        <f aca="false">SUM(AB45:AB52)</f>
        <v>1815.31715144578</v>
      </c>
      <c r="AC53" s="59" t="n">
        <f aca="false">SUM(AC45:AC52)</f>
        <v>2051.41410157608</v>
      </c>
      <c r="AD53" s="59" t="n">
        <f aca="false">SUM(AD45:AD52)</f>
        <v>1754.12620011751</v>
      </c>
      <c r="AE53" s="59" t="n">
        <f aca="false">SUM(AE45:AE52)</f>
        <v>1677.06249228303</v>
      </c>
      <c r="AF53" s="59" t="n">
        <f aca="false">SUM(AF45:AF52)</f>
        <v>1965.72175882954</v>
      </c>
      <c r="AG53" s="59" t="n">
        <f aca="false">SUM(AG45:AG52)</f>
        <v>471.388473625275</v>
      </c>
      <c r="AH53" s="59" t="n">
        <f aca="false">SUM(AH45:AH52)</f>
        <v>1823.02904505107</v>
      </c>
      <c r="AI53" s="59" t="n">
        <f aca="false">SUM(AI45:AI52)</f>
        <v>1966.75380132478</v>
      </c>
      <c r="AJ53" s="59" t="n">
        <f aca="false">SUM(AJ45:AJ52)</f>
        <v>1721.52563030841</v>
      </c>
      <c r="AK53" s="59" t="n">
        <f aca="false">SUM(AK45:AK52)</f>
        <v>1710.17668124592</v>
      </c>
      <c r="AL53" s="59" t="n">
        <f aca="false">SUM(AL45:AL52)</f>
        <v>2093.66210024139</v>
      </c>
      <c r="AM53" s="60" t="n">
        <f aca="false">SUMIF($C$6:$AL$6,1,C53:AL53)</f>
        <v>-32419.5094152965</v>
      </c>
      <c r="AN53" s="60" t="n">
        <f aca="false">SUMIF($C$6:$AL$6,2,C53:AL53)</f>
        <v>2583.45616259695</v>
      </c>
      <c r="AO53" s="60" t="n">
        <f aca="false">SUMIF($C$6:$AL$6,3,C53:AL53)</f>
        <v>19352.0332726299</v>
      </c>
      <c r="AP53" s="60" t="n">
        <f aca="false">SUM(C53:AL53)</f>
        <v>-10484.0199800697</v>
      </c>
    </row>
    <row r="54" customFormat="false" ht="15" hidden="false" customHeight="false" outlineLevel="0" collapsed="false">
      <c r="A54" s="7" t="s">
        <v>827</v>
      </c>
      <c r="C54" s="8" t="n">
        <f aca="false">-Assumptions!$C$14*MAX(0,C53)</f>
        <v>-0</v>
      </c>
      <c r="D54" s="8" t="n">
        <f aca="false">-Assumptions!$C$14*MAX(0,D53)</f>
        <v>-0</v>
      </c>
      <c r="E54" s="8" t="n">
        <f aca="false">-Assumptions!$C$14*MAX(0,E53)</f>
        <v>-0</v>
      </c>
      <c r="F54" s="8" t="n">
        <f aca="false">-Assumptions!$C$14*MAX(0,F53)</f>
        <v>-0</v>
      </c>
      <c r="G54" s="8" t="n">
        <f aca="false">-Assumptions!$C$14*MAX(0,G53)</f>
        <v>-0</v>
      </c>
      <c r="H54" s="8" t="n">
        <f aca="false">-Assumptions!$C$14*MAX(0,H53)</f>
        <v>-0</v>
      </c>
      <c r="I54" s="8" t="n">
        <f aca="false">-Assumptions!$C$14*MAX(0,I53)</f>
        <v>-0</v>
      </c>
      <c r="J54" s="8" t="n">
        <f aca="false">-Assumptions!$C$14*MAX(0,J53)</f>
        <v>-0</v>
      </c>
      <c r="K54" s="8" t="n">
        <f aca="false">-Assumptions!$C$14*MAX(0,K53)</f>
        <v>-0</v>
      </c>
      <c r="L54" s="8" t="n">
        <f aca="false">-Assumptions!$C$14*MAX(0,L53)</f>
        <v>-0</v>
      </c>
      <c r="M54" s="8" t="n">
        <f aca="false">-Assumptions!$C$14*MAX(0,M53)</f>
        <v>-0</v>
      </c>
      <c r="N54" s="8" t="n">
        <f aca="false">-Assumptions!$C$14*MAX(0,N53)</f>
        <v>-21.3413046037094</v>
      </c>
      <c r="O54" s="8" t="n">
        <f aca="false">-Assumptions!$C$14*MAX(0,O53)</f>
        <v>-0</v>
      </c>
      <c r="P54" s="8" t="n">
        <f aca="false">-Assumptions!$C$14*MAX(0,P53)</f>
        <v>-134.235624223462</v>
      </c>
      <c r="Q54" s="8" t="n">
        <f aca="false">-Assumptions!$C$14*MAX(0,Q53)</f>
        <v>-192.148486704676</v>
      </c>
      <c r="R54" s="8" t="n">
        <f aca="false">-Assumptions!$C$14*MAX(0,R53)</f>
        <v>-136.094600319216</v>
      </c>
      <c r="S54" s="8" t="n">
        <f aca="false">-Assumptions!$C$14*MAX(0,S53)</f>
        <v>-160.350306745379</v>
      </c>
      <c r="T54" s="8" t="n">
        <f aca="false">-Assumptions!$C$14*MAX(0,T53)</f>
        <v>-242.024917822201</v>
      </c>
      <c r="U54" s="8" t="n">
        <f aca="false">-Assumptions!$C$14*MAX(0,U53)</f>
        <v>-0</v>
      </c>
      <c r="V54" s="8" t="n">
        <f aca="false">-Assumptions!$C$14*MAX(0,V53)</f>
        <v>-245.073996322555</v>
      </c>
      <c r="W54" s="8" t="n">
        <f aca="false">-Assumptions!$C$14*MAX(0,W53)</f>
        <v>-286.529559605255</v>
      </c>
      <c r="X54" s="8" t="n">
        <f aca="false">-Assumptions!$C$14*MAX(0,X53)</f>
        <v>-0</v>
      </c>
      <c r="Y54" s="8" t="n">
        <f aca="false">-Assumptions!$C$14*MAX(0,Y53)</f>
        <v>-269.21499132262</v>
      </c>
      <c r="Z54" s="8" t="n">
        <f aca="false">-Assumptions!$C$14*MAX(0,Z53)</f>
        <v>-351.262476783586</v>
      </c>
      <c r="AA54" s="8" t="n">
        <f aca="false">-Assumptions!$C$14*MAX(0,AA53)</f>
        <v>-75.4639591452748</v>
      </c>
      <c r="AB54" s="8" t="n">
        <f aca="false">-Assumptions!$C$14*MAX(0,AB53)</f>
        <v>-453.829287861445</v>
      </c>
      <c r="AC54" s="8" t="n">
        <f aca="false">-Assumptions!$C$14*MAX(0,AC53)</f>
        <v>-512.85352539402</v>
      </c>
      <c r="AD54" s="8" t="n">
        <f aca="false">-Assumptions!$C$14*MAX(0,AD53)</f>
        <v>-438.531550029377</v>
      </c>
      <c r="AE54" s="8" t="n">
        <f aca="false">-Assumptions!$C$14*MAX(0,AE53)</f>
        <v>-419.265623070757</v>
      </c>
      <c r="AF54" s="8" t="n">
        <f aca="false">-Assumptions!$C$14*MAX(0,AF53)</f>
        <v>-491.430439707385</v>
      </c>
      <c r="AG54" s="8" t="n">
        <f aca="false">-Assumptions!$C$14*MAX(0,AG53)</f>
        <v>-117.847118406319</v>
      </c>
      <c r="AH54" s="8" t="n">
        <f aca="false">-Assumptions!$C$14*MAX(0,AH53)</f>
        <v>-455.757261262768</v>
      </c>
      <c r="AI54" s="8" t="n">
        <f aca="false">-Assumptions!$C$14*MAX(0,AI53)</f>
        <v>-491.688450331195</v>
      </c>
      <c r="AJ54" s="8" t="n">
        <f aca="false">-Assumptions!$C$14*MAX(0,AJ53)</f>
        <v>-430.381407577101</v>
      </c>
      <c r="AK54" s="8" t="n">
        <f aca="false">-Assumptions!$C$14*MAX(0,AK53)</f>
        <v>-427.544170311481</v>
      </c>
      <c r="AL54" s="8" t="n">
        <f aca="false">-Assumptions!$C$14*MAX(0,AL53)</f>
        <v>-523.415525060348</v>
      </c>
      <c r="AM54" s="45" t="n">
        <f aca="false">SUMIF($C$6:$AL$6,1,C54:AL54)</f>
        <v>-21.3413046037094</v>
      </c>
      <c r="AN54" s="45" t="n">
        <f aca="false">SUMIF($C$6:$AL$6,2,C54:AL54)</f>
        <v>-2016.93495984895</v>
      </c>
      <c r="AO54" s="45" t="n">
        <f aca="false">SUMIF($C$6:$AL$6,3,C54:AL54)</f>
        <v>-4838.00831815747</v>
      </c>
      <c r="AP54" s="45" t="n">
        <f aca="false">SUM(C54:AL54)</f>
        <v>-6876.28458261013</v>
      </c>
    </row>
    <row r="55" customFormat="false" ht="15" hidden="false" customHeight="false" outlineLevel="0" collapsed="false">
      <c r="A55" s="57" t="s">
        <v>828</v>
      </c>
      <c r="B55" s="61"/>
      <c r="C55" s="62" t="n">
        <f aca="false">Assumptions!$C$15+C53+C54</f>
        <v>-5454.53138868705</v>
      </c>
      <c r="D55" s="59" t="n">
        <f aca="false">C55+D53+D54</f>
        <v>-7649.02034327305</v>
      </c>
      <c r="E55" s="59" t="n">
        <f aca="false">D55+E53+E54</f>
        <v>-10394.33606712</v>
      </c>
      <c r="F55" s="59" t="n">
        <f aca="false">E55+F53+F54</f>
        <v>-12127.8435207191</v>
      </c>
      <c r="G55" s="59" t="n">
        <f aca="false">F55+G53+G54</f>
        <v>-13896.2299126687</v>
      </c>
      <c r="H55" s="59" t="n">
        <f aca="false">G55+H53+H54</f>
        <v>-18549.0246623025</v>
      </c>
      <c r="I55" s="59" t="n">
        <f aca="false">H55+I53+I54</f>
        <v>-25527.932082648</v>
      </c>
      <c r="J55" s="59" t="n">
        <f aca="false">I55+J53+J54</f>
        <v>-31358.7096678435</v>
      </c>
      <c r="K55" s="59" t="n">
        <f aca="false">J55+K53+K54</f>
        <v>-32166.0226553831</v>
      </c>
      <c r="L55" s="59" t="n">
        <f aca="false">K55+L53+L54</f>
        <v>-32491.9328502187</v>
      </c>
      <c r="M55" s="59" t="n">
        <f aca="false">L55+M53+M54</f>
        <v>-32504.8746337114</v>
      </c>
      <c r="N55" s="59" t="n">
        <f aca="false">M55+N53+N54</f>
        <v>-32440.8507199002</v>
      </c>
      <c r="O55" s="59" t="n">
        <f aca="false">N55+O53+O54</f>
        <v>-33402.8150729181</v>
      </c>
      <c r="P55" s="59" t="n">
        <f aca="false">O55+P53+P54</f>
        <v>-33000.1082002477</v>
      </c>
      <c r="Q55" s="59" t="n">
        <f aca="false">P55+Q53+Q54</f>
        <v>-32423.6627401337</v>
      </c>
      <c r="R55" s="59" t="n">
        <f aca="false">Q55+R53+R54</f>
        <v>-32015.3789391761</v>
      </c>
      <c r="S55" s="59" t="n">
        <f aca="false">R55+S53+S54</f>
        <v>-31534.3280189399</v>
      </c>
      <c r="T55" s="59" t="n">
        <f aca="false">S55+T53+T54</f>
        <v>-30808.2532654733</v>
      </c>
      <c r="U55" s="59" t="n">
        <f aca="false">T55+U53+U54</f>
        <v>-31259.4005161651</v>
      </c>
      <c r="V55" s="59" t="n">
        <f aca="false">U55+V53+V54</f>
        <v>-30524.1785271974</v>
      </c>
      <c r="W55" s="59" t="n">
        <f aca="false">V55+W53+W54</f>
        <v>-29664.5898483817</v>
      </c>
      <c r="X55" s="59" t="n">
        <f aca="false">W55+X53+X54</f>
        <v>-33735.7619214709</v>
      </c>
      <c r="Y55" s="59" t="n">
        <f aca="false">X55+Y53+Y54</f>
        <v>-32928.116947503</v>
      </c>
      <c r="Z55" s="59" t="n">
        <f aca="false">Y55+Z53+Z54</f>
        <v>-31874.3295171522</v>
      </c>
      <c r="AA55" s="59" t="n">
        <f aca="false">Z55+AA53+AA54</f>
        <v>-31647.9376397164</v>
      </c>
      <c r="AB55" s="59" t="n">
        <f aca="false">AA55+AB53+AB54</f>
        <v>-30286.4497761321</v>
      </c>
      <c r="AC55" s="59" t="n">
        <f aca="false">AB55+AC53+AC54</f>
        <v>-28747.88919995</v>
      </c>
      <c r="AD55" s="59" t="n">
        <f aca="false">AC55+AD53+AD54</f>
        <v>-27432.2945498619</v>
      </c>
      <c r="AE55" s="59" t="n">
        <f aca="false">AD55+AE53+AE54</f>
        <v>-26174.4976806496</v>
      </c>
      <c r="AF55" s="59" t="n">
        <f aca="false">AE55+AF53+AF54</f>
        <v>-24700.2063615275</v>
      </c>
      <c r="AG55" s="59" t="n">
        <f aca="false">AF55+AG53+AG54</f>
        <v>-24346.6650063085</v>
      </c>
      <c r="AH55" s="59" t="n">
        <f aca="false">AG55+AH53+AH54</f>
        <v>-22979.3932225202</v>
      </c>
      <c r="AI55" s="59" t="n">
        <f aca="false">AH55+AI53+AI54</f>
        <v>-21504.3278715266</v>
      </c>
      <c r="AJ55" s="59" t="n">
        <f aca="false">AI55+AJ53+AJ54</f>
        <v>-20213.1836487953</v>
      </c>
      <c r="AK55" s="59" t="n">
        <f aca="false">AJ55+AK53+AK54</f>
        <v>-18930.5511378609</v>
      </c>
      <c r="AL55" s="59" t="n">
        <f aca="false">AK55+AL53+AL54</f>
        <v>-17360.3045626798</v>
      </c>
      <c r="AM55" s="60" t="n">
        <f aca="false">N55</f>
        <v>-32440.8507199002</v>
      </c>
      <c r="AN55" s="60" t="n">
        <f aca="false">Z55</f>
        <v>-31874.3295171522</v>
      </c>
      <c r="AO55" s="60" t="n">
        <f aca="false">AL55</f>
        <v>-17360.3045626798</v>
      </c>
      <c r="AP55" s="60" t="n">
        <f aca="false">AL55</f>
        <v>-17360.3045626798</v>
      </c>
    </row>
    <row r="56" customFormat="false" ht="15" hidden="false" customHeight="false" outlineLevel="0" collapsed="false">
      <c r="A56" s="7" t="s">
        <v>829</v>
      </c>
      <c r="C56" s="17" t="n">
        <f aca="false">-C54</f>
        <v>0</v>
      </c>
      <c r="D56" s="17" t="n">
        <f aca="false">-D54+C56</f>
        <v>0</v>
      </c>
      <c r="E56" s="17" t="n">
        <f aca="false">-E54+D56</f>
        <v>0</v>
      </c>
      <c r="F56" s="17" t="n">
        <f aca="false">-F54+E56</f>
        <v>0</v>
      </c>
      <c r="G56" s="17" t="n">
        <f aca="false">-G54+F56</f>
        <v>0</v>
      </c>
      <c r="H56" s="17" t="n">
        <f aca="false">-H54+G56</f>
        <v>0</v>
      </c>
      <c r="I56" s="17" t="n">
        <f aca="false">-I54+H56</f>
        <v>0</v>
      </c>
      <c r="J56" s="17" t="n">
        <f aca="false">-J54+I56</f>
        <v>0</v>
      </c>
      <c r="K56" s="17" t="n">
        <f aca="false">-K54+J56</f>
        <v>0</v>
      </c>
      <c r="L56" s="17" t="n">
        <f aca="false">-L54+K56</f>
        <v>0</v>
      </c>
      <c r="M56" s="17" t="n">
        <f aca="false">-M54+L56</f>
        <v>0</v>
      </c>
      <c r="N56" s="17" t="n">
        <f aca="false">-N54+M56</f>
        <v>21.3413046037094</v>
      </c>
      <c r="O56" s="17" t="n">
        <f aca="false">-O54+N56</f>
        <v>21.3413046037094</v>
      </c>
      <c r="P56" s="17" t="n">
        <f aca="false">-P54+O56</f>
        <v>155.576928827172</v>
      </c>
      <c r="Q56" s="17" t="n">
        <f aca="false">-Q54+P56</f>
        <v>347.725415531848</v>
      </c>
      <c r="R56" s="17" t="n">
        <f aca="false">-R54+Q56</f>
        <v>483.820015851064</v>
      </c>
      <c r="S56" s="17" t="n">
        <f aca="false">-S54+R56</f>
        <v>644.170322596443</v>
      </c>
      <c r="T56" s="17" t="n">
        <f aca="false">-T54+S56</f>
        <v>886.195240418644</v>
      </c>
      <c r="U56" s="17" t="n">
        <f aca="false">-U54+T56</f>
        <v>886.195240418644</v>
      </c>
      <c r="V56" s="17" t="n">
        <f aca="false">-V54+U56</f>
        <v>1131.2692367412</v>
      </c>
      <c r="W56" s="17" t="n">
        <f aca="false">-W54+V56</f>
        <v>1417.79879634645</v>
      </c>
      <c r="X56" s="17" t="n">
        <f aca="false">-X54+W56</f>
        <v>1417.79879634645</v>
      </c>
      <c r="Y56" s="17" t="n">
        <f aca="false">-Y54+X56</f>
        <v>1687.01378766907</v>
      </c>
      <c r="Z56" s="17" t="n">
        <f aca="false">-Z54+Y56</f>
        <v>2038.27626445266</v>
      </c>
      <c r="AA56" s="17" t="n">
        <f aca="false">-AA54+Z56</f>
        <v>2113.74022359794</v>
      </c>
      <c r="AB56" s="17" t="n">
        <f aca="false">-AB54+AA56</f>
        <v>2567.56951145938</v>
      </c>
      <c r="AC56" s="17" t="n">
        <f aca="false">-AC54+AB56</f>
        <v>3080.4230368534</v>
      </c>
      <c r="AD56" s="17" t="n">
        <f aca="false">-AD54+AC56</f>
        <v>3518.95458688278</v>
      </c>
      <c r="AE56" s="17" t="n">
        <f aca="false">-AE54+AD56</f>
        <v>3938.22020995353</v>
      </c>
      <c r="AF56" s="17" t="n">
        <f aca="false">-AF54+AE56</f>
        <v>4429.65064966092</v>
      </c>
      <c r="AG56" s="17" t="n">
        <f aca="false">-AG54+AF56</f>
        <v>4547.49776806724</v>
      </c>
      <c r="AH56" s="17" t="n">
        <f aca="false">-AH54+AG56</f>
        <v>5003.25502933001</v>
      </c>
      <c r="AI56" s="17" t="n">
        <f aca="false">-AI54+AH56</f>
        <v>5494.9434796612</v>
      </c>
      <c r="AJ56" s="17" t="n">
        <f aca="false">-AJ54+AI56</f>
        <v>5925.3248872383</v>
      </c>
      <c r="AK56" s="17" t="n">
        <f aca="false">-AK54+AJ56</f>
        <v>6352.86905754978</v>
      </c>
      <c r="AL56" s="17" t="n">
        <f aca="false">-AL54+AK56</f>
        <v>6876.28458261013</v>
      </c>
      <c r="AM56" s="45" t="n">
        <f aca="false">N56</f>
        <v>21.3413046037094</v>
      </c>
      <c r="AN56" s="45" t="n">
        <f aca="false">Z56</f>
        <v>2038.27626445266</v>
      </c>
      <c r="AO56" s="45" t="n">
        <f aca="false">AL56</f>
        <v>6876.28458261013</v>
      </c>
      <c r="AP56" s="45" t="n">
        <f aca="false">AL56</f>
        <v>6876.28458261013</v>
      </c>
    </row>
    <row r="57" customFormat="false" ht="15" hidden="false" customHeight="false" outlineLevel="0" collapsed="false">
      <c r="A57" s="7" t="s">
        <v>830</v>
      </c>
      <c r="C57" s="17" t="n">
        <f aca="false">C55+C56</f>
        <v>-5454.53138868705</v>
      </c>
      <c r="D57" s="17" t="n">
        <f aca="false">D55+D56</f>
        <v>-7649.02034327305</v>
      </c>
      <c r="E57" s="17" t="n">
        <f aca="false">E55+E56</f>
        <v>-10394.33606712</v>
      </c>
      <c r="F57" s="17" t="n">
        <f aca="false">F55+F56</f>
        <v>-12127.8435207191</v>
      </c>
      <c r="G57" s="17" t="n">
        <f aca="false">G55+G56</f>
        <v>-13896.2299126687</v>
      </c>
      <c r="H57" s="17" t="n">
        <f aca="false">H55+H56</f>
        <v>-18549.0246623025</v>
      </c>
      <c r="I57" s="17" t="n">
        <f aca="false">I55+I56</f>
        <v>-25527.932082648</v>
      </c>
      <c r="J57" s="17" t="n">
        <f aca="false">J55+J56</f>
        <v>-31358.7096678435</v>
      </c>
      <c r="K57" s="17" t="n">
        <f aca="false">K55+K56</f>
        <v>-32166.0226553831</v>
      </c>
      <c r="L57" s="17" t="n">
        <f aca="false">L55+L56</f>
        <v>-32491.9328502187</v>
      </c>
      <c r="M57" s="17" t="n">
        <f aca="false">M55+M56</f>
        <v>-32504.8746337114</v>
      </c>
      <c r="N57" s="17" t="n">
        <f aca="false">N55+N56</f>
        <v>-32419.5094152965</v>
      </c>
      <c r="O57" s="17" t="n">
        <f aca="false">O55+O56</f>
        <v>-33381.4737683144</v>
      </c>
      <c r="P57" s="17" t="n">
        <f aca="false">P55+P56</f>
        <v>-32844.5312714206</v>
      </c>
      <c r="Q57" s="17" t="n">
        <f aca="false">Q55+Q56</f>
        <v>-32075.9373246019</v>
      </c>
      <c r="R57" s="17" t="n">
        <f aca="false">R55+R56</f>
        <v>-31531.558923325</v>
      </c>
      <c r="S57" s="17" t="n">
        <f aca="false">S55+S56</f>
        <v>-30890.1576963435</v>
      </c>
      <c r="T57" s="17" t="n">
        <f aca="false">T55+T56</f>
        <v>-29922.0580250547</v>
      </c>
      <c r="U57" s="17" t="n">
        <f aca="false">U55+U56</f>
        <v>-30373.2052757464</v>
      </c>
      <c r="V57" s="17" t="n">
        <f aca="false">V55+V56</f>
        <v>-29392.9092904562</v>
      </c>
      <c r="W57" s="17" t="n">
        <f aca="false">W55+W56</f>
        <v>-28246.7910520352</v>
      </c>
      <c r="X57" s="17" t="n">
        <f aca="false">X55+X56</f>
        <v>-32317.9631251244</v>
      </c>
      <c r="Y57" s="17" t="n">
        <f aca="false">Y55+Y56</f>
        <v>-31241.1031598339</v>
      </c>
      <c r="Z57" s="17" t="n">
        <f aca="false">Z55+Z56</f>
        <v>-29836.0532526996</v>
      </c>
      <c r="AA57" s="17" t="n">
        <f aca="false">AA55+AA56</f>
        <v>-29534.1974161185</v>
      </c>
      <c r="AB57" s="17" t="n">
        <f aca="false">AB55+AB56</f>
        <v>-27718.8802646727</v>
      </c>
      <c r="AC57" s="17" t="n">
        <f aca="false">AC55+AC56</f>
        <v>-25667.4661630966</v>
      </c>
      <c r="AD57" s="17" t="n">
        <f aca="false">AD55+AD56</f>
        <v>-23913.3399629791</v>
      </c>
      <c r="AE57" s="17" t="n">
        <f aca="false">AE55+AE56</f>
        <v>-22236.2774706961</v>
      </c>
      <c r="AF57" s="17" t="n">
        <f aca="false">AF55+AF56</f>
        <v>-20270.5557118666</v>
      </c>
      <c r="AG57" s="17" t="n">
        <f aca="false">AG55+AG56</f>
        <v>-19799.1672382413</v>
      </c>
      <c r="AH57" s="17" t="n">
        <f aca="false">AH55+AH56</f>
        <v>-17976.1381931902</v>
      </c>
      <c r="AI57" s="17" t="n">
        <f aca="false">AI55+AI56</f>
        <v>-16009.3843918654</v>
      </c>
      <c r="AJ57" s="17" t="n">
        <f aca="false">AJ55+AJ56</f>
        <v>-14287.858761557</v>
      </c>
      <c r="AK57" s="17" t="n">
        <f aca="false">AK55+AK56</f>
        <v>-12577.6820803111</v>
      </c>
      <c r="AL57" s="17" t="n">
        <f aca="false">AL55+AL56</f>
        <v>-10484.0199800697</v>
      </c>
      <c r="AM57" s="45" t="n">
        <f aca="false">N57</f>
        <v>-32419.5094152965</v>
      </c>
      <c r="AN57" s="45" t="n">
        <f aca="false">Z57</f>
        <v>-29836.0532526996</v>
      </c>
      <c r="AO57" s="45" t="n">
        <f aca="false">AL57</f>
        <v>-10484.0199800697</v>
      </c>
      <c r="AP57" s="45" t="n">
        <f aca="false">AL57</f>
        <v>-10484.0199800697</v>
      </c>
    </row>
    <row r="58" customFormat="false" ht="15" hidden="false" customHeight="false" outlineLevel="0" collapsed="false">
      <c r="A58" s="7" t="s">
        <v>831</v>
      </c>
      <c r="C58" s="8" t="n">
        <f aca="false">Assumptions!$C$18*('36-Month Forecast'!C246+'36-Month Forecast'!C247+'36-Month Forecast'!C245)</f>
        <v>3711.9555</v>
      </c>
      <c r="D58" s="8" t="n">
        <f aca="false">Assumptions!$C$18*('36-Month Forecast'!D246+'36-Month Forecast'!D247+'36-Month Forecast'!D245)</f>
        <v>2657.1555</v>
      </c>
      <c r="E58" s="8" t="n">
        <f aca="false">Assumptions!$C$18*('36-Month Forecast'!E246+'36-Month Forecast'!E247+'36-Month Forecast'!E245)</f>
        <v>2893.1055</v>
      </c>
      <c r="F58" s="8" t="n">
        <f aca="false">Assumptions!$C$18*('36-Month Forecast'!F246+'36-Month Forecast'!F247+'36-Month Forecast'!F245)</f>
        <v>4130.6055</v>
      </c>
      <c r="G58" s="8" t="n">
        <f aca="false">Assumptions!$C$18*('36-Month Forecast'!G246+'36-Month Forecast'!G247+'36-Month Forecast'!G245)</f>
        <v>3282.5055</v>
      </c>
      <c r="H58" s="8" t="n">
        <f aca="false">Assumptions!$C$18*('36-Month Forecast'!H246+'36-Month Forecast'!H247+'36-Month Forecast'!H245)</f>
        <v>2893.1055</v>
      </c>
      <c r="I58" s="8" t="n">
        <f aca="false">Assumptions!$C$18*('36-Month Forecast'!I246+'36-Month Forecast'!I247+'36-Month Forecast'!I245)</f>
        <v>7183.1055</v>
      </c>
      <c r="J58" s="8" t="n">
        <f aca="false">Assumptions!$C$18*('36-Month Forecast'!J246+'36-Month Forecast'!J247+'36-Month Forecast'!J245)</f>
        <v>3313.0755</v>
      </c>
      <c r="K58" s="8" t="n">
        <f aca="false">Assumptions!$C$18*('36-Month Forecast'!K246+'36-Month Forecast'!K247+'36-Month Forecast'!K245)</f>
        <v>3313.0755</v>
      </c>
      <c r="L58" s="8" t="n">
        <f aca="false">Assumptions!$C$18*('36-Month Forecast'!L246+'36-Month Forecast'!L247+'36-Month Forecast'!L245)</f>
        <v>3313.0755</v>
      </c>
      <c r="M58" s="8" t="n">
        <f aca="false">Assumptions!$C$18*('36-Month Forecast'!M246+'36-Month Forecast'!M247+'36-Month Forecast'!M245)</f>
        <v>3313.0755</v>
      </c>
      <c r="N58" s="8" t="n">
        <f aca="false">Assumptions!$C$18*('36-Month Forecast'!N246+'36-Month Forecast'!N247+'36-Month Forecast'!N245)</f>
        <v>3313.0755</v>
      </c>
      <c r="O58" s="8" t="n">
        <f aca="false">Assumptions!$C$18*('36-Month Forecast'!O246+'36-Month Forecast'!O247+'36-Month Forecast'!O245)</f>
        <v>6322.2255</v>
      </c>
      <c r="P58" s="8" t="n">
        <f aca="false">Assumptions!$C$18*('36-Month Forecast'!P246+'36-Month Forecast'!P247+'36-Month Forecast'!P245)</f>
        <v>3827.4255</v>
      </c>
      <c r="Q58" s="8" t="n">
        <f aca="false">Assumptions!$C$18*('36-Month Forecast'!Q246+'36-Month Forecast'!Q247+'36-Month Forecast'!Q245)</f>
        <v>3827.4255</v>
      </c>
      <c r="R58" s="8" t="n">
        <f aca="false">Assumptions!$C$18*('36-Month Forecast'!R246+'36-Month Forecast'!R247+'36-Month Forecast'!R245)</f>
        <v>5064.9255</v>
      </c>
      <c r="S58" s="8" t="n">
        <f aca="false">Assumptions!$C$18*('36-Month Forecast'!S246+'36-Month Forecast'!S247+'36-Month Forecast'!S245)</f>
        <v>4216.8255</v>
      </c>
      <c r="T58" s="8" t="n">
        <f aca="false">Assumptions!$C$18*('36-Month Forecast'!T246+'36-Month Forecast'!T247+'36-Month Forecast'!T245)</f>
        <v>3827.4255</v>
      </c>
      <c r="U58" s="8" t="n">
        <f aca="false">Assumptions!$C$18*('36-Month Forecast'!U246+'36-Month Forecast'!U247+'36-Month Forecast'!U245)</f>
        <v>8117.4255</v>
      </c>
      <c r="V58" s="8" t="n">
        <f aca="false">Assumptions!$C$18*('36-Month Forecast'!V246+'36-Month Forecast'!V247+'36-Month Forecast'!V245)</f>
        <v>3827.4255</v>
      </c>
      <c r="W58" s="8" t="n">
        <f aca="false">Assumptions!$C$18*('36-Month Forecast'!W246+'36-Month Forecast'!W247+'36-Month Forecast'!W245)</f>
        <v>3827.4255</v>
      </c>
      <c r="X58" s="8" t="n">
        <f aca="false">Assumptions!$C$18*('36-Month Forecast'!X246+'36-Month Forecast'!X247+'36-Month Forecast'!X245)</f>
        <v>3827.4255</v>
      </c>
      <c r="Y58" s="8" t="n">
        <f aca="false">Assumptions!$C$18*('36-Month Forecast'!Y246+'36-Month Forecast'!Y247+'36-Month Forecast'!Y245)</f>
        <v>3827.4255</v>
      </c>
      <c r="Z58" s="8" t="n">
        <f aca="false">Assumptions!$C$18*('36-Month Forecast'!Z246+'36-Month Forecast'!Z247+'36-Month Forecast'!Z245)</f>
        <v>3827.4255</v>
      </c>
      <c r="AA58" s="8" t="n">
        <f aca="false">Assumptions!$C$18*('36-Month Forecast'!AA246+'36-Month Forecast'!AA247+'36-Month Forecast'!AA245)</f>
        <v>7847.7255</v>
      </c>
      <c r="AB58" s="8" t="n">
        <f aca="false">Assumptions!$C$18*('36-Month Forecast'!AB246+'36-Month Forecast'!AB247+'36-Month Forecast'!AB245)</f>
        <v>5352.9255</v>
      </c>
      <c r="AC58" s="8" t="n">
        <f aca="false">Assumptions!$C$18*('36-Month Forecast'!AC246+'36-Month Forecast'!AC247+'36-Month Forecast'!AC245)</f>
        <v>5352.9255</v>
      </c>
      <c r="AD58" s="8" t="n">
        <f aca="false">Assumptions!$C$18*('36-Month Forecast'!AD246+'36-Month Forecast'!AD247+'36-Month Forecast'!AD245)</f>
        <v>6590.4255</v>
      </c>
      <c r="AE58" s="8" t="n">
        <f aca="false">Assumptions!$C$18*('36-Month Forecast'!AE246+'36-Month Forecast'!AE247+'36-Month Forecast'!AE245)</f>
        <v>5742.3255</v>
      </c>
      <c r="AF58" s="8" t="n">
        <f aca="false">Assumptions!$C$18*('36-Month Forecast'!AF246+'36-Month Forecast'!AF247+'36-Month Forecast'!AF245)</f>
        <v>5352.9255</v>
      </c>
      <c r="AG58" s="8" t="n">
        <f aca="false">Assumptions!$C$18*('36-Month Forecast'!AG246+'36-Month Forecast'!AG247+'36-Month Forecast'!AG245)</f>
        <v>9642.9255</v>
      </c>
      <c r="AH58" s="8" t="n">
        <f aca="false">Assumptions!$C$18*('36-Month Forecast'!AH246+'36-Month Forecast'!AH247+'36-Month Forecast'!AH245)</f>
        <v>5352.9255</v>
      </c>
      <c r="AI58" s="8" t="n">
        <f aca="false">Assumptions!$C$18*('36-Month Forecast'!AI246+'36-Month Forecast'!AI247+'36-Month Forecast'!AI245)</f>
        <v>5352.9255</v>
      </c>
      <c r="AJ58" s="8" t="n">
        <f aca="false">Assumptions!$C$18*('36-Month Forecast'!AJ246+'36-Month Forecast'!AJ247+'36-Month Forecast'!AJ245)</f>
        <v>5352.9255</v>
      </c>
      <c r="AK58" s="8" t="n">
        <f aca="false">Assumptions!$C$18*('36-Month Forecast'!AK246+'36-Month Forecast'!AK247+'36-Month Forecast'!AK245)</f>
        <v>5352.9255</v>
      </c>
      <c r="AL58" s="8" t="n">
        <f aca="false">Assumptions!$C$18*('36-Month Forecast'!AL246+'36-Month Forecast'!AL247+'36-Month Forecast'!AL245)</f>
        <v>5352.9255</v>
      </c>
      <c r="AM58" s="45" t="n">
        <f aca="false">N58</f>
        <v>3313.0755</v>
      </c>
      <c r="AN58" s="45" t="n">
        <f aca="false">Z58</f>
        <v>3827.4255</v>
      </c>
      <c r="AO58" s="45" t="n">
        <f aca="false">AL58</f>
        <v>5352.9255</v>
      </c>
      <c r="AP58" s="45" t="n">
        <f aca="false">AL58</f>
        <v>5352.9255</v>
      </c>
    </row>
    <row r="59" customFormat="false" ht="15" hidden="false" customHeight="false" outlineLevel="0" collapsed="false">
      <c r="A59" s="7" t="s">
        <v>832</v>
      </c>
      <c r="C59" s="17" t="n">
        <f aca="false">C55-C58</f>
        <v>-9166.48688868705</v>
      </c>
      <c r="D59" s="17" t="n">
        <f aca="false">D55-D58</f>
        <v>-10306.1758432731</v>
      </c>
      <c r="E59" s="17" t="n">
        <f aca="false">E55-E58</f>
        <v>-13287.44156712</v>
      </c>
      <c r="F59" s="17" t="n">
        <f aca="false">F55-F58</f>
        <v>-16258.4490207191</v>
      </c>
      <c r="G59" s="17" t="n">
        <f aca="false">G55-G58</f>
        <v>-17178.7354126687</v>
      </c>
      <c r="H59" s="17" t="n">
        <f aca="false">H55-H58</f>
        <v>-21442.1301623025</v>
      </c>
      <c r="I59" s="17" t="n">
        <f aca="false">I55-I58</f>
        <v>-32711.037582648</v>
      </c>
      <c r="J59" s="17" t="n">
        <f aca="false">J55-J58</f>
        <v>-34671.7851678435</v>
      </c>
      <c r="K59" s="17" t="n">
        <f aca="false">K55-K58</f>
        <v>-35479.0981553831</v>
      </c>
      <c r="L59" s="17" t="n">
        <f aca="false">L55-L58</f>
        <v>-35805.0083502187</v>
      </c>
      <c r="M59" s="17" t="n">
        <f aca="false">M55-M58</f>
        <v>-35817.9501337114</v>
      </c>
      <c r="N59" s="17" t="n">
        <f aca="false">N55-N58</f>
        <v>-35753.9262199003</v>
      </c>
      <c r="O59" s="17" t="n">
        <f aca="false">O55-O58</f>
        <v>-39725.0405729181</v>
      </c>
      <c r="P59" s="17" t="n">
        <f aca="false">P55-P58</f>
        <v>-36827.5337002477</v>
      </c>
      <c r="Q59" s="17" t="n">
        <f aca="false">Q55-Q58</f>
        <v>-36251.0882401337</v>
      </c>
      <c r="R59" s="17" t="n">
        <f aca="false">R55-R58</f>
        <v>-37080.3044391761</v>
      </c>
      <c r="S59" s="17" t="n">
        <f aca="false">S55-S58</f>
        <v>-35751.1535189399</v>
      </c>
      <c r="T59" s="17" t="n">
        <f aca="false">T55-T58</f>
        <v>-34635.6787654733</v>
      </c>
      <c r="U59" s="17" t="n">
        <f aca="false">U55-U58</f>
        <v>-39376.8260161651</v>
      </c>
      <c r="V59" s="17" t="n">
        <f aca="false">V55-V58</f>
        <v>-34351.6040271974</v>
      </c>
      <c r="W59" s="17" t="n">
        <f aca="false">W55-W58</f>
        <v>-33492.0153483817</v>
      </c>
      <c r="X59" s="17" t="n">
        <f aca="false">X55-X58</f>
        <v>-37563.1874214709</v>
      </c>
      <c r="Y59" s="17" t="n">
        <f aca="false">Y55-Y58</f>
        <v>-36755.542447503</v>
      </c>
      <c r="Z59" s="17" t="n">
        <f aca="false">Z55-Z58</f>
        <v>-35701.7550171522</v>
      </c>
      <c r="AA59" s="17" t="n">
        <f aca="false">AA55-AA58</f>
        <v>-39495.6631397164</v>
      </c>
      <c r="AB59" s="17" t="n">
        <f aca="false">AB55-AB58</f>
        <v>-35639.3752761321</v>
      </c>
      <c r="AC59" s="17" t="n">
        <f aca="false">AC55-AC58</f>
        <v>-34100.81469995</v>
      </c>
      <c r="AD59" s="17" t="n">
        <f aca="false">AD55-AD58</f>
        <v>-34022.7200498619</v>
      </c>
      <c r="AE59" s="17" t="n">
        <f aca="false">AE55-AE58</f>
        <v>-31916.8231806496</v>
      </c>
      <c r="AF59" s="17" t="n">
        <f aca="false">AF55-AF58</f>
        <v>-30053.1318615275</v>
      </c>
      <c r="AG59" s="17" t="n">
        <f aca="false">AG55-AG58</f>
        <v>-33989.5905063085</v>
      </c>
      <c r="AH59" s="17" t="n">
        <f aca="false">AH55-AH58</f>
        <v>-28332.3187225202</v>
      </c>
      <c r="AI59" s="17" t="n">
        <f aca="false">AI55-AI58</f>
        <v>-26857.2533715266</v>
      </c>
      <c r="AJ59" s="17" t="n">
        <f aca="false">AJ55-AJ58</f>
        <v>-25566.1091487953</v>
      </c>
      <c r="AK59" s="17" t="n">
        <f aca="false">AK55-AK58</f>
        <v>-24283.4766378609</v>
      </c>
      <c r="AL59" s="17" t="n">
        <f aca="false">AL55-AL58</f>
        <v>-22713.2300626798</v>
      </c>
      <c r="AM59" s="45" t="n">
        <f aca="false">N59</f>
        <v>-35753.9262199003</v>
      </c>
      <c r="AN59" s="45" t="n">
        <f aca="false">Z59</f>
        <v>-35701.7550171522</v>
      </c>
      <c r="AO59" s="45" t="n">
        <f aca="false">AL59</f>
        <v>-22713.2300626798</v>
      </c>
      <c r="AP59" s="45" t="n">
        <f aca="false">AL59</f>
        <v>-22713.2300626798</v>
      </c>
    </row>
    <row r="60" customFormat="false" ht="15" hidden="false" customHeight="false" outlineLevel="0" collapsed="false">
      <c r="A60" s="7" t="s">
        <v>833</v>
      </c>
      <c r="C60" s="42" t="str">
        <f aca="false">IF(COUNTIF(C55:$AL55,"&lt;0")=0,C$4,"")</f>
        <v/>
      </c>
      <c r="D60" s="42" t="str">
        <f aca="false">IF(COUNTIF(D55:$AL55,"&lt;0")=0,D$4,"")</f>
        <v/>
      </c>
      <c r="E60" s="42" t="str">
        <f aca="false">IF(COUNTIF(E55:$AL55,"&lt;0")=0,E$4,"")</f>
        <v/>
      </c>
      <c r="F60" s="42" t="str">
        <f aca="false">IF(COUNTIF(F55:$AL55,"&lt;0")=0,F$4,"")</f>
        <v/>
      </c>
      <c r="G60" s="42" t="str">
        <f aca="false">IF(COUNTIF(G55:$AL55,"&lt;0")=0,G$4,"")</f>
        <v/>
      </c>
      <c r="H60" s="42" t="str">
        <f aca="false">IF(COUNTIF(H55:$AL55,"&lt;0")=0,H$4,"")</f>
        <v/>
      </c>
      <c r="I60" s="42" t="str">
        <f aca="false">IF(COUNTIF(I55:$AL55,"&lt;0")=0,I$4,"")</f>
        <v/>
      </c>
      <c r="J60" s="42" t="str">
        <f aca="false">IF(COUNTIF(J55:$AL55,"&lt;0")=0,J$4,"")</f>
        <v/>
      </c>
      <c r="K60" s="42" t="str">
        <f aca="false">IF(COUNTIF(K55:$AL55,"&lt;0")=0,K$4,"")</f>
        <v/>
      </c>
      <c r="L60" s="42" t="str">
        <f aca="false">IF(COUNTIF(L55:$AL55,"&lt;0")=0,L$4,"")</f>
        <v/>
      </c>
      <c r="M60" s="42" t="str">
        <f aca="false">IF(COUNTIF(M55:$AL55,"&lt;0")=0,M$4,"")</f>
        <v/>
      </c>
      <c r="N60" s="42" t="str">
        <f aca="false">IF(COUNTIF(N55:$AL55,"&lt;0")=0,N$4,"")</f>
        <v/>
      </c>
      <c r="O60" s="42" t="str">
        <f aca="false">IF(COUNTIF(O55:$AL55,"&lt;0")=0,O$4,"")</f>
        <v/>
      </c>
      <c r="P60" s="42" t="str">
        <f aca="false">IF(COUNTIF(P55:$AL55,"&lt;0")=0,P$4,"")</f>
        <v/>
      </c>
      <c r="Q60" s="42" t="str">
        <f aca="false">IF(COUNTIF(Q55:$AL55,"&lt;0")=0,Q$4,"")</f>
        <v/>
      </c>
      <c r="R60" s="42" t="str">
        <f aca="false">IF(COUNTIF(R55:$AL55,"&lt;0")=0,R$4,"")</f>
        <v/>
      </c>
      <c r="S60" s="42" t="str">
        <f aca="false">IF(COUNTIF(S55:$AL55,"&lt;0")=0,S$4,"")</f>
        <v/>
      </c>
      <c r="T60" s="42" t="str">
        <f aca="false">IF(COUNTIF(T55:$AL55,"&lt;0")=0,T$4,"")</f>
        <v/>
      </c>
      <c r="U60" s="42" t="str">
        <f aca="false">IF(COUNTIF(U55:$AL55,"&lt;0")=0,U$4,"")</f>
        <v/>
      </c>
      <c r="V60" s="42" t="str">
        <f aca="false">IF(COUNTIF(V55:$AL55,"&lt;0")=0,V$4,"")</f>
        <v/>
      </c>
      <c r="W60" s="42" t="str">
        <f aca="false">IF(COUNTIF(W55:$AL55,"&lt;0")=0,W$4,"")</f>
        <v/>
      </c>
      <c r="X60" s="42" t="str">
        <f aca="false">IF(COUNTIF(X55:$AL55,"&lt;0")=0,X$4,"")</f>
        <v/>
      </c>
      <c r="Y60" s="42" t="str">
        <f aca="false">IF(COUNTIF(Y55:$AL55,"&lt;0")=0,Y$4,"")</f>
        <v/>
      </c>
      <c r="Z60" s="42" t="str">
        <f aca="false">IF(COUNTIF(Z55:$AL55,"&lt;0")=0,Z$4,"")</f>
        <v/>
      </c>
      <c r="AA60" s="42" t="str">
        <f aca="false">IF(COUNTIF(AA55:$AL55,"&lt;0")=0,AA$4,"")</f>
        <v/>
      </c>
      <c r="AB60" s="42" t="str">
        <f aca="false">IF(COUNTIF(AB55:$AL55,"&lt;0")=0,AB$4,"")</f>
        <v/>
      </c>
      <c r="AC60" s="42" t="str">
        <f aca="false">IF(COUNTIF(AC55:$AL55,"&lt;0")=0,AC$4,"")</f>
        <v/>
      </c>
      <c r="AD60" s="42" t="str">
        <f aca="false">IF(COUNTIF(AD55:$AL55,"&lt;0")=0,AD$4,"")</f>
        <v/>
      </c>
      <c r="AE60" s="42" t="str">
        <f aca="false">IF(COUNTIF(AE55:$AL55,"&lt;0")=0,AE$4,"")</f>
        <v/>
      </c>
      <c r="AF60" s="42" t="str">
        <f aca="false">IF(COUNTIF(AF55:$AL55,"&lt;0")=0,AF$4,"")</f>
        <v/>
      </c>
      <c r="AG60" s="42" t="str">
        <f aca="false">IF(COUNTIF(AG55:$AL55,"&lt;0")=0,AG$4,"")</f>
        <v/>
      </c>
      <c r="AH60" s="42" t="str">
        <f aca="false">IF(COUNTIF(AH55:$AL55,"&lt;0")=0,AH$4,"")</f>
        <v/>
      </c>
      <c r="AI60" s="42" t="str">
        <f aca="false">IF(COUNTIF(AI55:$AL55,"&lt;0")=0,AI$4,"")</f>
        <v/>
      </c>
      <c r="AJ60" s="42" t="str">
        <f aca="false">IF(COUNTIF(AJ55:$AL55,"&lt;0")=0,AJ$4,"")</f>
        <v/>
      </c>
      <c r="AK60" s="42" t="str">
        <f aca="false">IF(COUNTIF(AK55:$AL55,"&lt;0")=0,AK$4,"")</f>
        <v/>
      </c>
      <c r="AL60" s="42" t="str">
        <f aca="false">IF(COUNTIF(AL55:$AL55,"&lt;0")=0,AL$4,"")</f>
        <v/>
      </c>
    </row>
    <row r="62" customFormat="false" ht="15" hidden="false" customHeight="false" outlineLevel="0" collapsed="false">
      <c r="A62" s="3" t="s">
        <v>807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</row>
    <row r="63" customFormat="false" ht="15" hidden="false" customHeight="false" outlineLevel="0" collapsed="false">
      <c r="A63" s="7" t="s">
        <v>810</v>
      </c>
      <c r="C63" s="8" t="n">
        <f aca="false">IF(C$4-Assumptions!$C$70&gt;=1,INDEX('36-Month Forecast'!$C$279:$AL$279,1,C$4-Assumptions!$C$70)+INDEX('36-Month Forecast'!$C$276:$AL$276,1,C$4-Assumptions!$C$70)*'Unit Economics'!$H$50,0)</f>
        <v>34.7543901225</v>
      </c>
      <c r="D63" s="8" t="n">
        <f aca="false">IF(D$4-Assumptions!$C$70&gt;=1,INDEX('36-Month Forecast'!$C$279:$AL$279,1,D$4-Assumptions!$C$70)+INDEX('36-Month Forecast'!$C$276:$AL$276,1,D$4-Assumptions!$C$70)*'Unit Economics'!$H$50,0)</f>
        <v>106.5313516176</v>
      </c>
      <c r="E63" s="8" t="n">
        <f aca="false">IF(E$4-Assumptions!$C$70&gt;=1,INDEX('36-Month Forecast'!$C$279:$AL$279,1,E$4-Assumptions!$C$70)+INDEX('36-Month Forecast'!$C$276:$AL$276,1,E$4-Assumptions!$C$70)*'Unit Economics'!$H$50,0)</f>
        <v>185.856234975936</v>
      </c>
      <c r="F63" s="8" t="n">
        <f aca="false">IF(F$4-Assumptions!$C$70&gt;=1,INDEX('36-Month Forecast'!$C$279:$AL$279,1,F$4-Assumptions!$C$70)+INDEX('36-Month Forecast'!$C$276:$AL$276,1,F$4-Assumptions!$C$70)*'Unit Economics'!$H$50,0)</f>
        <v>192.739799234304</v>
      </c>
      <c r="G63" s="8" t="n">
        <f aca="false">IF(G$4-Assumptions!$C$70&gt;=1,INDEX('36-Month Forecast'!$C$279:$AL$279,1,G$4-Assumptions!$C$70)+INDEX('36-Month Forecast'!$C$276:$AL$276,1,G$4-Assumptions!$C$70)*'Unit Economics'!$H$50,0)</f>
        <v>194.281717628179</v>
      </c>
      <c r="H63" s="8" t="n">
        <f aca="false">IF(H$4-Assumptions!$C$70&gt;=1,INDEX('36-Month Forecast'!$C$279:$AL$279,1,H$4-Assumptions!$C$70)+INDEX('36-Month Forecast'!$C$276:$AL$276,1,H$4-Assumptions!$C$70)*'Unit Economics'!$H$50,0)</f>
        <v>290.127364991413</v>
      </c>
      <c r="I63" s="8" t="n">
        <f aca="false">IF(I$4-Assumptions!$C$70&gt;=1,INDEX('36-Month Forecast'!$C$279:$AL$279,1,I$4-Assumptions!$C$70)+INDEX('36-Month Forecast'!$C$276:$AL$276,1,I$4-Assumptions!$C$70)*'Unit Economics'!$H$50,0)</f>
        <v>341.189781229902</v>
      </c>
      <c r="J63" s="8" t="n">
        <f aca="false">IF(J$4-Assumptions!$C$70&gt;=1,INDEX('36-Month Forecast'!$C$279:$AL$279,1,J$4-Assumptions!$C$70)+INDEX('36-Month Forecast'!$C$276:$AL$276,1,J$4-Assumptions!$C$70)*'Unit Economics'!$H$50,0)</f>
        <v>345.738978312967</v>
      </c>
      <c r="K63" s="8" t="n">
        <f aca="false">IF(K$4-Assumptions!$C$70&gt;=1,INDEX('36-Month Forecast'!$C$279:$AL$279,1,K$4-Assumptions!$C$70)+INDEX('36-Month Forecast'!$C$276:$AL$276,1,K$4-Assumptions!$C$70)*'Unit Economics'!$H$50,0)</f>
        <v>407.608058642656</v>
      </c>
      <c r="L63" s="8" t="n">
        <f aca="false">IF(L$4-Assumptions!$C$70&gt;=1,INDEX('36-Month Forecast'!$C$279:$AL$279,1,L$4-Assumptions!$C$70)+INDEX('36-Month Forecast'!$C$276:$AL$276,1,L$4-Assumptions!$C$70)*'Unit Economics'!$H$50,0)</f>
        <v>433.694974395786</v>
      </c>
      <c r="M63" s="8" t="n">
        <f aca="false">IF(M$4-Assumptions!$C$70&gt;=1,INDEX('36-Month Forecast'!$C$279:$AL$279,1,M$4-Assumptions!$C$70)+INDEX('36-Month Forecast'!$C$276:$AL$276,1,M$4-Assumptions!$C$70)*'Unit Economics'!$H$50,0)</f>
        <v>434.608016447146</v>
      </c>
      <c r="N63" s="8" t="n">
        <f aca="false">IF(N$4-Assumptions!$C$70&gt;=1,INDEX('36-Month Forecast'!$C$279:$AL$279,1,N$4-Assumptions!$C$70)+INDEX('36-Month Forecast'!$C$276:$AL$276,1,N$4-Assumptions!$C$70)*'Unit Economics'!$H$50,0)</f>
        <v>486.760978420804</v>
      </c>
      <c r="O63" s="8" t="n">
        <f aca="false">IF(O$4-Assumptions!$C$70&gt;=1,INDEX('36-Month Forecast'!$C$279:$AL$279,1,O$4-Assumptions!$C$70)+INDEX('36-Month Forecast'!$C$276:$AL$276,1,O$4-Assumptions!$C$70)*'Unit Economics'!$H$50,0)</f>
        <v>582.10886419382</v>
      </c>
      <c r="P63" s="8" t="n">
        <f aca="false">IF(P$4-Assumptions!$C$70&gt;=1,INDEX('36-Month Forecast'!$C$279:$AL$279,1,P$4-Assumptions!$C$70)+INDEX('36-Month Forecast'!$C$276:$AL$276,1,P$4-Assumptions!$C$70)*'Unit Economics'!$H$50,0)</f>
        <v>852.329926414319</v>
      </c>
      <c r="Q63" s="8" t="n">
        <f aca="false">IF(Q$4-Assumptions!$C$70&gt;=1,INDEX('36-Month Forecast'!$C$279:$AL$279,1,Q$4-Assumptions!$C$70)+INDEX('36-Month Forecast'!$C$276:$AL$276,1,Q$4-Assumptions!$C$70)*'Unit Economics'!$H$50,0)</f>
        <v>947.069675927296</v>
      </c>
      <c r="R63" s="8" t="n">
        <f aca="false">IF(R$4-Assumptions!$C$70&gt;=1,INDEX('36-Month Forecast'!$C$279:$AL$279,1,R$4-Assumptions!$C$70)+INDEX('36-Month Forecast'!$C$276:$AL$276,1,R$4-Assumptions!$C$70)*'Unit Economics'!$H$50,0)</f>
        <v>938.300512261302</v>
      </c>
      <c r="S63" s="8" t="n">
        <f aca="false">IF(S$4-Assumptions!$C$70&gt;=1,INDEX('36-Month Forecast'!$C$279:$AL$279,1,S$4-Assumptions!$C$70)+INDEX('36-Month Forecast'!$C$276:$AL$276,1,S$4-Assumptions!$C$70)*'Unit Economics'!$H$50,0)</f>
        <v>722.866714646107</v>
      </c>
      <c r="T63" s="8" t="n">
        <f aca="false">IF(T$4-Assumptions!$C$70&gt;=1,INDEX('36-Month Forecast'!$C$279:$AL$279,1,T$4-Assumptions!$C$70)+INDEX('36-Month Forecast'!$C$276:$AL$276,1,T$4-Assumptions!$C$70)*'Unit Economics'!$H$50,0)</f>
        <v>859.408205190372</v>
      </c>
      <c r="U63" s="8" t="n">
        <f aca="false">IF(U$4-Assumptions!$C$70&gt;=1,INDEX('36-Month Forecast'!$C$279:$AL$279,1,U$4-Assumptions!$C$70)+INDEX('36-Month Forecast'!$C$276:$AL$276,1,U$4-Assumptions!$C$70)*'Unit Economics'!$H$50,0)</f>
        <v>965.545118531383</v>
      </c>
      <c r="V63" s="8" t="n">
        <f aca="false">IF(V$4-Assumptions!$C$70&gt;=1,INDEX('36-Month Forecast'!$C$279:$AL$279,1,V$4-Assumptions!$C$70)+INDEX('36-Month Forecast'!$C$276:$AL$276,1,V$4-Assumptions!$C$70)*'Unit Economics'!$H$50,0)</f>
        <v>934.739631416335</v>
      </c>
      <c r="W63" s="8" t="n">
        <f aca="false">IF(W$4-Assumptions!$C$70&gt;=1,INDEX('36-Month Forecast'!$C$279:$AL$279,1,W$4-Assumptions!$C$70)+INDEX('36-Month Forecast'!$C$276:$AL$276,1,W$4-Assumptions!$C$70)*'Unit Economics'!$H$50,0)</f>
        <v>1052.81200591103</v>
      </c>
      <c r="X63" s="8" t="n">
        <f aca="false">IF(X$4-Assumptions!$C$70&gt;=1,INDEX('36-Month Forecast'!$C$279:$AL$279,1,X$4-Assumptions!$C$70)+INDEX('36-Month Forecast'!$C$276:$AL$276,1,X$4-Assumptions!$C$70)*'Unit Economics'!$H$50,0)</f>
        <v>1070.18340400856</v>
      </c>
      <c r="Y63" s="8" t="n">
        <f aca="false">IF(Y$4-Assumptions!$C$70&gt;=1,INDEX('36-Month Forecast'!$C$279:$AL$279,1,Y$4-Assumptions!$C$70)+INDEX('36-Month Forecast'!$C$276:$AL$276,1,Y$4-Assumptions!$C$70)*'Unit Economics'!$H$50,0)</f>
        <v>1024.55979573241</v>
      </c>
      <c r="Z63" s="8" t="n">
        <f aca="false">IF(Z$4-Assumptions!$C$70&gt;=1,INDEX('36-Month Forecast'!$C$279:$AL$279,1,Z$4-Assumptions!$C$70)+INDEX('36-Month Forecast'!$C$276:$AL$276,1,Z$4-Assumptions!$C$70)*'Unit Economics'!$H$50,0)</f>
        <v>1096.27898143368</v>
      </c>
      <c r="AA63" s="8" t="n">
        <f aca="false">IF(AA$4-Assumptions!$C$70&gt;=1,INDEX('36-Month Forecast'!$C$279:$AL$279,1,AA$4-Assumptions!$C$70)+INDEX('36-Month Forecast'!$C$276:$AL$276,1,AA$4-Assumptions!$C$70)*'Unit Economics'!$H$50,0)</f>
        <v>1274.26309841938</v>
      </c>
      <c r="AB63" s="8" t="n">
        <f aca="false">IF(AB$4-Assumptions!$C$70&gt;=1,INDEX('36-Month Forecast'!$C$279:$AL$279,1,AB$4-Assumptions!$C$70)+INDEX('36-Month Forecast'!$C$276:$AL$276,1,AB$4-Assumptions!$C$70)*'Unit Economics'!$H$50,0)</f>
        <v>1813.47758848737</v>
      </c>
      <c r="AC63" s="8" t="n">
        <f aca="false">IF(AC$4-Assumptions!$C$70&gt;=1,INDEX('36-Month Forecast'!$C$279:$AL$279,1,AC$4-Assumptions!$C$70)+INDEX('36-Month Forecast'!$C$276:$AL$276,1,AC$4-Assumptions!$C$70)*'Unit Economics'!$H$50,0)</f>
        <v>1958.55579556636</v>
      </c>
      <c r="AD63" s="8" t="n">
        <f aca="false">IF(AD$4-Assumptions!$C$70&gt;=1,INDEX('36-Month Forecast'!$C$279:$AL$279,1,AD$4-Assumptions!$C$70)+INDEX('36-Month Forecast'!$C$276:$AL$276,1,AD$4-Assumptions!$C$70)*'Unit Economics'!$H$50,0)</f>
        <v>1886.01669202686</v>
      </c>
      <c r="AE63" s="8" t="n">
        <f aca="false">IF(AE$4-Assumptions!$C$70&gt;=1,INDEX('36-Month Forecast'!$C$279:$AL$279,1,AE$4-Assumptions!$C$70)+INDEX('36-Month Forecast'!$C$276:$AL$276,1,AE$4-Assumptions!$C$70)*'Unit Economics'!$H$50,0)</f>
        <v>1412.24929898971</v>
      </c>
      <c r="AF63" s="8" t="n">
        <f aca="false">IF(AF$4-Assumptions!$C$70&gt;=1,INDEX('36-Month Forecast'!$C$279:$AL$279,1,AF$4-Assumptions!$C$70)+INDEX('36-Month Forecast'!$C$276:$AL$276,1,AF$4-Assumptions!$C$70)*'Unit Economics'!$H$50,0)</f>
        <v>1631.932523277</v>
      </c>
      <c r="AG63" s="8" t="n">
        <f aca="false">IF(AG$4-Assumptions!$C$70&gt;=1,INDEX('36-Month Forecast'!$C$279:$AL$279,1,AG$4-Assumptions!$C$70)+INDEX('36-Month Forecast'!$C$276:$AL$276,1,AG$4-Assumptions!$C$70)*'Unit Economics'!$H$50,0)</f>
        <v>1782.07031541849</v>
      </c>
      <c r="AH63" s="8" t="n">
        <f aca="false">IF(AH$4-Assumptions!$C$70&gt;=1,INDEX('36-Month Forecast'!$C$279:$AL$279,1,AH$4-Assumptions!$C$70)+INDEX('36-Month Forecast'!$C$276:$AL$276,1,AH$4-Assumptions!$C$70)*'Unit Economics'!$H$50,0)</f>
        <v>1676.84330631759</v>
      </c>
      <c r="AI63" s="8" t="n">
        <f aca="false">IF(AI$4-Assumptions!$C$70&gt;=1,INDEX('36-Month Forecast'!$C$279:$AL$279,1,AI$4-Assumptions!$C$70)+INDEX('36-Month Forecast'!$C$276:$AL$276,1,AI$4-Assumptions!$C$70)*'Unit Economics'!$H$50,0)</f>
        <v>1835.70214586346</v>
      </c>
      <c r="AJ63" s="8" t="n">
        <f aca="false">IF(AJ$4-Assumptions!$C$70&gt;=1,INDEX('36-Month Forecast'!$C$279:$AL$279,1,AJ$4-Assumptions!$C$70)+INDEX('36-Month Forecast'!$C$276:$AL$276,1,AJ$4-Assumptions!$C$70)*'Unit Economics'!$H$50,0)</f>
        <v>1813.6737201131</v>
      </c>
      <c r="AK63" s="8" t="n">
        <f aca="false">IF(AK$4-Assumptions!$C$70&gt;=1,INDEX('36-Month Forecast'!$C$279:$AL$279,1,AK$4-Assumptions!$C$70)+INDEX('36-Month Forecast'!$C$276:$AL$276,1,AK$4-Assumptions!$C$70)*'Unit Economics'!$H$50,0)</f>
        <v>1687.67112482103</v>
      </c>
      <c r="AL63" s="8" t="n">
        <f aca="false">IF(AL$4-Assumptions!$C$70&gt;=1,INDEX('36-Month Forecast'!$C$279:$AL$279,1,AL$4-Assumptions!$C$70)+INDEX('36-Month Forecast'!$C$276:$AL$276,1,AL$4-Assumptions!$C$70)*'Unit Economics'!$H$50,0)</f>
        <v>1755.17796981388</v>
      </c>
      <c r="AM63" s="45" t="n">
        <f aca="false">SUMIF($C$6:$AL$6,1,C63:AL63)</f>
        <v>3453.89164601919</v>
      </c>
      <c r="AN63" s="45" t="n">
        <f aca="false">SUMIF($C$6:$AL$6,2,C63:AL63)</f>
        <v>11046.2028356666</v>
      </c>
      <c r="AO63" s="45" t="n">
        <f aca="false">SUMIF($C$6:$AL$6,3,C63:AL63)</f>
        <v>20527.6335791142</v>
      </c>
      <c r="AP63" s="45" t="n">
        <f aca="false">SUM(C63:AL63)</f>
        <v>35027.7280608</v>
      </c>
    </row>
    <row r="64" customFormat="false" ht="15" hidden="false" customHeight="false" outlineLevel="0" collapsed="false">
      <c r="A64" s="7" t="s">
        <v>811</v>
      </c>
      <c r="C64" s="8" t="n">
        <f aca="false">IF(C$4-Assumptions!$C$71&gt;=1,INDEX('36-Month Forecast'!$C$289:$AL$289,1,C$4-Assumptions!$C$71)+INDEX('36-Month Forecast'!$C$286:$AL$286,1,C$4-Assumptions!$C$71)*'Unit Economics'!$H$51,0)</f>
        <v>44.2936719642857</v>
      </c>
      <c r="D64" s="8" t="n">
        <f aca="false">IF(D$4-Assumptions!$C$71&gt;=1,INDEX('36-Month Forecast'!$C$289:$AL$289,1,D$4-Assumptions!$C$71)+INDEX('36-Month Forecast'!$C$286:$AL$286,1,D$4-Assumptions!$C$71)*'Unit Economics'!$H$51,0)</f>
        <v>135.7717608</v>
      </c>
      <c r="E64" s="8" t="n">
        <f aca="false">IF(E$4-Assumptions!$C$71&gt;=1,INDEX('36-Month Forecast'!$C$289:$AL$289,1,E$4-Assumptions!$C$71)+INDEX('36-Month Forecast'!$C$286:$AL$286,1,E$4-Assumptions!$C$71)*'Unit Economics'!$H$51,0)</f>
        <v>236.869502688</v>
      </c>
      <c r="F64" s="8" t="n">
        <f aca="false">IF(F$4-Assumptions!$C$71&gt;=1,INDEX('36-Month Forecast'!$C$289:$AL$289,1,F$4-Assumptions!$C$71)+INDEX('36-Month Forecast'!$C$286:$AL$286,1,F$4-Assumptions!$C$71)*'Unit Economics'!$H$51,0)</f>
        <v>327.523262976</v>
      </c>
      <c r="G64" s="8" t="n">
        <f aca="false">IF(G$4-Assumptions!$C$71&gt;=1,INDEX('36-Month Forecast'!$C$289:$AL$289,1,G$4-Assumptions!$C$71)+INDEX('36-Month Forecast'!$C$286:$AL$286,1,G$4-Assumptions!$C$71)*'Unit Economics'!$H$51,0)</f>
        <v>330.143449079808</v>
      </c>
      <c r="H64" s="8" t="n">
        <f aca="false">IF(H$4-Assumptions!$C$71&gt;=1,INDEX('36-Month Forecast'!$C$289:$AL$289,1,H$4-Assumptions!$C$71)+INDEX('36-Month Forecast'!$C$286:$AL$286,1,H$4-Assumptions!$C$71)*'Unit Economics'!$H$51,0)</f>
        <v>493.014217292514</v>
      </c>
      <c r="I64" s="8" t="n">
        <f aca="false">IF(I$4-Assumptions!$C$71&gt;=1,INDEX('36-Month Forecast'!$C$289:$AL$289,1,I$4-Assumptions!$C$71)+INDEX('36-Month Forecast'!$C$286:$AL$286,1,I$4-Assumptions!$C$71)*'Unit Economics'!$H$51,0)</f>
        <v>579.784719535996</v>
      </c>
      <c r="J64" s="8" t="n">
        <f aca="false">IF(J$4-Assumptions!$C$71&gt;=1,INDEX('36-Month Forecast'!$C$289:$AL$289,1,J$4-Assumptions!$C$71)+INDEX('36-Month Forecast'!$C$286:$AL$286,1,J$4-Assumptions!$C$71)*'Unit Economics'!$H$51,0)</f>
        <v>587.515182463143</v>
      </c>
      <c r="K64" s="8" t="n">
        <f aca="false">IF(K$4-Assumptions!$C$71&gt;=1,INDEX('36-Month Forecast'!$C$289:$AL$289,1,K$4-Assumptions!$C$71)+INDEX('36-Month Forecast'!$C$286:$AL$286,1,K$4-Assumptions!$C$71)*'Unit Economics'!$H$51,0)</f>
        <v>692.649478272337</v>
      </c>
      <c r="L64" s="8" t="n">
        <f aca="false">IF(L$4-Assumptions!$C$71&gt;=1,INDEX('36-Month Forecast'!$C$289:$AL$289,1,L$4-Assumptions!$C$71)+INDEX('36-Month Forecast'!$C$286:$AL$286,1,L$4-Assumptions!$C$71)*'Unit Economics'!$H$51,0)</f>
        <v>736.979044881766</v>
      </c>
      <c r="M64" s="8" t="n">
        <f aca="false">IF(M$4-Assumptions!$C$71&gt;=1,INDEX('36-Month Forecast'!$C$289:$AL$289,1,M$4-Assumptions!$C$71)+INDEX('36-Month Forecast'!$C$286:$AL$286,1,M$4-Assumptions!$C$71)*'Unit Economics'!$H$51,0)</f>
        <v>738.530579713097</v>
      </c>
      <c r="N64" s="8" t="n">
        <f aca="false">IF(N$4-Assumptions!$C$71&gt;=1,INDEX('36-Month Forecast'!$C$289:$AL$289,1,N$4-Assumptions!$C$71)+INDEX('36-Month Forecast'!$C$286:$AL$286,1,N$4-Assumptions!$C$71)*'Unit Economics'!$H$51,0)</f>
        <v>827.154249278668</v>
      </c>
      <c r="O64" s="8" t="n">
        <f aca="false">IF(O$4-Assumptions!$C$71&gt;=1,INDEX('36-Month Forecast'!$C$289:$AL$289,1,O$4-Assumptions!$C$71)+INDEX('36-Month Forecast'!$C$286:$AL$286,1,O$4-Assumptions!$C$71)*'Unit Economics'!$H$51,0)</f>
        <v>979.934504733669</v>
      </c>
      <c r="P64" s="8" t="n">
        <f aca="false">IF(P$4-Assumptions!$C$71&gt;=1,INDEX('36-Month Forecast'!$C$289:$AL$289,1,P$4-Assumptions!$C$71)+INDEX('36-Month Forecast'!$C$286:$AL$286,1,P$4-Assumptions!$C$71)*'Unit Economics'!$H$51,0)</f>
        <v>1421.42078686631</v>
      </c>
      <c r="Q64" s="8" t="n">
        <f aca="false">IF(Q$4-Assumptions!$C$71&gt;=1,INDEX('36-Month Forecast'!$C$289:$AL$289,1,Q$4-Assumptions!$C$71)+INDEX('36-Month Forecast'!$C$286:$AL$286,1,Q$4-Assumptions!$C$71)*'Unit Economics'!$H$51,0)</f>
        <v>1564.65626615822</v>
      </c>
      <c r="R64" s="8" t="n">
        <f aca="false">IF(R$4-Assumptions!$C$71&gt;=1,INDEX('36-Month Forecast'!$C$289:$AL$289,1,R$4-Assumptions!$C$71)+INDEX('36-Month Forecast'!$C$286:$AL$286,1,R$4-Assumptions!$C$71)*'Unit Economics'!$H$51,0)</f>
        <v>1535.68115011826</v>
      </c>
      <c r="S64" s="8" t="n">
        <f aca="false">IF(S$4-Assumptions!$C$71&gt;=1,INDEX('36-Month Forecast'!$C$289:$AL$289,1,S$4-Assumptions!$C$71)+INDEX('36-Month Forecast'!$C$286:$AL$286,1,S$4-Assumptions!$C$71)*'Unit Economics'!$H$51,0)</f>
        <v>1172.03185377025</v>
      </c>
      <c r="T64" s="8" t="n">
        <f aca="false">IF(T$4-Assumptions!$C$71&gt;=1,INDEX('36-Month Forecast'!$C$289:$AL$289,1,T$4-Assumptions!$C$71)+INDEX('36-Month Forecast'!$C$286:$AL$286,1,T$4-Assumptions!$C$71)*'Unit Economics'!$H$51,0)</f>
        <v>1380.3930722183</v>
      </c>
      <c r="U64" s="8" t="n">
        <f aca="false">IF(U$4-Assumptions!$C$71&gt;=1,INDEX('36-Month Forecast'!$C$289:$AL$289,1,U$4-Assumptions!$C$71)+INDEX('36-Month Forecast'!$C$286:$AL$286,1,U$4-Assumptions!$C$71)*'Unit Economics'!$H$51,0)</f>
        <v>1536.37748937897</v>
      </c>
      <c r="V64" s="8" t="n">
        <f aca="false">IF(V$4-Assumptions!$C$71&gt;=1,INDEX('36-Month Forecast'!$C$289:$AL$289,1,V$4-Assumptions!$C$71)+INDEX('36-Month Forecast'!$C$286:$AL$286,1,V$4-Assumptions!$C$71)*'Unit Economics'!$H$51,0)</f>
        <v>1473.45917314726</v>
      </c>
      <c r="W64" s="8" t="n">
        <f aca="false">IF(W$4-Assumptions!$C$71&gt;=1,INDEX('36-Month Forecast'!$C$289:$AL$289,1,W$4-Assumptions!$C$71)+INDEX('36-Month Forecast'!$C$286:$AL$286,1,W$4-Assumptions!$C$71)*'Unit Economics'!$H$51,0)</f>
        <v>1644.07023530115</v>
      </c>
      <c r="X64" s="8" t="n">
        <f aca="false">IF(X$4-Assumptions!$C$71&gt;=1,INDEX('36-Month Forecast'!$C$289:$AL$289,1,X$4-Assumptions!$C$71)+INDEX('36-Month Forecast'!$C$286:$AL$286,1,X$4-Assumptions!$C$71)*'Unit Economics'!$H$51,0)</f>
        <v>1655.57872694826</v>
      </c>
      <c r="Y64" s="8" t="n">
        <f aca="false">IF(Y$4-Assumptions!$C$71&gt;=1,INDEX('36-Month Forecast'!$C$289:$AL$289,1,Y$4-Assumptions!$C$71)+INDEX('36-Month Forecast'!$C$286:$AL$286,1,Y$4-Assumptions!$C$71)*'Unit Economics'!$H$51,0)</f>
        <v>1570.18571892672</v>
      </c>
      <c r="Z64" s="8" t="n">
        <f aca="false">IF(Z$4-Assumptions!$C$71&gt;=1,INDEX('36-Month Forecast'!$C$289:$AL$289,1,Z$4-Assumptions!$C$71)+INDEX('36-Month Forecast'!$C$286:$AL$286,1,Z$4-Assumptions!$C$71)*'Unit Economics'!$H$51,0)</f>
        <v>1664.39686206232</v>
      </c>
      <c r="AA64" s="8" t="n">
        <f aca="false">IF(AA$4-Assumptions!$C$71&gt;=1,INDEX('36-Month Forecast'!$C$289:$AL$289,1,AA$4-Assumptions!$C$71)+INDEX('36-Month Forecast'!$C$286:$AL$286,1,AA$4-Assumptions!$C$71)*'Unit Economics'!$H$51,0)</f>
        <v>1916.01450532704</v>
      </c>
      <c r="AB64" s="8" t="n">
        <f aca="false">IF(AB$4-Assumptions!$C$71&gt;=1,INDEX('36-Month Forecast'!$C$289:$AL$289,1,AB$4-Assumptions!$C$71)+INDEX('36-Month Forecast'!$C$286:$AL$286,1,AB$4-Assumptions!$C$71)*'Unit Economics'!$H$51,0)</f>
        <v>2700.57202382411</v>
      </c>
      <c r="AC64" s="8" t="n">
        <f aca="false">IF(AC$4-Assumptions!$C$71&gt;=1,INDEX('36-Month Forecast'!$C$289:$AL$289,1,AC$4-Assumptions!$C$71)+INDEX('36-Month Forecast'!$C$286:$AL$286,1,AC$4-Assumptions!$C$71)*'Unit Economics'!$H$51,0)</f>
        <v>2888.57338394417</v>
      </c>
      <c r="AD64" s="8" t="n">
        <f aca="false">IF(AD$4-Assumptions!$C$71&gt;=1,INDEX('36-Month Forecast'!$C$289:$AL$289,1,AD$4-Assumptions!$C$71)+INDEX('36-Month Forecast'!$C$286:$AL$286,1,AD$4-Assumptions!$C$71)*'Unit Economics'!$H$51,0)</f>
        <v>2754.84313468749</v>
      </c>
      <c r="AE64" s="8" t="n">
        <f aca="false">IF(AE$4-Assumptions!$C$71&gt;=1,INDEX('36-Month Forecast'!$C$289:$AL$289,1,AE$4-Assumptions!$C$71)+INDEX('36-Month Forecast'!$C$286:$AL$286,1,AE$4-Assumptions!$C$71)*'Unit Economics'!$H$51,0)</f>
        <v>2042.99166868425</v>
      </c>
      <c r="AF64" s="8" t="n">
        <f aca="false">IF(AF$4-Assumptions!$C$71&gt;=1,INDEX('36-Month Forecast'!$C$289:$AL$289,1,AF$4-Assumptions!$C$71)+INDEX('36-Month Forecast'!$C$286:$AL$286,1,AF$4-Assumptions!$C$71)*'Unit Economics'!$H$51,0)</f>
        <v>2338.09046527197</v>
      </c>
      <c r="AG64" s="8" t="n">
        <f aca="false">IF(AG$4-Assumptions!$C$71&gt;=1,INDEX('36-Month Forecast'!$C$289:$AL$289,1,AG$4-Assumptions!$C$71)+INDEX('36-Month Forecast'!$C$286:$AL$286,1,AG$4-Assumptions!$C$71)*'Unit Economics'!$H$51,0)</f>
        <v>2528.64483819164</v>
      </c>
      <c r="AH64" s="8" t="n">
        <f aca="false">IF(AH$4-Assumptions!$C$71&gt;=1,INDEX('36-Month Forecast'!$C$289:$AL$289,1,AH$4-Assumptions!$C$71)+INDEX('36-Month Forecast'!$C$286:$AL$286,1,AH$4-Assumptions!$C$71)*'Unit Economics'!$H$51,0)</f>
        <v>2356.45616587668</v>
      </c>
      <c r="AI64" s="8" t="n">
        <f aca="false">IF(AI$4-Assumptions!$C$71&gt;=1,INDEX('36-Month Forecast'!$C$289:$AL$289,1,AI$4-Assumptions!$C$71)+INDEX('36-Month Forecast'!$C$286:$AL$286,1,AI$4-Assumptions!$C$71)*'Unit Economics'!$H$51,0)</f>
        <v>2554.89457984524</v>
      </c>
      <c r="AJ64" s="8" t="n">
        <f aca="false">IF(AJ$4-Assumptions!$C$71&gt;=1,INDEX('36-Month Forecast'!$C$289:$AL$289,1,AJ$4-Assumptions!$C$71)+INDEX('36-Month Forecast'!$C$286:$AL$286,1,AJ$4-Assumptions!$C$71)*'Unit Economics'!$H$51,0)</f>
        <v>2499.96434637857</v>
      </c>
      <c r="AK64" s="8" t="n">
        <f aca="false">IF(AK$4-Assumptions!$C$71&gt;=1,INDEX('36-Month Forecast'!$C$289:$AL$289,1,AK$4-Assumptions!$C$71)+INDEX('36-Month Forecast'!$C$286:$AL$286,1,AK$4-Assumptions!$C$71)*'Unit Economics'!$H$51,0)</f>
        <v>2303.91451079415</v>
      </c>
      <c r="AL64" s="8" t="n">
        <f aca="false">IF(AL$4-Assumptions!$C$71&gt;=1,INDEX('36-Month Forecast'!$C$289:$AL$289,1,AL$4-Assumptions!$C$71)+INDEX('36-Month Forecast'!$C$286:$AL$286,1,AL$4-Assumptions!$C$71)*'Unit Economics'!$H$51,0)</f>
        <v>2373.03194611797</v>
      </c>
      <c r="AM64" s="45" t="n">
        <f aca="false">SUMIF($C$6:$AL$6,1,C64:AL64)</f>
        <v>5730.22911894561</v>
      </c>
      <c r="AN64" s="45" t="n">
        <f aca="false">SUMIF($C$6:$AL$6,2,C64:AL64)</f>
        <v>17598.1858396297</v>
      </c>
      <c r="AO64" s="45" t="n">
        <f aca="false">SUMIF($C$6:$AL$6,3,C64:AL64)</f>
        <v>29257.9915689433</v>
      </c>
      <c r="AP64" s="45" t="n">
        <f aca="false">SUM(C64:AL64)</f>
        <v>52586.4065275186</v>
      </c>
    </row>
    <row r="65" customFormat="false" ht="15" hidden="false" customHeight="false" outlineLevel="0" collapsed="false">
      <c r="A65" s="7" t="s">
        <v>812</v>
      </c>
      <c r="C65" s="8" t="n">
        <f aca="false">IF(C$4-Assumptions!$C$72&gt;=1,INDEX('36-Month Forecast'!$C$299:$AL$299,1,C$4-Assumptions!$C$72)+INDEX('36-Month Forecast'!$C$296:$AL$296,1,C$4-Assumptions!$C$72)*'Unit Economics'!$H$52,0)</f>
        <v>0</v>
      </c>
      <c r="D65" s="8" t="n">
        <f aca="false">IF(D$4-Assumptions!$C$72&gt;=1,INDEX('36-Month Forecast'!$C$299:$AL$299,1,D$4-Assumptions!$C$72)+INDEX('36-Month Forecast'!$C$296:$AL$296,1,D$4-Assumptions!$C$72)*'Unit Economics'!$H$52,0)</f>
        <v>0</v>
      </c>
      <c r="E65" s="8" t="n">
        <f aca="false">IF(E$4-Assumptions!$C$72&gt;=1,INDEX('36-Month Forecast'!$C$299:$AL$299,1,E$4-Assumptions!$C$72)+INDEX('36-Month Forecast'!$C$296:$AL$296,1,E$4-Assumptions!$C$72)*'Unit Economics'!$H$52,0)</f>
        <v>0</v>
      </c>
      <c r="F65" s="8" t="n">
        <f aca="false">IF(F$4-Assumptions!$C$72&gt;=1,INDEX('36-Month Forecast'!$C$299:$AL$299,1,F$4-Assumptions!$C$72)+INDEX('36-Month Forecast'!$C$296:$AL$296,1,F$4-Assumptions!$C$72)*'Unit Economics'!$H$52,0)</f>
        <v>78.27534</v>
      </c>
      <c r="G65" s="8" t="n">
        <f aca="false">IF(G$4-Assumptions!$C$72&gt;=1,INDEX('36-Month Forecast'!$C$299:$AL$299,1,G$4-Assumptions!$C$72)+INDEX('36-Month Forecast'!$C$296:$AL$296,1,G$4-Assumptions!$C$72)*'Unit Economics'!$H$52,0)</f>
        <v>178.829046</v>
      </c>
      <c r="H65" s="8" t="n">
        <f aca="false">IF(H$4-Assumptions!$C$72&gt;=1,INDEX('36-Month Forecast'!$C$299:$AL$299,1,H$4-Assumptions!$C$72)+INDEX('36-Month Forecast'!$C$296:$AL$296,1,H$4-Assumptions!$C$72)*'Unit Economics'!$H$52,0)</f>
        <v>273.2110425</v>
      </c>
      <c r="I65" s="8" t="n">
        <f aca="false">IF(I$4-Assumptions!$C$72&gt;=1,INDEX('36-Month Forecast'!$C$299:$AL$299,1,I$4-Assumptions!$C$72)+INDEX('36-Month Forecast'!$C$296:$AL$296,1,I$4-Assumptions!$C$72)*'Unit Economics'!$H$52,0)</f>
        <v>288.51086088</v>
      </c>
      <c r="J65" s="8" t="n">
        <f aca="false">IF(J$4-Assumptions!$C$72&gt;=1,INDEX('36-Month Forecast'!$C$299:$AL$299,1,J$4-Assumptions!$C$72)+INDEX('36-Month Forecast'!$C$296:$AL$296,1,J$4-Assumptions!$C$72)*'Unit Economics'!$H$52,0)</f>
        <v>440.7804819</v>
      </c>
      <c r="K65" s="8" t="n">
        <f aca="false">IF(K$4-Assumptions!$C$72&gt;=1,INDEX('36-Month Forecast'!$C$299:$AL$299,1,K$4-Assumptions!$C$72)+INDEX('36-Month Forecast'!$C$296:$AL$296,1,K$4-Assumptions!$C$72)*'Unit Economics'!$H$52,0)</f>
        <v>610.9217479134</v>
      </c>
      <c r="L65" s="8" t="n">
        <f aca="false">IF(L$4-Assumptions!$C$72&gt;=1,INDEX('36-Month Forecast'!$C$299:$AL$299,1,L$4-Assumptions!$C$72)+INDEX('36-Month Forecast'!$C$296:$AL$296,1,L$4-Assumptions!$C$72)*'Unit Economics'!$H$52,0)</f>
        <v>608.01259673286</v>
      </c>
      <c r="M65" s="8" t="n">
        <f aca="false">IF(M$4-Assumptions!$C$72&gt;=1,INDEX('36-Month Forecast'!$C$299:$AL$299,1,M$4-Assumptions!$C$72)+INDEX('36-Month Forecast'!$C$296:$AL$296,1,M$4-Assumptions!$C$72)*'Unit Economics'!$H$52,0)</f>
        <v>704.01458569068</v>
      </c>
      <c r="N65" s="8" t="n">
        <f aca="false">IF(N$4-Assumptions!$C$72&gt;=1,INDEX('36-Month Forecast'!$C$299:$AL$299,1,N$4-Assumptions!$C$72)+INDEX('36-Month Forecast'!$C$296:$AL$296,1,N$4-Assumptions!$C$72)*'Unit Economics'!$H$52,0)</f>
        <v>735.695242046761</v>
      </c>
      <c r="O65" s="8" t="n">
        <f aca="false">IF(O$4-Assumptions!$C$72&gt;=1,INDEX('36-Month Forecast'!$C$299:$AL$299,1,O$4-Assumptions!$C$72)+INDEX('36-Month Forecast'!$C$296:$AL$296,1,O$4-Assumptions!$C$72)*'Unit Economics'!$H$52,0)</f>
        <v>724.079001382865</v>
      </c>
      <c r="P65" s="8" t="n">
        <f aca="false">IF(P$4-Assumptions!$C$72&gt;=1,INDEX('36-Month Forecast'!$C$299:$AL$299,1,P$4-Assumptions!$C$72)+INDEX('36-Month Forecast'!$C$296:$AL$296,1,P$4-Assumptions!$C$72)*'Unit Economics'!$H$52,0)</f>
        <v>796.486901521152</v>
      </c>
      <c r="Q65" s="8" t="n">
        <f aca="false">IF(Q$4-Assumptions!$C$72&gt;=1,INDEX('36-Month Forecast'!$C$299:$AL$299,1,Q$4-Assumptions!$C$72)+INDEX('36-Month Forecast'!$C$296:$AL$296,1,Q$4-Assumptions!$C$72)*'Unit Economics'!$H$52,0)</f>
        <v>934.70080502041</v>
      </c>
      <c r="R65" s="8" t="n">
        <f aca="false">IF(R$4-Assumptions!$C$72&gt;=1,INDEX('36-Month Forecast'!$C$299:$AL$299,1,R$4-Assumptions!$C$72)+INDEX('36-Month Forecast'!$C$296:$AL$296,1,R$4-Assumptions!$C$72)*'Unit Economics'!$H$52,0)</f>
        <v>1343.01747247669</v>
      </c>
      <c r="S65" s="8" t="n">
        <f aca="false">IF(S$4-Assumptions!$C$72&gt;=1,INDEX('36-Month Forecast'!$C$299:$AL$299,1,S$4-Assumptions!$C$72)+INDEX('36-Month Forecast'!$C$296:$AL$296,1,S$4-Assumptions!$C$72)*'Unit Economics'!$H$52,0)</f>
        <v>1464.40559018132</v>
      </c>
      <c r="T65" s="8" t="n">
        <f aca="false">IF(T$4-Assumptions!$C$72&gt;=1,INDEX('36-Month Forecast'!$C$299:$AL$299,1,T$4-Assumptions!$C$72)+INDEX('36-Month Forecast'!$C$296:$AL$296,1,T$4-Assumptions!$C$72)*'Unit Economics'!$H$52,0)</f>
        <v>1423.72765712073</v>
      </c>
      <c r="U65" s="8" t="n">
        <f aca="false">IF(U$4-Assumptions!$C$72&gt;=1,INDEX('36-Month Forecast'!$C$299:$AL$299,1,U$4-Assumptions!$C$72)+INDEX('36-Month Forecast'!$C$296:$AL$296,1,U$4-Assumptions!$C$72)*'Unit Economics'!$H$52,0)</f>
        <v>1076.33810878327</v>
      </c>
      <c r="V65" s="8" t="n">
        <f aca="false">IF(V$4-Assumptions!$C$72&gt;=1,INDEX('36-Month Forecast'!$C$299:$AL$299,1,V$4-Assumptions!$C$72)+INDEX('36-Month Forecast'!$C$296:$AL$296,1,V$4-Assumptions!$C$72)*'Unit Economics'!$H$52,0)</f>
        <v>1255.72779358048</v>
      </c>
      <c r="W65" s="8" t="n">
        <f aca="false">IF(W$4-Assumptions!$C$72&gt;=1,INDEX('36-Month Forecast'!$C$299:$AL$299,1,W$4-Assumptions!$C$72)+INDEX('36-Month Forecast'!$C$296:$AL$296,1,W$4-Assumptions!$C$72)*'Unit Economics'!$H$52,0)</f>
        <v>1384.43989242248</v>
      </c>
      <c r="X65" s="8" t="n">
        <f aca="false">IF(X$4-Assumptions!$C$72&gt;=1,INDEX('36-Month Forecast'!$C$299:$AL$299,1,X$4-Assumptions!$C$72)+INDEX('36-Month Forecast'!$C$296:$AL$296,1,X$4-Assumptions!$C$72)*'Unit Economics'!$H$52,0)</f>
        <v>1315.21789780136</v>
      </c>
      <c r="Y65" s="8" t="n">
        <f aca="false">IF(Y$4-Assumptions!$C$72&gt;=1,INDEX('36-Month Forecast'!$C$299:$AL$299,1,Y$4-Assumptions!$C$72)+INDEX('36-Month Forecast'!$C$296:$AL$296,1,Y$4-Assumptions!$C$72)*'Unit Economics'!$H$52,0)</f>
        <v>1453.66188704361</v>
      </c>
      <c r="Z65" s="8" t="n">
        <f aca="false">IF(Z$4-Assumptions!$C$72&gt;=1,INDEX('36-Month Forecast'!$C$299:$AL$299,1,Z$4-Assumptions!$C$72)+INDEX('36-Month Forecast'!$C$296:$AL$296,1,Z$4-Assumptions!$C$72)*'Unit Economics'!$H$52,0)</f>
        <v>1450.027732326</v>
      </c>
      <c r="AA65" s="8" t="n">
        <f aca="false">IF(AA$4-Assumptions!$C$72&gt;=1,INDEX('36-Month Forecast'!$C$299:$AL$299,1,AA$4-Assumptions!$C$72)+INDEX('36-Month Forecast'!$C$296:$AL$296,1,AA$4-Assumptions!$C$72)*'Unit Economics'!$H$52,0)</f>
        <v>1362.26289589574</v>
      </c>
      <c r="AB65" s="8" t="n">
        <f aca="false">IF(AB$4-Assumptions!$C$72&gt;=1,INDEX('36-Month Forecast'!$C$299:$AL$299,1,AB$4-Assumptions!$C$72)+INDEX('36-Month Forecast'!$C$296:$AL$296,1,AB$4-Assumptions!$C$72)*'Unit Economics'!$H$52,0)</f>
        <v>1430.37604069053</v>
      </c>
      <c r="AC65" s="8" t="n">
        <f aca="false">IF(AC$4-Assumptions!$C$72&gt;=1,INDEX('36-Month Forecast'!$C$299:$AL$299,1,AC$4-Assumptions!$C$72)+INDEX('36-Month Forecast'!$C$296:$AL$296,1,AC$4-Assumptions!$C$72)*'Unit Economics'!$H$52,0)</f>
        <v>1646.61524213609</v>
      </c>
      <c r="AD65" s="8" t="n">
        <f aca="false">IF(AD$4-Assumptions!$C$72&gt;=1,INDEX('36-Month Forecast'!$C$299:$AL$299,1,AD$4-Assumptions!$C$72)+INDEX('36-Month Forecast'!$C$296:$AL$296,1,AD$4-Assumptions!$C$72)*'Unit Economics'!$H$52,0)</f>
        <v>2320.86085181077</v>
      </c>
      <c r="AE65" s="8" t="n">
        <f aca="false">IF(AE$4-Assumptions!$C$72&gt;=1,INDEX('36-Month Forecast'!$C$299:$AL$299,1,AE$4-Assumptions!$C$72)+INDEX('36-Month Forecast'!$C$296:$AL$296,1,AE$4-Assumptions!$C$72)*'Unit Economics'!$H$52,0)</f>
        <v>2482.42847264836</v>
      </c>
      <c r="AF65" s="8" t="n">
        <f aca="false">IF(AF$4-Assumptions!$C$72&gt;=1,INDEX('36-Month Forecast'!$C$299:$AL$299,1,AF$4-Assumptions!$C$72)+INDEX('36-Month Forecast'!$C$296:$AL$296,1,AF$4-Assumptions!$C$72)*'Unit Economics'!$H$52,0)</f>
        <v>2367.50122854427</v>
      </c>
      <c r="AG65" s="8" t="n">
        <f aca="false">IF(AG$4-Assumptions!$C$72&gt;=1,INDEX('36-Month Forecast'!$C$299:$AL$299,1,AG$4-Assumptions!$C$72)+INDEX('36-Month Forecast'!$C$296:$AL$296,1,AG$4-Assumptions!$C$72)*'Unit Economics'!$H$52,0)</f>
        <v>1755.73891108843</v>
      </c>
      <c r="AH65" s="8" t="n">
        <f aca="false">IF(AH$4-Assumptions!$C$72&gt;=1,INDEX('36-Month Forecast'!$C$299:$AL$299,1,AH$4-Assumptions!$C$72)+INDEX('36-Month Forecast'!$C$296:$AL$296,1,AH$4-Assumptions!$C$72)*'Unit Economics'!$H$52,0)</f>
        <v>2009.3456426901</v>
      </c>
      <c r="AI65" s="8" t="n">
        <f aca="false">IF(AI$4-Assumptions!$C$72&gt;=1,INDEX('36-Month Forecast'!$C$299:$AL$299,1,AI$4-Assumptions!$C$72)+INDEX('36-Month Forecast'!$C$296:$AL$296,1,AI$4-Assumptions!$C$72)*'Unit Economics'!$H$52,0)</f>
        <v>2173.10731256934</v>
      </c>
      <c r="AJ65" s="8" t="n">
        <f aca="false">IF(AJ$4-Assumptions!$C$72&gt;=1,INDEX('36-Month Forecast'!$C$299:$AL$299,1,AJ$4-Assumptions!$C$72)+INDEX('36-Month Forecast'!$C$296:$AL$296,1,AJ$4-Assumptions!$C$72)*'Unit Economics'!$H$52,0)</f>
        <v>2025.12905271343</v>
      </c>
      <c r="AK65" s="8" t="n">
        <f aca="false">IF(AK$4-Assumptions!$C$72&gt;=1,INDEX('36-Month Forecast'!$C$299:$AL$299,1,AK$4-Assumptions!$C$72)+INDEX('36-Month Forecast'!$C$296:$AL$296,1,AK$4-Assumptions!$C$72)*'Unit Economics'!$H$52,0)</f>
        <v>2195.66623609982</v>
      </c>
      <c r="AL65" s="8" t="n">
        <f aca="false">IF(AL$4-Assumptions!$C$72&gt;=1,INDEX('36-Month Forecast'!$C$299:$AL$299,1,AL$4-Assumptions!$C$72)+INDEX('36-Month Forecast'!$C$296:$AL$296,1,AL$4-Assumptions!$C$72)*'Unit Economics'!$H$52,0)</f>
        <v>2148.45941202367</v>
      </c>
      <c r="AM65" s="45" t="n">
        <f aca="false">SUMIF($C$6:$AL$6,1,C65:AL65)</f>
        <v>3918.2509436637</v>
      </c>
      <c r="AN65" s="45" t="n">
        <f aca="false">SUMIF($C$6:$AL$6,2,C65:AL65)</f>
        <v>14621.8307396604</v>
      </c>
      <c r="AO65" s="45" t="n">
        <f aca="false">SUMIF($C$6:$AL$6,3,C65:AL65)</f>
        <v>23917.4912989105</v>
      </c>
      <c r="AP65" s="45" t="n">
        <f aca="false">SUM(C65:AL65)</f>
        <v>42457.5729822346</v>
      </c>
    </row>
    <row r="66" customFormat="false" ht="15" hidden="false" customHeight="false" outlineLevel="0" collapsed="false">
      <c r="A66" s="7" t="s">
        <v>813</v>
      </c>
      <c r="C66" s="8" t="n">
        <f aca="false">IF(C$4-Assumptions!$C$73&gt;=1,INDEX('36-Month Forecast'!$C$309:$AL$309,1,C$4-Assumptions!$C$73)+INDEX('36-Month Forecast'!$C$306:$AL$306,1,C$4-Assumptions!$C$73)*'Unit Economics'!$H$53,0)</f>
        <v>0</v>
      </c>
      <c r="D66" s="8" t="n">
        <f aca="false">IF(D$4-Assumptions!$C$73&gt;=1,INDEX('36-Month Forecast'!$C$309:$AL$309,1,D$4-Assumptions!$C$73)+INDEX('36-Month Forecast'!$C$306:$AL$306,1,D$4-Assumptions!$C$73)*'Unit Economics'!$H$53,0)</f>
        <v>0</v>
      </c>
      <c r="E66" s="8" t="n">
        <f aca="false">IF(E$4-Assumptions!$C$73&gt;=1,INDEX('36-Month Forecast'!$C$309:$AL$309,1,E$4-Assumptions!$C$73)+INDEX('36-Month Forecast'!$C$306:$AL$306,1,E$4-Assumptions!$C$73)*'Unit Economics'!$H$53,0)</f>
        <v>0</v>
      </c>
      <c r="F66" s="8" t="n">
        <f aca="false">IF(F$4-Assumptions!$C$73&gt;=1,INDEX('36-Month Forecast'!$C$309:$AL$309,1,F$4-Assumptions!$C$73)+INDEX('36-Month Forecast'!$C$306:$AL$306,1,F$4-Assumptions!$C$73)*'Unit Economics'!$H$53,0)</f>
        <v>-0</v>
      </c>
      <c r="G66" s="8" t="n">
        <f aca="false">IF(G$4-Assumptions!$C$73&gt;=1,INDEX('36-Month Forecast'!$C$309:$AL$309,1,G$4-Assumptions!$C$73)+INDEX('36-Month Forecast'!$C$306:$AL$306,1,G$4-Assumptions!$C$73)*'Unit Economics'!$H$53,0)</f>
        <v>0</v>
      </c>
      <c r="H66" s="8" t="n">
        <f aca="false">IF(H$4-Assumptions!$C$73&gt;=1,INDEX('36-Month Forecast'!$C$309:$AL$309,1,H$4-Assumptions!$C$73)+INDEX('36-Month Forecast'!$C$306:$AL$306,1,H$4-Assumptions!$C$73)*'Unit Economics'!$H$53,0)</f>
        <v>4.6156989375</v>
      </c>
      <c r="I66" s="8" t="n">
        <f aca="false">IF(I$4-Assumptions!$C$73&gt;=1,INDEX('36-Month Forecast'!$C$309:$AL$309,1,I$4-Assumptions!$C$73)+INDEX('36-Month Forecast'!$C$306:$AL$306,1,I$4-Assumptions!$C$73)*'Unit Economics'!$H$53,0)</f>
        <v>9.06044606249999</v>
      </c>
      <c r="J66" s="8" t="n">
        <f aca="false">IF(J$4-Assumptions!$C$73&gt;=1,INDEX('36-Month Forecast'!$C$309:$AL$309,1,J$4-Assumptions!$C$73)+INDEX('36-Month Forecast'!$C$306:$AL$306,1,J$4-Assumptions!$C$73)*'Unit Economics'!$H$53,0)</f>
        <v>10.37239865235</v>
      </c>
      <c r="K66" s="8" t="n">
        <f aca="false">IF(K$4-Assumptions!$C$73&gt;=1,INDEX('36-Month Forecast'!$C$309:$AL$309,1,K$4-Assumptions!$C$73)+INDEX('36-Month Forecast'!$C$306:$AL$306,1,K$4-Assumptions!$C$73)*'Unit Economics'!$H$53,0)</f>
        <v>16.28850751332</v>
      </c>
      <c r="L66" s="8" t="n">
        <f aca="false">IF(L$4-Assumptions!$C$73&gt;=1,INDEX('36-Month Forecast'!$C$309:$AL$309,1,L$4-Assumptions!$C$73)+INDEX('36-Month Forecast'!$C$306:$AL$306,1,L$4-Assumptions!$C$73)*'Unit Economics'!$H$53,0)</f>
        <v>22.6613860779064</v>
      </c>
      <c r="M66" s="8" t="n">
        <f aca="false">IF(M$4-Assumptions!$C$73&gt;=1,INDEX('36-Month Forecast'!$C$309:$AL$309,1,M$4-Assumptions!$C$73)+INDEX('36-Month Forecast'!$C$306:$AL$306,1,M$4-Assumptions!$C$73)*'Unit Economics'!$H$53,0)</f>
        <v>26.080018034802</v>
      </c>
      <c r="N66" s="8" t="n">
        <f aca="false">IF(N$4-Assumptions!$C$73&gt;=1,INDEX('36-Month Forecast'!$C$309:$AL$309,1,N$4-Assumptions!$C$73)+INDEX('36-Month Forecast'!$C$306:$AL$306,1,N$4-Assumptions!$C$73)*'Unit Economics'!$H$53,0)</f>
        <v>29.0998095967265</v>
      </c>
      <c r="O66" s="8" t="n">
        <f aca="false">IF(O$4-Assumptions!$C$73&gt;=1,INDEX('36-Month Forecast'!$C$309:$AL$309,1,O$4-Assumptions!$C$73)+INDEX('36-Month Forecast'!$C$306:$AL$306,1,O$4-Assumptions!$C$73)*'Unit Economics'!$H$53,0)</f>
        <v>29.3035082639036</v>
      </c>
      <c r="P66" s="8" t="n">
        <f aca="false">IF(P$4-Assumptions!$C$73&gt;=1,INDEX('36-Month Forecast'!$C$309:$AL$309,1,P$4-Assumptions!$C$73)+INDEX('36-Month Forecast'!$C$306:$AL$306,1,P$4-Assumptions!$C$73)*'Unit Economics'!$H$53,0)</f>
        <v>27.7920641534496</v>
      </c>
      <c r="Q66" s="8" t="n">
        <f aca="false">IF(Q$4-Assumptions!$C$73&gt;=1,INDEX('36-Month Forecast'!$C$309:$AL$309,1,Q$4-Assumptions!$C$73)+INDEX('36-Month Forecast'!$C$306:$AL$306,1,Q$4-Assumptions!$C$73)*'Unit Economics'!$H$53,0)</f>
        <v>29.4595880026566</v>
      </c>
      <c r="R66" s="8" t="n">
        <f aca="false">IF(R$4-Assumptions!$C$73&gt;=1,INDEX('36-Month Forecast'!$C$309:$AL$309,1,R$4-Assumptions!$C$73)+INDEX('36-Month Forecast'!$C$306:$AL$306,1,R$4-Assumptions!$C$73)*'Unit Economics'!$H$53,0)</f>
        <v>34.2424387607349</v>
      </c>
      <c r="S66" s="8" t="n">
        <f aca="false">IF(S$4-Assumptions!$C$73&gt;=1,INDEX('36-Month Forecast'!$C$309:$AL$309,1,S$4-Assumptions!$C$73)+INDEX('36-Month Forecast'!$C$306:$AL$306,1,S$4-Assumptions!$C$73)*'Unit Economics'!$H$53,0)</f>
        <v>48.7323970573828</v>
      </c>
      <c r="T66" s="8" t="n">
        <f aca="false">IF(T$4-Assumptions!$C$73&gt;=1,INDEX('36-Month Forecast'!$C$309:$AL$309,1,T$4-Assumptions!$C$73)+INDEX('36-Month Forecast'!$C$306:$AL$306,1,T$4-Assumptions!$C$73)*'Unit Economics'!$H$53,0)</f>
        <v>52.6309888219734</v>
      </c>
      <c r="U66" s="8" t="n">
        <f aca="false">IF(U$4-Assumptions!$C$73&gt;=1,INDEX('36-Month Forecast'!$C$309:$AL$309,1,U$4-Assumptions!$C$73)+INDEX('36-Month Forecast'!$C$306:$AL$306,1,U$4-Assumptions!$C$73)*'Unit Economics'!$H$53,0)</f>
        <v>50.6816929396781</v>
      </c>
      <c r="V66" s="8" t="n">
        <f aca="false">IF(V$4-Assumptions!$C$73&gt;=1,INDEX('36-Month Forecast'!$C$309:$AL$309,1,V$4-Assumptions!$C$73)+INDEX('36-Month Forecast'!$C$306:$AL$306,1,V$4-Assumptions!$C$73)*'Unit Economics'!$H$53,0)</f>
        <v>37.950451673231</v>
      </c>
      <c r="W66" s="8" t="n">
        <f aca="false">IF(W$4-Assumptions!$C$73&gt;=1,INDEX('36-Month Forecast'!$C$309:$AL$309,1,W$4-Assumptions!$C$73)+INDEX('36-Month Forecast'!$C$306:$AL$306,1,W$4-Assumptions!$C$73)*'Unit Economics'!$H$53,0)</f>
        <v>43.8538552668447</v>
      </c>
      <c r="X66" s="8" t="n">
        <f aca="false">IF(X$4-Assumptions!$C$73&gt;=1,INDEX('36-Month Forecast'!$C$309:$AL$309,1,X$4-Assumptions!$C$73)+INDEX('36-Month Forecast'!$C$306:$AL$306,1,X$4-Assumptions!$C$73)*'Unit Economics'!$H$53,0)</f>
        <v>47.8884099513944</v>
      </c>
      <c r="Y66" s="8" t="n">
        <f aca="false">IF(Y$4-Assumptions!$C$73&gt;=1,INDEX('36-Month Forecast'!$C$309:$AL$309,1,Y$4-Assumptions!$C$73)+INDEX('36-Month Forecast'!$C$306:$AL$306,1,Y$4-Assumptions!$C$73)*'Unit Economics'!$H$53,0)</f>
        <v>45.0607133637882</v>
      </c>
      <c r="Z66" s="8" t="n">
        <f aca="false">IF(Z$4-Assumptions!$C$73&gt;=1,INDEX('36-Month Forecast'!$C$309:$AL$309,1,Z$4-Assumptions!$C$73)+INDEX('36-Month Forecast'!$C$306:$AL$306,1,Z$4-Assumptions!$C$73)*'Unit Economics'!$H$53,0)</f>
        <v>49.329623050884</v>
      </c>
      <c r="AA66" s="8" t="n">
        <f aca="false">IF(AA$4-Assumptions!$C$73&gt;=1,INDEX('36-Month Forecast'!$C$309:$AL$309,1,AA$4-Assumptions!$C$73)+INDEX('36-Month Forecast'!$C$306:$AL$306,1,AA$4-Assumptions!$C$73)*'Unit Economics'!$H$53,0)</f>
        <v>48.7376675742734</v>
      </c>
      <c r="AB66" s="8" t="n">
        <f aca="false">IF(AB$4-Assumptions!$C$73&gt;=1,INDEX('36-Month Forecast'!$C$309:$AL$309,1,AB$4-Assumptions!$C$73)+INDEX('36-Month Forecast'!$C$306:$AL$306,1,AB$4-Assumptions!$C$73)*'Unit Economics'!$H$53,0)</f>
        <v>45.3516822480607</v>
      </c>
      <c r="AC66" s="8" t="n">
        <f aca="false">IF(AC$4-Assumptions!$C$73&gt;=1,INDEX('36-Month Forecast'!$C$309:$AL$309,1,AC$4-Assumptions!$C$73)+INDEX('36-Month Forecast'!$C$306:$AL$306,1,AC$4-Assumptions!$C$73)*'Unit Economics'!$H$53,0)</f>
        <v>47.1657495379831</v>
      </c>
      <c r="AD66" s="8" t="n">
        <f aca="false">IF(AD$4-Assumptions!$C$73&gt;=1,INDEX('36-Month Forecast'!$C$309:$AL$309,1,AD$4-Assumptions!$C$73)+INDEX('36-Month Forecast'!$C$306:$AL$306,1,AD$4-Assumptions!$C$73)*'Unit Economics'!$H$53,0)</f>
        <v>53.7689544733008</v>
      </c>
      <c r="AE66" s="8" t="n">
        <f aca="false">IF(AE$4-Assumptions!$C$73&gt;=1,INDEX('36-Month Forecast'!$C$309:$AL$309,1,AE$4-Assumptions!$C$73)+INDEX('36-Month Forecast'!$C$306:$AL$306,1,AE$4-Assumptions!$C$73)*'Unit Economics'!$H$53,0)</f>
        <v>75.0501406648387</v>
      </c>
      <c r="AF66" s="8" t="n">
        <f aca="false">IF(AF$4-Assumptions!$C$73&gt;=1,INDEX('36-Month Forecast'!$C$309:$AL$309,1,AF$4-Assumptions!$C$73)+INDEX('36-Month Forecast'!$C$306:$AL$306,1,AF$4-Assumptions!$C$73)*'Unit Economics'!$H$53,0)</f>
        <v>79.4954182272946</v>
      </c>
      <c r="AG66" s="8" t="n">
        <f aca="false">IF(AG$4-Assumptions!$C$73&gt;=1,INDEX('36-Month Forecast'!$C$309:$AL$309,1,AG$4-Assumptions!$C$73)+INDEX('36-Month Forecast'!$C$306:$AL$306,1,AG$4-Assumptions!$C$73)*'Unit Economics'!$H$53,0)</f>
        <v>75.079006103556</v>
      </c>
      <c r="AH66" s="8" t="n">
        <f aca="false">IF(AH$4-Assumptions!$C$73&gt;=1,INDEX('36-Month Forecast'!$C$309:$AL$309,1,AH$4-Assumptions!$C$73)+INDEX('36-Month Forecast'!$C$306:$AL$306,1,AH$4-Assumptions!$C$73)*'Unit Economics'!$H$53,0)</f>
        <v>55.1380220824515</v>
      </c>
      <c r="AI66" s="8" t="n">
        <f aca="false">IF(AI$4-Assumptions!$C$73&gt;=1,INDEX('36-Month Forecast'!$C$309:$AL$309,1,AI$4-Assumptions!$C$73)+INDEX('36-Month Forecast'!$C$306:$AL$306,1,AI$4-Assumptions!$C$73)*'Unit Economics'!$H$53,0)</f>
        <v>62.4897583601117</v>
      </c>
      <c r="AJ66" s="8" t="n">
        <f aca="false">IF(AJ$4-Assumptions!$C$73&gt;=1,INDEX('36-Month Forecast'!$C$309:$AL$309,1,AJ$4-Assumptions!$C$73)+INDEX('36-Month Forecast'!$C$306:$AL$306,1,AJ$4-Assumptions!$C$73)*'Unit Economics'!$H$53,0)</f>
        <v>66.9265312036797</v>
      </c>
      <c r="AK66" s="8" t="n">
        <f aca="false">IF(AK$4-Assumptions!$C$73&gt;=1,INDEX('36-Month Forecast'!$C$309:$AL$309,1,AK$4-Assumptions!$C$73)+INDEX('36-Month Forecast'!$C$306:$AL$306,1,AK$4-Assumptions!$C$73)*'Unit Economics'!$H$53,0)</f>
        <v>61.7636273679672</v>
      </c>
      <c r="AL66" s="8" t="n">
        <f aca="false">IF(AL$4-Assumptions!$C$73&gt;=1,INDEX('36-Month Forecast'!$C$309:$AL$309,1,AL$4-Assumptions!$C$73)+INDEX('36-Month Forecast'!$C$306:$AL$306,1,AL$4-Assumptions!$C$73)*'Unit Economics'!$H$53,0)</f>
        <v>66.3146314898175</v>
      </c>
      <c r="AM66" s="45" t="n">
        <f aca="false">SUMIF($C$6:$AL$6,1,C66:AL66)</f>
        <v>118.178264875105</v>
      </c>
      <c r="AN66" s="45" t="n">
        <f aca="false">SUMIF($C$6:$AL$6,2,C66:AL66)</f>
        <v>496.925731305921</v>
      </c>
      <c r="AO66" s="45" t="n">
        <f aca="false">SUMIF($C$6:$AL$6,3,C66:AL66)</f>
        <v>737.281189333335</v>
      </c>
      <c r="AP66" s="45" t="n">
        <f aca="false">SUM(C66:AL66)</f>
        <v>1352.38518551436</v>
      </c>
    </row>
    <row r="67" customFormat="false" ht="15" hidden="false" customHeight="false" outlineLevel="0" collapsed="false">
      <c r="A67" s="7" t="s">
        <v>814</v>
      </c>
      <c r="C67" s="8" t="n">
        <f aca="false">IF(C$4-Assumptions!$C$74&gt;=1,INDEX('36-Month Forecast'!$C$319:$AL$319,1,C$4-Assumptions!$C$74)+INDEX('36-Month Forecast'!$C$316:$AL$316,1,C$4-Assumptions!$C$74)*'Unit Economics'!$H$54,0)</f>
        <v>-0</v>
      </c>
      <c r="D67" s="8" t="n">
        <f aca="false">IF(D$4-Assumptions!$C$74&gt;=1,INDEX('36-Month Forecast'!$C$319:$AL$319,1,D$4-Assumptions!$C$74)+INDEX('36-Month Forecast'!$C$316:$AL$316,1,D$4-Assumptions!$C$74)*'Unit Economics'!$H$54,0)</f>
        <v>-0</v>
      </c>
      <c r="E67" s="8" t="n">
        <f aca="false">IF(E$4-Assumptions!$C$74&gt;=1,INDEX('36-Month Forecast'!$C$319:$AL$319,1,E$4-Assumptions!$C$74)+INDEX('36-Month Forecast'!$C$316:$AL$316,1,E$4-Assumptions!$C$74)*'Unit Economics'!$H$54,0)</f>
        <v>0</v>
      </c>
      <c r="F67" s="8" t="n">
        <f aca="false">IF(F$4-Assumptions!$C$74&gt;=1,INDEX('36-Month Forecast'!$C$319:$AL$319,1,F$4-Assumptions!$C$74)+INDEX('36-Month Forecast'!$C$316:$AL$316,1,F$4-Assumptions!$C$74)*'Unit Economics'!$H$54,0)</f>
        <v>11.3498981717333</v>
      </c>
      <c r="G67" s="8" t="n">
        <f aca="false">IF(G$4-Assumptions!$C$74&gt;=1,INDEX('36-Month Forecast'!$C$319:$AL$319,1,G$4-Assumptions!$C$74)+INDEX('36-Month Forecast'!$C$316:$AL$316,1,G$4-Assumptions!$C$74)*'Unit Economics'!$H$54,0)</f>
        <v>18.3051157713715</v>
      </c>
      <c r="H67" s="8" t="n">
        <f aca="false">IF(H$4-Assumptions!$C$74&gt;=1,INDEX('36-Month Forecast'!$C$319:$AL$319,1,H$4-Assumptions!$C$74)+INDEX('36-Month Forecast'!$C$316:$AL$316,1,H$4-Assumptions!$C$74)*'Unit Economics'!$H$54,0)</f>
        <v>34.1695494398935</v>
      </c>
      <c r="I67" s="8" t="n">
        <f aca="false">IF(I$4-Assumptions!$C$74&gt;=1,INDEX('36-Month Forecast'!$C$319:$AL$319,1,I$4-Assumptions!$C$74)+INDEX('36-Month Forecast'!$C$316:$AL$316,1,I$4-Assumptions!$C$74)*'Unit Economics'!$H$54,0)</f>
        <v>53.577853521753</v>
      </c>
      <c r="J67" s="8" t="n">
        <f aca="false">IF(J$4-Assumptions!$C$74&gt;=1,INDEX('36-Month Forecast'!$C$319:$AL$319,1,J$4-Assumptions!$C$74)+INDEX('36-Month Forecast'!$C$316:$AL$316,1,J$4-Assumptions!$C$74)*'Unit Economics'!$H$54,0)</f>
        <v>67.8652811275539</v>
      </c>
      <c r="K67" s="8" t="n">
        <f aca="false">IF(K$4-Assumptions!$C$74&gt;=1,INDEX('36-Month Forecast'!$C$319:$AL$319,1,K$4-Assumptions!$C$74)+INDEX('36-Month Forecast'!$C$316:$AL$316,1,K$4-Assumptions!$C$74)*'Unit Economics'!$H$54,0)</f>
        <v>96.0115135109815</v>
      </c>
      <c r="L67" s="8" t="n">
        <f aca="false">IF(L$4-Assumptions!$C$74&gt;=1,INDEX('36-Month Forecast'!$C$319:$AL$319,1,L$4-Assumptions!$C$74)+INDEX('36-Month Forecast'!$C$316:$AL$316,1,L$4-Assumptions!$C$74)*'Unit Economics'!$H$54,0)</f>
        <v>102.156250375684</v>
      </c>
      <c r="M67" s="8" t="n">
        <f aca="false">IF(M$4-Assumptions!$C$74&gt;=1,INDEX('36-Month Forecast'!$C$319:$AL$319,1,M$4-Assumptions!$C$74)+INDEX('36-Month Forecast'!$C$316:$AL$316,1,M$4-Assumptions!$C$74)*'Unit Economics'!$H$54,0)</f>
        <v>102.371316165949</v>
      </c>
      <c r="N67" s="8" t="n">
        <f aca="false">IF(N$4-Assumptions!$C$74&gt;=1,INDEX('36-Month Forecast'!$C$319:$AL$319,1,N$4-Assumptions!$C$74)+INDEX('36-Month Forecast'!$C$316:$AL$316,1,N$4-Assumptions!$C$74)*'Unit Economics'!$H$54,0)</f>
        <v>114.655874105863</v>
      </c>
      <c r="O67" s="8" t="n">
        <f aca="false">IF(O$4-Assumptions!$C$74&gt;=1,INDEX('36-Month Forecast'!$C$319:$AL$319,1,O$4-Assumptions!$C$74)+INDEX('36-Month Forecast'!$C$316:$AL$316,1,O$4-Assumptions!$C$74)*'Unit Economics'!$H$54,0)</f>
        <v>137.114936504247</v>
      </c>
      <c r="P67" s="8" t="n">
        <f aca="false">IF(P$4-Assumptions!$C$74&gt;=1,INDEX('36-Month Forecast'!$C$319:$AL$319,1,P$4-Assumptions!$C$74)+INDEX('36-Month Forecast'!$C$316:$AL$316,1,P$4-Assumptions!$C$74)*'Unit Economics'!$H$54,0)</f>
        <v>200.765133344639</v>
      </c>
      <c r="Q67" s="8" t="n">
        <f aca="false">IF(Q$4-Assumptions!$C$74&gt;=1,INDEX('36-Month Forecast'!$C$319:$AL$319,1,Q$4-Assumptions!$C$74)+INDEX('36-Month Forecast'!$C$316:$AL$316,1,Q$4-Assumptions!$C$74)*'Unit Economics'!$H$54,0)</f>
        <v>223.080950089485</v>
      </c>
      <c r="R67" s="8" t="n">
        <f aca="false">IF(R$4-Assumptions!$C$74&gt;=1,INDEX('36-Month Forecast'!$C$319:$AL$319,1,R$4-Assumptions!$C$74)+INDEX('36-Month Forecast'!$C$316:$AL$316,1,R$4-Assumptions!$C$74)*'Unit Economics'!$H$54,0)</f>
        <v>221.015385736805</v>
      </c>
      <c r="S67" s="8" t="n">
        <f aca="false">IF(S$4-Assumptions!$C$74&gt;=1,INDEX('36-Month Forecast'!$C$319:$AL$319,1,S$4-Assumptions!$C$74)+INDEX('36-Month Forecast'!$C$316:$AL$316,1,S$4-Assumptions!$C$74)*'Unit Economics'!$H$54,0)</f>
        <v>170.270253171634</v>
      </c>
      <c r="T67" s="8" t="n">
        <f aca="false">IF(T$4-Assumptions!$C$74&gt;=1,INDEX('36-Month Forecast'!$C$319:$AL$319,1,T$4-Assumptions!$C$74)+INDEX('36-Month Forecast'!$C$316:$AL$316,1,T$4-Assumptions!$C$74)*'Unit Economics'!$H$54,0)</f>
        <v>202.432412104054</v>
      </c>
      <c r="U67" s="8" t="n">
        <f aca="false">IF(U$4-Assumptions!$C$74&gt;=1,INDEX('36-Month Forecast'!$C$319:$AL$319,1,U$4-Assumptions!$C$74)+INDEX('36-Month Forecast'!$C$316:$AL$316,1,U$4-Assumptions!$C$74)*'Unit Economics'!$H$54,0)</f>
        <v>227.432814998905</v>
      </c>
      <c r="V67" s="8" t="n">
        <f aca="false">IF(V$4-Assumptions!$C$74&gt;=1,INDEX('36-Month Forecast'!$C$319:$AL$319,1,V$4-Assumptions!$C$74)+INDEX('36-Month Forecast'!$C$316:$AL$316,1,V$4-Assumptions!$C$74)*'Unit Economics'!$H$54,0)</f>
        <v>220.176625187035</v>
      </c>
      <c r="W67" s="8" t="n">
        <f aca="false">IF(W$4-Assumptions!$C$74&gt;=1,INDEX('36-Month Forecast'!$C$319:$AL$319,1,W$4-Assumptions!$C$74)+INDEX('36-Month Forecast'!$C$316:$AL$316,1,W$4-Assumptions!$C$74)*'Unit Economics'!$H$54,0)</f>
        <v>247.988409421187</v>
      </c>
      <c r="X67" s="8" t="n">
        <f aca="false">IF(X$4-Assumptions!$C$74&gt;=1,INDEX('36-Month Forecast'!$C$319:$AL$319,1,X$4-Assumptions!$C$74)+INDEX('36-Month Forecast'!$C$316:$AL$316,1,X$4-Assumptions!$C$74)*'Unit Economics'!$H$54,0)</f>
        <v>252.080218176637</v>
      </c>
      <c r="Y67" s="8" t="n">
        <f aca="false">IF(Y$4-Assumptions!$C$74&gt;=1,INDEX('36-Month Forecast'!$C$319:$AL$319,1,Y$4-Assumptions!$C$74)+INDEX('36-Month Forecast'!$C$316:$AL$316,1,Y$4-Assumptions!$C$74)*'Unit Economics'!$H$54,0)</f>
        <v>241.33364045437</v>
      </c>
      <c r="Z67" s="8" t="n">
        <f aca="false">IF(Z$4-Assumptions!$C$74&gt;=1,INDEX('36-Month Forecast'!$C$319:$AL$319,1,Z$4-Assumptions!$C$74)+INDEX('36-Month Forecast'!$C$316:$AL$316,1,Z$4-Assumptions!$C$74)*'Unit Economics'!$H$54,0)</f>
        <v>258.226995286175</v>
      </c>
      <c r="AA67" s="8" t="n">
        <f aca="false">IF(AA$4-Assumptions!$C$74&gt;=1,INDEX('36-Month Forecast'!$C$319:$AL$319,1,AA$4-Assumptions!$C$74)+INDEX('36-Month Forecast'!$C$316:$AL$316,1,AA$4-Assumptions!$C$74)*'Unit Economics'!$H$54,0)</f>
        <v>300.150907462049</v>
      </c>
      <c r="AB67" s="8" t="n">
        <f aca="false">IF(AB$4-Assumptions!$C$74&gt;=1,INDEX('36-Month Forecast'!$C$319:$AL$319,1,AB$4-Assumptions!$C$74)+INDEX('36-Month Forecast'!$C$316:$AL$316,1,AB$4-Assumptions!$C$74)*'Unit Economics'!$H$54,0)</f>
        <v>427.162133567042</v>
      </c>
      <c r="AC67" s="8" t="n">
        <f aca="false">IF(AC$4-Assumptions!$C$74&gt;=1,INDEX('36-Month Forecast'!$C$319:$AL$319,1,AC$4-Assumptions!$C$74)+INDEX('36-Month Forecast'!$C$316:$AL$316,1,AC$4-Assumptions!$C$74)*'Unit Economics'!$H$54,0)</f>
        <v>461.335104252405</v>
      </c>
      <c r="AD67" s="8" t="n">
        <f aca="false">IF(AD$4-Assumptions!$C$74&gt;=1,INDEX('36-Month Forecast'!$C$319:$AL$319,1,AD$4-Assumptions!$C$74)+INDEX('36-Month Forecast'!$C$316:$AL$316,1,AD$4-Assumptions!$C$74)*'Unit Economics'!$H$54,0)</f>
        <v>444.248618909724</v>
      </c>
      <c r="AE67" s="8" t="n">
        <f aca="false">IF(AE$4-Assumptions!$C$74&gt;=1,INDEX('36-Month Forecast'!$C$319:$AL$319,1,AE$4-Assumptions!$C$74)+INDEX('36-Month Forecast'!$C$316:$AL$316,1,AE$4-Assumptions!$C$74)*'Unit Economics'!$H$54,0)</f>
        <v>332.653365839601</v>
      </c>
      <c r="AF67" s="8" t="n">
        <f aca="false">IF(AF$4-Assumptions!$C$74&gt;=1,INDEX('36-Month Forecast'!$C$319:$AL$319,1,AF$4-Assumptions!$C$74)+INDEX('36-Month Forecast'!$C$316:$AL$316,1,AF$4-Assumptions!$C$74)*'Unit Economics'!$H$54,0)</f>
        <v>384.399444970206</v>
      </c>
      <c r="AG67" s="8" t="n">
        <f aca="false">IF(AG$4-Assumptions!$C$74&gt;=1,INDEX('36-Month Forecast'!$C$319:$AL$319,1,AG$4-Assumptions!$C$74)+INDEX('36-Month Forecast'!$C$316:$AL$316,1,AG$4-Assumptions!$C$74)*'Unit Economics'!$H$54,0)</f>
        <v>419.764193907465</v>
      </c>
      <c r="AH67" s="8" t="n">
        <f aca="false">IF(AH$4-Assumptions!$C$74&gt;=1,INDEX('36-Month Forecast'!$C$319:$AL$319,1,AH$4-Assumptions!$C$74)+INDEX('36-Month Forecast'!$C$316:$AL$316,1,AH$4-Assumptions!$C$74)*'Unit Economics'!$H$54,0)</f>
        <v>394.978117695786</v>
      </c>
      <c r="AI67" s="8" t="n">
        <f aca="false">IF(AI$4-Assumptions!$C$74&gt;=1,INDEX('36-Month Forecast'!$C$319:$AL$319,1,AI$4-Assumptions!$C$74)+INDEX('36-Month Forecast'!$C$316:$AL$316,1,AI$4-Assumptions!$C$74)*'Unit Economics'!$H$54,0)</f>
        <v>432.397097266965</v>
      </c>
      <c r="AJ67" s="8" t="n">
        <f aca="false">IF(AJ$4-Assumptions!$C$74&gt;=1,INDEX('36-Month Forecast'!$C$319:$AL$319,1,AJ$4-Assumptions!$C$74)+INDEX('36-Month Forecast'!$C$316:$AL$316,1,AJ$4-Assumptions!$C$74)*'Unit Economics'!$H$54,0)</f>
        <v>427.208332099762</v>
      </c>
      <c r="AK67" s="8" t="n">
        <f aca="false">IF(AK$4-Assumptions!$C$74&gt;=1,INDEX('36-Month Forecast'!$C$319:$AL$319,1,AK$4-Assumptions!$C$74)+INDEX('36-Month Forecast'!$C$316:$AL$316,1,AK$4-Assumptions!$C$74)*'Unit Economics'!$H$54,0)</f>
        <v>397.528595343357</v>
      </c>
      <c r="AL67" s="8" t="n">
        <f aca="false">IF(AL$4-Assumptions!$C$74&gt;=1,INDEX('36-Month Forecast'!$C$319:$AL$319,1,AL$4-Assumptions!$C$74)+INDEX('36-Month Forecast'!$C$316:$AL$316,1,AL$4-Assumptions!$C$74)*'Unit Economics'!$H$54,0)</f>
        <v>413.429739157092</v>
      </c>
      <c r="AM67" s="45" t="n">
        <f aca="false">SUMIF($C$6:$AL$6,1,C67:AL67)</f>
        <v>600.462652190783</v>
      </c>
      <c r="AN67" s="45" t="n">
        <f aca="false">SUMIF($C$6:$AL$6,2,C67:AL67)</f>
        <v>2601.91777447517</v>
      </c>
      <c r="AO67" s="45" t="n">
        <f aca="false">SUMIF($C$6:$AL$6,3,C67:AL67)</f>
        <v>4835.25565047145</v>
      </c>
      <c r="AP67" s="45" t="n">
        <f aca="false">SUM(C67:AL67)</f>
        <v>8037.63607713741</v>
      </c>
    </row>
    <row r="68" customFormat="false" ht="15" hidden="false" customHeight="false" outlineLevel="0" collapsed="false">
      <c r="A68" s="7" t="s">
        <v>815</v>
      </c>
      <c r="C68" s="8" t="n">
        <f aca="false">IF(C$4-Assumptions!$C$75&gt;=1,INDEX('36-Month Forecast'!$C$329:$AL$329,1,C$4-Assumptions!$C$75)+INDEX('36-Month Forecast'!$C$326:$AL$326,1,C$4-Assumptions!$C$75)*'Unit Economics'!$H$55,0)</f>
        <v>-0</v>
      </c>
      <c r="D68" s="8" t="n">
        <f aca="false">IF(D$4-Assumptions!$C$75&gt;=1,INDEX('36-Month Forecast'!$C$329:$AL$329,1,D$4-Assumptions!$C$75)+INDEX('36-Month Forecast'!$C$326:$AL$326,1,D$4-Assumptions!$C$75)*'Unit Economics'!$H$55,0)</f>
        <v>-0</v>
      </c>
      <c r="E68" s="8" t="n">
        <f aca="false">IF(E$4-Assumptions!$C$75&gt;=1,INDEX('36-Month Forecast'!$C$329:$AL$329,1,E$4-Assumptions!$C$75)+INDEX('36-Month Forecast'!$C$326:$AL$326,1,E$4-Assumptions!$C$75)*'Unit Economics'!$H$55,0)</f>
        <v>0</v>
      </c>
      <c r="F68" s="8" t="n">
        <f aca="false">IF(F$4-Assumptions!$C$75&gt;=1,INDEX('36-Month Forecast'!$C$329:$AL$329,1,F$4-Assumptions!$C$75)+INDEX('36-Month Forecast'!$C$326:$AL$326,1,F$4-Assumptions!$C$75)*'Unit Economics'!$H$55,0)</f>
        <v>4.73979980865</v>
      </c>
      <c r="G68" s="8" t="n">
        <f aca="false">IF(G$4-Assumptions!$C$75&gt;=1,INDEX('36-Month Forecast'!$C$329:$AL$329,1,G$4-Assumptions!$C$75)+INDEX('36-Month Forecast'!$C$326:$AL$326,1,G$4-Assumptions!$C$75)*'Unit Economics'!$H$55,0)</f>
        <v>10.070921102574</v>
      </c>
      <c r="H68" s="8" t="n">
        <f aca="false">IF(H$4-Assumptions!$C$75&gt;=1,INDEX('36-Month Forecast'!$C$329:$AL$329,1,H$4-Assumptions!$C$75)+INDEX('36-Month Forecast'!$C$326:$AL$326,1,H$4-Assumptions!$C$75)*'Unit Economics'!$H$55,0)</f>
        <v>21.3843890554457</v>
      </c>
      <c r="I68" s="8" t="n">
        <f aca="false">IF(I$4-Assumptions!$C$75&gt;=1,INDEX('36-Month Forecast'!$C$329:$AL$329,1,I$4-Assumptions!$C$75)+INDEX('36-Month Forecast'!$C$326:$AL$326,1,I$4-Assumptions!$C$75)*'Unit Economics'!$H$55,0)</f>
        <v>38.4738653273765</v>
      </c>
      <c r="J68" s="8" t="n">
        <f aca="false">IF(J$4-Assumptions!$C$75&gt;=1,INDEX('36-Month Forecast'!$C$329:$AL$329,1,J$4-Assumptions!$C$75)+INDEX('36-Month Forecast'!$C$326:$AL$326,1,J$4-Assumptions!$C$75)*'Unit Economics'!$H$55,0)</f>
        <v>55.2086227455706</v>
      </c>
      <c r="K68" s="8" t="n">
        <f aca="false">IF(K$4-Assumptions!$C$75&gt;=1,INDEX('36-Month Forecast'!$C$329:$AL$329,1,K$4-Assumptions!$C$75)+INDEX('36-Month Forecast'!$C$326:$AL$326,1,K$4-Assumptions!$C$75)*'Unit Economics'!$H$55,0)</f>
        <v>84.6588221419668</v>
      </c>
      <c r="L68" s="8" t="n">
        <f aca="false">IF(L$4-Assumptions!$C$75&gt;=1,INDEX('36-Month Forecast'!$C$329:$AL$329,1,L$4-Assumptions!$C$75)+INDEX('36-Month Forecast'!$C$326:$AL$326,1,L$4-Assumptions!$C$75)*'Unit Economics'!$H$55,0)</f>
        <v>97.1460001335474</v>
      </c>
      <c r="M68" s="8" t="n">
        <f aca="false">IF(M$4-Assumptions!$C$75&gt;=1,INDEX('36-Month Forecast'!$C$329:$AL$329,1,M$4-Assumptions!$C$75)+INDEX('36-Month Forecast'!$C$326:$AL$326,1,M$4-Assumptions!$C$75)*'Unit Economics'!$H$55,0)</f>
        <v>102.722242271768</v>
      </c>
      <c r="N68" s="8" t="n">
        <f aca="false">IF(N$4-Assumptions!$C$75&gt;=1,INDEX('36-Month Forecast'!$C$329:$AL$329,1,N$4-Assumptions!$C$75)+INDEX('36-Month Forecast'!$C$326:$AL$326,1,N$4-Assumptions!$C$75)*'Unit Economics'!$H$55,0)</f>
        <v>118.322334819054</v>
      </c>
      <c r="O68" s="8" t="n">
        <f aca="false">IF(O$4-Assumptions!$C$75&gt;=1,INDEX('36-Month Forecast'!$C$329:$AL$329,1,O$4-Assumptions!$C$75)+INDEX('36-Month Forecast'!$C$326:$AL$326,1,O$4-Assumptions!$C$75)*'Unit Economics'!$H$55,0)</f>
        <v>151.638101620833</v>
      </c>
      <c r="P68" s="8" t="n">
        <f aca="false">IF(P$4-Assumptions!$C$75&gt;=1,INDEX('36-Month Forecast'!$C$329:$AL$329,1,P$4-Assumptions!$C$75)+INDEX('36-Month Forecast'!$C$326:$AL$326,1,P$4-Assumptions!$C$75)*'Unit Economics'!$H$55,0)</f>
        <v>239.187802786219</v>
      </c>
      <c r="Q68" s="8" t="n">
        <f aca="false">IF(Q$4-Assumptions!$C$75&gt;=1,INDEX('36-Month Forecast'!$C$329:$AL$329,1,Q$4-Assumptions!$C$75)+INDEX('36-Month Forecast'!$C$326:$AL$326,1,Q$4-Assumptions!$C$75)*'Unit Economics'!$H$55,0)</f>
        <v>297.015167244261</v>
      </c>
      <c r="R68" s="8" t="n">
        <f aca="false">IF(R$4-Assumptions!$C$75&gt;=1,INDEX('36-Month Forecast'!$C$329:$AL$329,1,R$4-Assumptions!$C$75)+INDEX('36-Month Forecast'!$C$326:$AL$326,1,R$4-Assumptions!$C$75)*'Unit Economics'!$H$55,0)</f>
        <v>324.62931641303</v>
      </c>
      <c r="S68" s="8" t="n">
        <f aca="false">IF(S$4-Assumptions!$C$75&gt;=1,INDEX('36-Month Forecast'!$C$329:$AL$329,1,S$4-Assumptions!$C$75)+INDEX('36-Month Forecast'!$C$326:$AL$326,1,S$4-Assumptions!$C$75)*'Unit Economics'!$H$55,0)</f>
        <v>268.595137798286</v>
      </c>
      <c r="T68" s="8" t="n">
        <f aca="false">IF(T$4-Assumptions!$C$75&gt;=1,INDEX('36-Month Forecast'!$C$329:$AL$329,1,T$4-Assumptions!$C$75)+INDEX('36-Month Forecast'!$C$326:$AL$326,1,T$4-Assumptions!$C$75)*'Unit Economics'!$H$55,0)</f>
        <v>327.167270245137</v>
      </c>
      <c r="U68" s="8" t="n">
        <f aca="false">IF(U$4-Assumptions!$C$75&gt;=1,INDEX('36-Month Forecast'!$C$329:$AL$329,1,U$4-Assumptions!$C$75)+INDEX('36-Month Forecast'!$C$326:$AL$326,1,U$4-Assumptions!$C$75)*'Unit Economics'!$H$55,0)</f>
        <v>379.518825367834</v>
      </c>
      <c r="V68" s="8" t="n">
        <f aca="false">IF(V$4-Assumptions!$C$75&gt;=1,INDEX('36-Month Forecast'!$C$329:$AL$329,1,V$4-Assumptions!$C$75)+INDEX('36-Month Forecast'!$C$326:$AL$326,1,V$4-Assumptions!$C$75)*'Unit Economics'!$H$55,0)</f>
        <v>379.860195395746</v>
      </c>
      <c r="W68" s="8" t="n">
        <f aca="false">IF(W$4-Assumptions!$C$75&gt;=1,INDEX('36-Month Forecast'!$C$329:$AL$329,1,W$4-Assumptions!$C$75)+INDEX('36-Month Forecast'!$C$326:$AL$326,1,W$4-Assumptions!$C$75)*'Unit Economics'!$H$55,0)</f>
        <v>436.375003655276</v>
      </c>
      <c r="X68" s="8" t="n">
        <f aca="false">IF(X$4-Assumptions!$C$75&gt;=1,INDEX('36-Month Forecast'!$C$329:$AL$329,1,X$4-Assumptions!$C$75)+INDEX('36-Month Forecast'!$C$326:$AL$326,1,X$4-Assumptions!$C$75)*'Unit Economics'!$H$55,0)</f>
        <v>453.600216352188</v>
      </c>
      <c r="Y68" s="8" t="n">
        <f aca="false">IF(Y$4-Assumptions!$C$75&gt;=1,INDEX('36-Month Forecast'!$C$329:$AL$329,1,Y$4-Assumptions!$C$75)+INDEX('36-Month Forecast'!$C$326:$AL$326,1,Y$4-Assumptions!$C$75)*'Unit Economics'!$H$55,0)</f>
        <v>440.925386122422</v>
      </c>
      <c r="Z68" s="8" t="n">
        <f aca="false">IF(Z$4-Assumptions!$C$75&gt;=1,INDEX('36-Month Forecast'!$C$329:$AL$329,1,Z$4-Assumptions!$C$75)+INDEX('36-Month Forecast'!$C$326:$AL$326,1,Z$4-Assumptions!$C$75)*'Unit Economics'!$H$55,0)</f>
        <v>473.83810496762</v>
      </c>
      <c r="AA68" s="8" t="n">
        <f aca="false">IF(AA$4-Assumptions!$C$75&gt;=1,INDEX('36-Month Forecast'!$C$329:$AL$329,1,AA$4-Assumptions!$C$75)+INDEX('36-Month Forecast'!$C$326:$AL$326,1,AA$4-Assumptions!$C$75)*'Unit Economics'!$H$55,0)</f>
        <v>568.755055183243</v>
      </c>
      <c r="AB68" s="8" t="n">
        <f aca="false">IF(AB$4-Assumptions!$C$75&gt;=1,INDEX('36-Month Forecast'!$C$329:$AL$329,1,AB$4-Assumptions!$C$75)+INDEX('36-Month Forecast'!$C$326:$AL$326,1,AB$4-Assumptions!$C$75)*'Unit Economics'!$H$55,0)</f>
        <v>841.073118596992</v>
      </c>
      <c r="AC68" s="8" t="n">
        <f aca="false">IF(AC$4-Assumptions!$C$75&gt;=1,INDEX('36-Month Forecast'!$C$329:$AL$329,1,AC$4-Assumptions!$C$75)+INDEX('36-Month Forecast'!$C$326:$AL$326,1,AC$4-Assumptions!$C$75)*'Unit Economics'!$H$55,0)</f>
        <v>968.720248910223</v>
      </c>
      <c r="AD68" s="8" t="n">
        <f aca="false">IF(AD$4-Assumptions!$C$75&gt;=1,INDEX('36-Month Forecast'!$C$329:$AL$329,1,AD$4-Assumptions!$C$75)+INDEX('36-Month Forecast'!$C$326:$AL$326,1,AD$4-Assumptions!$C$75)*'Unit Economics'!$H$55,0)</f>
        <v>991.781154011499</v>
      </c>
      <c r="AE68" s="8" t="n">
        <f aca="false">IF(AE$4-Assumptions!$C$75&gt;=1,INDEX('36-Month Forecast'!$C$329:$AL$329,1,AE$4-Assumptions!$C$75)+INDEX('36-Month Forecast'!$C$326:$AL$326,1,AE$4-Assumptions!$C$75)*'Unit Economics'!$H$55,0)</f>
        <v>778.733076167407</v>
      </c>
      <c r="AF68" s="8" t="n">
        <f aca="false">IF(AF$4-Assumptions!$C$75&gt;=1,INDEX('36-Month Forecast'!$C$329:$AL$329,1,AF$4-Assumptions!$C$75)+INDEX('36-Month Forecast'!$C$326:$AL$326,1,AF$4-Assumptions!$C$75)*'Unit Economics'!$H$55,0)</f>
        <v>916.198646910013</v>
      </c>
      <c r="AG68" s="8" t="n">
        <f aca="false">IF(AG$4-Assumptions!$C$75&gt;=1,INDEX('36-Month Forecast'!$C$329:$AL$329,1,AG$4-Assumptions!$C$75)+INDEX('36-Month Forecast'!$C$326:$AL$326,1,AG$4-Assumptions!$C$75)*'Unit Economics'!$H$55,0)</f>
        <v>1024.52781311532</v>
      </c>
      <c r="AH68" s="8" t="n">
        <f aca="false">IF(AH$4-Assumptions!$C$75&gt;=1,INDEX('36-Month Forecast'!$C$329:$AL$329,1,AH$4-Assumptions!$C$75)+INDEX('36-Month Forecast'!$C$326:$AL$326,1,AH$4-Assumptions!$C$75)*'Unit Economics'!$H$55,0)</f>
        <v>988.795608031339</v>
      </c>
      <c r="AI68" s="8" t="n">
        <f aca="false">IF(AI$4-Assumptions!$C$75&gt;=1,INDEX('36-Month Forecast'!$C$329:$AL$329,1,AI$4-Assumptions!$C$75)+INDEX('36-Month Forecast'!$C$326:$AL$326,1,AI$4-Assumptions!$C$75)*'Unit Economics'!$H$55,0)</f>
        <v>1100.70426664278</v>
      </c>
      <c r="AJ68" s="8" t="n">
        <f aca="false">IF(AJ$4-Assumptions!$C$75&gt;=1,INDEX('36-Month Forecast'!$C$329:$AL$329,1,AJ$4-Assumptions!$C$75)+INDEX('36-Month Forecast'!$C$326:$AL$326,1,AJ$4-Assumptions!$C$75)*'Unit Economics'!$H$55,0)</f>
        <v>1108.13491161419</v>
      </c>
      <c r="AK68" s="8" t="n">
        <f aca="false">IF(AK$4-Assumptions!$C$75&gt;=1,INDEX('36-Month Forecast'!$C$329:$AL$329,1,AK$4-Assumptions!$C$75)+INDEX('36-Month Forecast'!$C$326:$AL$326,1,AK$4-Assumptions!$C$75)*'Unit Economics'!$H$55,0)</f>
        <v>1045.89465849565</v>
      </c>
      <c r="AL68" s="8" t="n">
        <f aca="false">IF(AL$4-Assumptions!$C$75&gt;=1,INDEX('36-Month Forecast'!$C$329:$AL$329,1,AL$4-Assumptions!$C$75)+INDEX('36-Month Forecast'!$C$326:$AL$326,1,AL$4-Assumptions!$C$75)*'Unit Economics'!$H$55,0)</f>
        <v>1095.15578249634</v>
      </c>
      <c r="AM68" s="45" t="n">
        <f aca="false">SUMIF($C$6:$AL$6,1,C68:AL68)</f>
        <v>532.726997405953</v>
      </c>
      <c r="AN68" s="45" t="n">
        <f aca="false">SUMIF($C$6:$AL$6,2,C68:AL68)</f>
        <v>4172.35052796885</v>
      </c>
      <c r="AO68" s="45" t="n">
        <f aca="false">SUMIF($C$6:$AL$6,3,C68:AL68)</f>
        <v>11428.474340175</v>
      </c>
      <c r="AP68" s="45" t="n">
        <f aca="false">SUM(C68:AL68)</f>
        <v>16133.5518655498</v>
      </c>
    </row>
    <row r="69" customFormat="false" ht="15" hidden="false" customHeight="false" outlineLevel="0" collapsed="false">
      <c r="A69" s="7" t="s">
        <v>816</v>
      </c>
      <c r="C69" s="8" t="n">
        <f aca="false">IF(C$4-Assumptions!$C$76&gt;=1,INDEX('36-Month Forecast'!$C$339:$AL$339,1,C$4-Assumptions!$C$76)+INDEX('36-Month Forecast'!$C$336:$AL$336,1,C$4-Assumptions!$C$76)*'Unit Economics'!$H$56,0)</f>
        <v>-0</v>
      </c>
      <c r="D69" s="8" t="n">
        <f aca="false">IF(D$4-Assumptions!$C$76&gt;=1,INDEX('36-Month Forecast'!$C$339:$AL$339,1,D$4-Assumptions!$C$76)+INDEX('36-Month Forecast'!$C$336:$AL$336,1,D$4-Assumptions!$C$76)*'Unit Economics'!$H$56,0)</f>
        <v>-0</v>
      </c>
      <c r="E69" s="8" t="n">
        <f aca="false">IF(E$4-Assumptions!$C$76&gt;=1,INDEX('36-Month Forecast'!$C$339:$AL$339,1,E$4-Assumptions!$C$76)+INDEX('36-Month Forecast'!$C$336:$AL$336,1,E$4-Assumptions!$C$76)*'Unit Economics'!$H$56,0)</f>
        <v>-0</v>
      </c>
      <c r="F69" s="8" t="n">
        <f aca="false">IF(F$4-Assumptions!$C$76&gt;=1,INDEX('36-Month Forecast'!$C$339:$AL$339,1,F$4-Assumptions!$C$76)+INDEX('36-Month Forecast'!$C$336:$AL$336,1,F$4-Assumptions!$C$76)*'Unit Economics'!$H$56,0)</f>
        <v>0</v>
      </c>
      <c r="G69" s="8" t="n">
        <f aca="false">IF(G$4-Assumptions!$C$76&gt;=1,INDEX('36-Month Forecast'!$C$339:$AL$339,1,G$4-Assumptions!$C$76)+INDEX('36-Month Forecast'!$C$336:$AL$336,1,G$4-Assumptions!$C$76)*'Unit Economics'!$H$56,0)</f>
        <v>23.83492995</v>
      </c>
      <c r="H69" s="8" t="n">
        <f aca="false">IF(H$4-Assumptions!$C$76&gt;=1,INDEX('36-Month Forecast'!$C$339:$AL$339,1,H$4-Assumptions!$C$76)+INDEX('36-Month Forecast'!$C$336:$AL$336,1,H$4-Assumptions!$C$76)*'Unit Economics'!$H$56,0)</f>
        <v>56.14450166</v>
      </c>
      <c r="I69" s="8" t="n">
        <f aca="false">IF(I$4-Assumptions!$C$76&gt;=1,INDEX('36-Month Forecast'!$C$339:$AL$339,1,I$4-Assumptions!$C$76)+INDEX('36-Month Forecast'!$C$336:$AL$336,1,I$4-Assumptions!$C$76)*'Unit Economics'!$H$56,0)</f>
        <v>93.73324552137</v>
      </c>
      <c r="J69" s="8" t="n">
        <f aca="false">IF(J$4-Assumptions!$C$76&gt;=1,INDEX('36-Month Forecast'!$C$339:$AL$339,1,J$4-Assumptions!$C$76)+INDEX('36-Month Forecast'!$C$336:$AL$336,1,J$4-Assumptions!$C$76)*'Unit Economics'!$H$56,0)</f>
        <v>119.859527923834</v>
      </c>
      <c r="K69" s="8" t="n">
        <f aca="false">IF(K$4-Assumptions!$C$76&gt;=1,INDEX('36-Month Forecast'!$C$339:$AL$339,1,K$4-Assumptions!$C$76)+INDEX('36-Month Forecast'!$C$336:$AL$336,1,K$4-Assumptions!$C$76)*'Unit Economics'!$H$56,0)</f>
        <v>167.172499472716</v>
      </c>
      <c r="L69" s="8" t="n">
        <f aca="false">IF(L$4-Assumptions!$C$76&gt;=1,INDEX('36-Month Forecast'!$C$339:$AL$339,1,L$4-Assumptions!$C$76)+INDEX('36-Month Forecast'!$C$336:$AL$336,1,L$4-Assumptions!$C$76)*'Unit Economics'!$H$56,0)</f>
        <v>202.011248362831</v>
      </c>
      <c r="M69" s="8" t="n">
        <f aca="false">IF(M$4-Assumptions!$C$76&gt;=1,INDEX('36-Month Forecast'!$C$339:$AL$339,1,M$4-Assumptions!$C$76)+INDEX('36-Month Forecast'!$C$336:$AL$336,1,M$4-Assumptions!$C$76)*'Unit Economics'!$H$56,0)</f>
        <v>191.591720815695</v>
      </c>
      <c r="N69" s="8" t="n">
        <f aca="false">IF(N$4-Assumptions!$C$76&gt;=1,INDEX('36-Month Forecast'!$C$339:$AL$339,1,N$4-Assumptions!$C$76)+INDEX('36-Month Forecast'!$C$336:$AL$336,1,N$4-Assumptions!$C$76)*'Unit Economics'!$H$56,0)</f>
        <v>203.087224064637</v>
      </c>
      <c r="O69" s="8" t="n">
        <f aca="false">IF(O$4-Assumptions!$C$76&gt;=1,INDEX('36-Month Forecast'!$C$339:$AL$339,1,O$4-Assumptions!$C$76)+INDEX('36-Month Forecast'!$C$336:$AL$336,1,O$4-Assumptions!$C$76)*'Unit Economics'!$H$56,0)</f>
        <v>238.3288305935</v>
      </c>
      <c r="P69" s="8" t="n">
        <f aca="false">IF(P$4-Assumptions!$C$76&gt;=1,INDEX('36-Month Forecast'!$C$339:$AL$339,1,P$4-Assumptions!$C$76)+INDEX('36-Month Forecast'!$C$336:$AL$336,1,P$4-Assumptions!$C$76)*'Unit Economics'!$H$56,0)</f>
        <v>342.440898694871</v>
      </c>
      <c r="Q69" s="8" t="n">
        <f aca="false">IF(Q$4-Assumptions!$C$76&gt;=1,INDEX('36-Month Forecast'!$C$339:$AL$339,1,Q$4-Assumptions!$C$76)+INDEX('36-Month Forecast'!$C$336:$AL$336,1,Q$4-Assumptions!$C$76)*'Unit Economics'!$H$56,0)</f>
        <v>373.392287615369</v>
      </c>
      <c r="R69" s="8" t="n">
        <f aca="false">IF(R$4-Assumptions!$C$76&gt;=1,INDEX('36-Month Forecast'!$C$339:$AL$339,1,R$4-Assumptions!$C$76)+INDEX('36-Month Forecast'!$C$336:$AL$336,1,R$4-Assumptions!$C$76)*'Unit Economics'!$H$56,0)</f>
        <v>363.020279626054</v>
      </c>
      <c r="S69" s="8" t="n">
        <f aca="false">IF(S$4-Assumptions!$C$76&gt;=1,INDEX('36-Month Forecast'!$C$339:$AL$339,1,S$4-Assumptions!$C$76)+INDEX('36-Month Forecast'!$C$336:$AL$336,1,S$4-Assumptions!$C$76)*'Unit Economics'!$H$56,0)</f>
        <v>274.443331397297</v>
      </c>
      <c r="T69" s="8" t="n">
        <f aca="false">IF(T$4-Assumptions!$C$76&gt;=1,INDEX('36-Month Forecast'!$C$339:$AL$339,1,T$4-Assumptions!$C$76)+INDEX('36-Month Forecast'!$C$336:$AL$336,1,T$4-Assumptions!$C$76)*'Unit Economics'!$H$56,0)</f>
        <v>320.183886630179</v>
      </c>
      <c r="U69" s="8" t="n">
        <f aca="false">IF(U$4-Assumptions!$C$76&gt;=1,INDEX('36-Month Forecast'!$C$339:$AL$339,1,U$4-Assumptions!$C$76)+INDEX('36-Month Forecast'!$C$336:$AL$336,1,U$4-Assumptions!$C$76)*'Unit Economics'!$H$56,0)</f>
        <v>353.002735009773</v>
      </c>
      <c r="V69" s="8" t="n">
        <f aca="false">IF(V$4-Assumptions!$C$76&gt;=1,INDEX('36-Month Forecast'!$C$339:$AL$339,1,V$4-Assumptions!$C$76)+INDEX('36-Month Forecast'!$C$336:$AL$336,1,V$4-Assumptions!$C$76)*'Unit Economics'!$H$56,0)</f>
        <v>335.352598259284</v>
      </c>
      <c r="W69" s="8" t="n">
        <f aca="false">IF(W$4-Assumptions!$C$76&gt;=1,INDEX('36-Month Forecast'!$C$339:$AL$339,1,W$4-Assumptions!$C$76)+INDEX('36-Month Forecast'!$C$336:$AL$336,1,W$4-Assumptions!$C$76)*'Unit Economics'!$H$56,0)</f>
        <v>370.652871760261</v>
      </c>
      <c r="X69" s="8" t="n">
        <f aca="false">IF(X$4-Assumptions!$C$76&gt;=1,INDEX('36-Month Forecast'!$C$339:$AL$339,1,X$4-Assumptions!$C$76)+INDEX('36-Month Forecast'!$C$336:$AL$336,1,X$4-Assumptions!$C$76)*'Unit Economics'!$H$56,0)</f>
        <v>369.726239580861</v>
      </c>
      <c r="Y69" s="8" t="n">
        <f aca="false">IF(Y$4-Assumptions!$C$76&gt;=1,INDEX('36-Month Forecast'!$C$339:$AL$339,1,Y$4-Assumptions!$C$76)+INDEX('36-Month Forecast'!$C$336:$AL$336,1,Y$4-Assumptions!$C$76)*'Unit Economics'!$H$56,0)</f>
        <v>347.348072448335</v>
      </c>
      <c r="Z69" s="8" t="n">
        <f aca="false">IF(Z$4-Assumptions!$C$76&gt;=1,INDEX('36-Month Forecast'!$C$339:$AL$339,1,Z$4-Assumptions!$C$76)+INDEX('36-Month Forecast'!$C$336:$AL$336,1,Z$4-Assumptions!$C$76)*'Unit Economics'!$H$56,0)</f>
        <v>364.715476070752</v>
      </c>
      <c r="AA69" s="8" t="n">
        <f aca="false">IF(AA$4-Assumptions!$C$76&gt;=1,INDEX('36-Month Forecast'!$C$339:$AL$339,1,AA$4-Assumptions!$C$76)+INDEX('36-Month Forecast'!$C$336:$AL$336,1,AA$4-Assumptions!$C$76)*'Unit Economics'!$H$56,0)</f>
        <v>419.851874512036</v>
      </c>
      <c r="AB69" s="8" t="n">
        <f aca="false">IF(AB$4-Assumptions!$C$76&gt;=1,INDEX('36-Month Forecast'!$C$339:$AL$339,1,AB$4-Assumptions!$C$76)+INDEX('36-Month Forecast'!$C$336:$AL$336,1,AB$4-Assumptions!$C$76)*'Unit Economics'!$H$56,0)</f>
        <v>591.770168391175</v>
      </c>
      <c r="AC69" s="8" t="n">
        <f aca="false">IF(AC$4-Assumptions!$C$76&gt;=1,INDEX('36-Month Forecast'!$C$339:$AL$339,1,AC$4-Assumptions!$C$76)+INDEX('36-Month Forecast'!$C$336:$AL$336,1,AC$4-Assumptions!$C$76)*'Unit Economics'!$H$56,0)</f>
        <v>632.966476267638</v>
      </c>
      <c r="AD69" s="8" t="n">
        <f aca="false">IF(AD$4-Assumptions!$C$76&gt;=1,INDEX('36-Month Forecast'!$C$339:$AL$339,1,AD$4-Assumptions!$C$76)+INDEX('36-Month Forecast'!$C$336:$AL$336,1,AD$4-Assumptions!$C$76)*'Unit Economics'!$H$56,0)</f>
        <v>603.662472736729</v>
      </c>
      <c r="AE69" s="8" t="n">
        <f aca="false">IF(AE$4-Assumptions!$C$76&gt;=1,INDEX('36-Month Forecast'!$C$339:$AL$339,1,AE$4-Assumptions!$C$76)+INDEX('36-Month Forecast'!$C$336:$AL$336,1,AE$4-Assumptions!$C$76)*'Unit Economics'!$H$56,0)</f>
        <v>447.676089781558</v>
      </c>
      <c r="AF69" s="8" t="n">
        <f aca="false">IF(AF$4-Assumptions!$C$76&gt;=1,INDEX('36-Month Forecast'!$C$339:$AL$339,1,AF$4-Assumptions!$C$76)+INDEX('36-Month Forecast'!$C$336:$AL$336,1,AF$4-Assumptions!$C$76)*'Unit Economics'!$H$56,0)</f>
        <v>512.340413861116</v>
      </c>
      <c r="AG69" s="8" t="n">
        <f aca="false">IF(AG$4-Assumptions!$C$76&gt;=1,INDEX('36-Month Forecast'!$C$339:$AL$339,1,AG$4-Assumptions!$C$76)+INDEX('36-Month Forecast'!$C$336:$AL$336,1,AG$4-Assumptions!$C$76)*'Unit Economics'!$H$56,0)</f>
        <v>554.096157590797</v>
      </c>
      <c r="AH69" s="8" t="n">
        <f aca="false">IF(AH$4-Assumptions!$C$76&gt;=1,INDEX('36-Month Forecast'!$C$339:$AL$339,1,AH$4-Assumptions!$C$76)+INDEX('36-Month Forecast'!$C$336:$AL$336,1,AH$4-Assumptions!$C$76)*'Unit Economics'!$H$56,0)</f>
        <v>516.364847811995</v>
      </c>
      <c r="AI69" s="8" t="n">
        <f aca="false">IF(AI$4-Assumptions!$C$76&gt;=1,INDEX('36-Month Forecast'!$C$339:$AL$339,1,AI$4-Assumptions!$C$76)+INDEX('36-Month Forecast'!$C$336:$AL$336,1,AI$4-Assumptions!$C$76)*'Unit Economics'!$H$56,0)</f>
        <v>559.848203417216</v>
      </c>
      <c r="AJ69" s="8" t="n">
        <f aca="false">IF(AJ$4-Assumptions!$C$76&gt;=1,INDEX('36-Month Forecast'!$C$339:$AL$339,1,AJ$4-Assumptions!$C$76)+INDEX('36-Month Forecast'!$C$336:$AL$336,1,AJ$4-Assumptions!$C$76)*'Unit Economics'!$H$56,0)</f>
        <v>547.811467043746</v>
      </c>
      <c r="AK69" s="8" t="n">
        <f aca="false">IF(AK$4-Assumptions!$C$76&gt;=1,INDEX('36-Month Forecast'!$C$339:$AL$339,1,AK$4-Assumptions!$C$76)+INDEX('36-Month Forecast'!$C$336:$AL$336,1,AK$4-Assumptions!$C$76)*'Unit Economics'!$H$56,0)</f>
        <v>504.851515154526</v>
      </c>
      <c r="AL69" s="8" t="n">
        <f aca="false">IF(AL$4-Assumptions!$C$76&gt;=1,INDEX('36-Month Forecast'!$C$339:$AL$339,1,AL$4-Assumptions!$C$76)+INDEX('36-Month Forecast'!$C$336:$AL$336,1,AL$4-Assumptions!$C$76)*'Unit Economics'!$H$56,0)</f>
        <v>519.997060609162</v>
      </c>
      <c r="AM69" s="45" t="n">
        <f aca="false">SUMIF($C$6:$AL$6,1,C69:AL69)</f>
        <v>1057.43489777108</v>
      </c>
      <c r="AN69" s="45" t="n">
        <f aca="false">SUMIF($C$6:$AL$6,2,C69:AL69)</f>
        <v>4052.60750768654</v>
      </c>
      <c r="AO69" s="45" t="n">
        <f aca="false">SUMIF($C$6:$AL$6,3,C69:AL69)</f>
        <v>6411.23674717769</v>
      </c>
      <c r="AP69" s="45" t="n">
        <f aca="false">SUM(C69:AL69)</f>
        <v>11521.2791526353</v>
      </c>
    </row>
    <row r="70" customFormat="false" ht="15" hidden="false" customHeight="false" outlineLevel="0" collapsed="false">
      <c r="A70" s="7" t="s">
        <v>817</v>
      </c>
      <c r="C70" s="8" t="n">
        <f aca="false">IF(C$4-Assumptions!$C$77&gt;=1,INDEX('36-Month Forecast'!$C$349:$AL$349,1,C$4-Assumptions!$C$77)+INDEX('36-Month Forecast'!$C$346:$AL$346,1,C$4-Assumptions!$C$77)*'Unit Economics'!$H$57,0)</f>
        <v>0</v>
      </c>
      <c r="D70" s="8" t="n">
        <f aca="false">IF(D$4-Assumptions!$C$77&gt;=1,INDEX('36-Month Forecast'!$C$349:$AL$349,1,D$4-Assumptions!$C$77)+INDEX('36-Month Forecast'!$C$346:$AL$346,1,D$4-Assumptions!$C$77)*'Unit Economics'!$H$57,0)</f>
        <v>-0</v>
      </c>
      <c r="E70" s="8" t="n">
        <f aca="false">IF(E$4-Assumptions!$C$77&gt;=1,INDEX('36-Month Forecast'!$C$349:$AL$349,1,E$4-Assumptions!$C$77)+INDEX('36-Month Forecast'!$C$346:$AL$346,1,E$4-Assumptions!$C$77)*'Unit Economics'!$H$57,0)</f>
        <v>-0</v>
      </c>
      <c r="F70" s="8" t="n">
        <f aca="false">IF(F$4-Assumptions!$C$77&gt;=1,INDEX('36-Month Forecast'!$C$349:$AL$349,1,F$4-Assumptions!$C$77)+INDEX('36-Month Forecast'!$C$346:$AL$346,1,F$4-Assumptions!$C$77)*'Unit Economics'!$H$57,0)</f>
        <v>-0</v>
      </c>
      <c r="G70" s="8" t="n">
        <f aca="false">IF(G$4-Assumptions!$C$77&gt;=1,INDEX('36-Month Forecast'!$C$349:$AL$349,1,G$4-Assumptions!$C$77)+INDEX('36-Month Forecast'!$C$346:$AL$346,1,G$4-Assumptions!$C$77)*'Unit Economics'!$H$57,0)</f>
        <v>-0</v>
      </c>
      <c r="H70" s="8" t="n">
        <f aca="false">IF(H$4-Assumptions!$C$77&gt;=1,INDEX('36-Month Forecast'!$C$349:$AL$349,1,H$4-Assumptions!$C$77)+INDEX('36-Month Forecast'!$C$346:$AL$346,1,H$4-Assumptions!$C$77)*'Unit Economics'!$H$57,0)</f>
        <v>-0</v>
      </c>
      <c r="I70" s="8" t="n">
        <f aca="false">IF(I$4-Assumptions!$C$77&gt;=1,INDEX('36-Month Forecast'!$C$349:$AL$349,1,I$4-Assumptions!$C$77)+INDEX('36-Month Forecast'!$C$346:$AL$346,1,I$4-Assumptions!$C$77)*'Unit Economics'!$H$57,0)</f>
        <v>-0</v>
      </c>
      <c r="J70" s="8" t="n">
        <f aca="false">IF(J$4-Assumptions!$C$77&gt;=1,INDEX('36-Month Forecast'!$C$349:$AL$349,1,J$4-Assumptions!$C$77)+INDEX('36-Month Forecast'!$C$346:$AL$346,1,J$4-Assumptions!$C$77)*'Unit Economics'!$H$57,0)</f>
        <v>-0</v>
      </c>
      <c r="K70" s="8" t="n">
        <f aca="false">IF(K$4-Assumptions!$C$77&gt;=1,INDEX('36-Month Forecast'!$C$349:$AL$349,1,K$4-Assumptions!$C$77)+INDEX('36-Month Forecast'!$C$346:$AL$346,1,K$4-Assumptions!$C$77)*'Unit Economics'!$H$57,0)</f>
        <v>-0</v>
      </c>
      <c r="L70" s="8" t="n">
        <f aca="false">IF(L$4-Assumptions!$C$77&gt;=1,INDEX('36-Month Forecast'!$C$349:$AL$349,1,L$4-Assumptions!$C$77)+INDEX('36-Month Forecast'!$C$346:$AL$346,1,L$4-Assumptions!$C$77)*'Unit Economics'!$H$57,0)</f>
        <v>0</v>
      </c>
      <c r="M70" s="8" t="n">
        <f aca="false">IF(M$4-Assumptions!$C$77&gt;=1,INDEX('36-Month Forecast'!$C$349:$AL$349,1,M$4-Assumptions!$C$77)+INDEX('36-Month Forecast'!$C$346:$AL$346,1,M$4-Assumptions!$C$77)*'Unit Economics'!$H$57,0)</f>
        <v>38.140416</v>
      </c>
      <c r="N70" s="8" t="n">
        <f aca="false">IF(N$4-Assumptions!$C$77&gt;=1,INDEX('36-Month Forecast'!$C$349:$AL$349,1,N$4-Assumptions!$C$77)+INDEX('36-Month Forecast'!$C$346:$AL$346,1,N$4-Assumptions!$C$77)*'Unit Economics'!$H$57,0)</f>
        <v>175.19164416</v>
      </c>
      <c r="O70" s="8" t="n">
        <f aca="false">IF(O$4-Assumptions!$C$77&gt;=1,INDEX('36-Month Forecast'!$C$349:$AL$349,1,O$4-Assumptions!$C$77)+INDEX('36-Month Forecast'!$C$346:$AL$346,1,O$4-Assumptions!$C$77)*'Unit Economics'!$H$57,0)</f>
        <v>299.9819999232</v>
      </c>
      <c r="P70" s="8" t="n">
        <f aca="false">IF(P$4-Assumptions!$C$77&gt;=1,INDEX('36-Month Forecast'!$C$349:$AL$349,1,P$4-Assumptions!$C$77)+INDEX('36-Month Forecast'!$C$346:$AL$346,1,P$4-Assumptions!$C$77)*'Unit Economics'!$H$57,0)</f>
        <v>363.406765621248</v>
      </c>
      <c r="Q70" s="8" t="n">
        <f aca="false">IF(Q$4-Assumptions!$C$77&gt;=1,INDEX('36-Month Forecast'!$C$349:$AL$349,1,Q$4-Assumptions!$C$77)+INDEX('36-Month Forecast'!$C$346:$AL$346,1,Q$4-Assumptions!$C$77)*'Unit Economics'!$H$57,0)</f>
        <v>401.261637040128</v>
      </c>
      <c r="R70" s="8" t="n">
        <f aca="false">IF(R$4-Assumptions!$C$77&gt;=1,INDEX('36-Month Forecast'!$C$349:$AL$349,1,R$4-Assumptions!$C$77)+INDEX('36-Month Forecast'!$C$346:$AL$346,1,R$4-Assumptions!$C$77)*'Unit Economics'!$H$57,0)</f>
        <v>357.28336162053</v>
      </c>
      <c r="S70" s="8" t="n">
        <f aca="false">IF(S$4-Assumptions!$C$77&gt;=1,INDEX('36-Month Forecast'!$C$349:$AL$349,1,S$4-Assumptions!$C$77)+INDEX('36-Month Forecast'!$C$346:$AL$346,1,S$4-Assumptions!$C$77)*'Unit Economics'!$H$57,0)</f>
        <v>595.13199949934</v>
      </c>
      <c r="T70" s="8" t="n">
        <f aca="false">IF(T$4-Assumptions!$C$77&gt;=1,INDEX('36-Month Forecast'!$C$349:$AL$349,1,T$4-Assumptions!$C$77)+INDEX('36-Month Forecast'!$C$346:$AL$346,1,T$4-Assumptions!$C$77)*'Unit Economics'!$H$57,0)</f>
        <v>573.490835881182</v>
      </c>
      <c r="U70" s="8" t="n">
        <f aca="false">IF(U$4-Assumptions!$C$77&gt;=1,INDEX('36-Month Forecast'!$C$349:$AL$349,1,U$4-Assumptions!$C$77)+INDEX('36-Month Forecast'!$C$346:$AL$346,1,U$4-Assumptions!$C$77)*'Unit Economics'!$H$57,0)</f>
        <v>607.900286034053</v>
      </c>
      <c r="V70" s="8" t="n">
        <f aca="false">IF(V$4-Assumptions!$C$77&gt;=1,INDEX('36-Month Forecast'!$C$349:$AL$349,1,V$4-Assumptions!$C$77)+INDEX('36-Month Forecast'!$C$346:$AL$346,1,V$4-Assumptions!$C$77)*'Unit Economics'!$H$57,0)</f>
        <v>579.936872876487</v>
      </c>
      <c r="W70" s="8" t="n">
        <f aca="false">IF(W$4-Assumptions!$C$77&gt;=1,INDEX('36-Month Forecast'!$C$349:$AL$349,1,W$4-Assumptions!$C$77)+INDEX('36-Month Forecast'!$C$346:$AL$346,1,W$4-Assumptions!$C$77)*'Unit Economics'!$H$57,0)</f>
        <v>478.125732971504</v>
      </c>
      <c r="X70" s="8" t="n">
        <f aca="false">IF(X$4-Assumptions!$C$77&gt;=1,INDEX('36-Month Forecast'!$C$349:$AL$349,1,X$4-Assumptions!$C$77)+INDEX('36-Month Forecast'!$C$346:$AL$346,1,X$4-Assumptions!$C$77)*'Unit Economics'!$H$57,0)</f>
        <v>289.607586828454</v>
      </c>
      <c r="Y70" s="8" t="n">
        <f aca="false">IF(Y$4-Assumptions!$C$77&gt;=1,INDEX('36-Month Forecast'!$C$349:$AL$349,1,Y$4-Assumptions!$C$77)+INDEX('36-Month Forecast'!$C$346:$AL$346,1,Y$4-Assumptions!$C$77)*'Unit Economics'!$H$57,0)</f>
        <v>460.476063057241</v>
      </c>
      <c r="Z70" s="8" t="n">
        <f aca="false">IF(Z$4-Assumptions!$C$77&gt;=1,INDEX('36-Month Forecast'!$C$349:$AL$349,1,Z$4-Assumptions!$C$77)+INDEX('36-Month Forecast'!$C$346:$AL$346,1,Z$4-Assumptions!$C$77)*'Unit Economics'!$H$57,0)</f>
        <v>1057.56002482146</v>
      </c>
      <c r="AA70" s="8" t="n">
        <f aca="false">IF(AA$4-Assumptions!$C$77&gt;=1,INDEX('36-Month Forecast'!$C$349:$AL$349,1,AA$4-Assumptions!$C$77)+INDEX('36-Month Forecast'!$C$346:$AL$346,1,AA$4-Assumptions!$C$77)*'Unit Economics'!$H$57,0)</f>
        <v>1207.24544371927</v>
      </c>
      <c r="AB70" s="8" t="n">
        <f aca="false">IF(AB$4-Assumptions!$C$77&gt;=1,INDEX('36-Month Forecast'!$C$349:$AL$349,1,AB$4-Assumptions!$C$77)+INDEX('36-Month Forecast'!$C$346:$AL$346,1,AB$4-Assumptions!$C$77)*'Unit Economics'!$H$57,0)</f>
        <v>1065.8252631693</v>
      </c>
      <c r="AC70" s="8" t="n">
        <f aca="false">IF(AC$4-Assumptions!$C$77&gt;=1,INDEX('36-Month Forecast'!$C$349:$AL$349,1,AC$4-Assumptions!$C$77)+INDEX('36-Month Forecast'!$C$346:$AL$346,1,AC$4-Assumptions!$C$77)*'Unit Economics'!$H$57,0)</f>
        <v>914.833350886982</v>
      </c>
      <c r="AD70" s="8" t="n">
        <f aca="false">IF(AD$4-Assumptions!$C$77&gt;=1,INDEX('36-Month Forecast'!$C$349:$AL$349,1,AD$4-Assumptions!$C$77)+INDEX('36-Month Forecast'!$C$346:$AL$346,1,AD$4-Assumptions!$C$77)*'Unit Economics'!$H$57,0)</f>
        <v>659.594845989514</v>
      </c>
      <c r="AE70" s="8" t="n">
        <f aca="false">IF(AE$4-Assumptions!$C$77&gt;=1,INDEX('36-Month Forecast'!$C$349:$AL$349,1,AE$4-Assumptions!$C$77)+INDEX('36-Month Forecast'!$C$346:$AL$346,1,AE$4-Assumptions!$C$77)*'Unit Economics'!$H$57,0)</f>
        <v>1067.6013721516</v>
      </c>
      <c r="AF70" s="8" t="n">
        <f aca="false">IF(AF$4-Assumptions!$C$77&gt;=1,INDEX('36-Month Forecast'!$C$349:$AL$349,1,AF$4-Assumptions!$C$77)+INDEX('36-Month Forecast'!$C$346:$AL$346,1,AF$4-Assumptions!$C$77)*'Unit Economics'!$H$57,0)</f>
        <v>999.663103014679</v>
      </c>
      <c r="AG70" s="8" t="n">
        <f aca="false">IF(AG$4-Assumptions!$C$77&gt;=1,INDEX('36-Month Forecast'!$C$349:$AL$349,1,AG$4-Assumptions!$C$77)+INDEX('36-Month Forecast'!$C$346:$AL$346,1,AG$4-Assumptions!$C$77)*'Unit Economics'!$H$57,0)</f>
        <v>1029.65299610512</v>
      </c>
      <c r="AH70" s="8" t="n">
        <f aca="false">IF(AH$4-Assumptions!$C$77&gt;=1,INDEX('36-Month Forecast'!$C$349:$AL$349,1,AH$4-Assumptions!$C$77)+INDEX('36-Month Forecast'!$C$346:$AL$346,1,AH$4-Assumptions!$C$77)*'Unit Economics'!$H$57,0)</f>
        <v>954.488327389446</v>
      </c>
      <c r="AI70" s="8" t="n">
        <f aca="false">IF(AI$4-Assumptions!$C$77&gt;=1,INDEX('36-Month Forecast'!$C$349:$AL$349,1,AI$4-Assumptions!$C$77)+INDEX('36-Month Forecast'!$C$346:$AL$346,1,AI$4-Assumptions!$C$77)*'Unit Economics'!$H$57,0)</f>
        <v>764.651204497545</v>
      </c>
      <c r="AJ70" s="8" t="n">
        <f aca="false">IF(AJ$4-Assumptions!$C$77&gt;=1,INDEX('36-Month Forecast'!$C$349:$AL$349,1,AJ$4-Assumptions!$C$77)+INDEX('36-Month Forecast'!$C$346:$AL$346,1,AJ$4-Assumptions!$C$77)*'Unit Economics'!$H$57,0)</f>
        <v>450.051851789984</v>
      </c>
      <c r="AK70" s="8" t="n">
        <f aca="false">IF(AK$4-Assumptions!$C$77&gt;=1,INDEX('36-Month Forecast'!$C$349:$AL$349,1,AK$4-Assumptions!$C$77)+INDEX('36-Month Forecast'!$C$346:$AL$346,1,AK$4-Assumptions!$C$77)*'Unit Economics'!$H$57,0)</f>
        <v>695.330111015525</v>
      </c>
      <c r="AL70" s="8" t="n">
        <f aca="false">IF(AL$4-Assumptions!$C$77&gt;=1,INDEX('36-Month Forecast'!$C$349:$AL$349,1,AL$4-Assumptions!$C$77)+INDEX('36-Month Forecast'!$C$346:$AL$346,1,AL$4-Assumptions!$C$77)*'Unit Economics'!$H$57,0)</f>
        <v>1551.74503108298</v>
      </c>
      <c r="AM70" s="45" t="n">
        <f aca="false">SUMIF($C$6:$AL$6,1,C70:AL70)</f>
        <v>213.33206016</v>
      </c>
      <c r="AN70" s="45" t="n">
        <f aca="false">SUMIF($C$6:$AL$6,2,C70:AL70)</f>
        <v>6064.16316617483</v>
      </c>
      <c r="AO70" s="45" t="n">
        <f aca="false">SUMIF($C$6:$AL$6,3,C70:AL70)</f>
        <v>11360.6829008119</v>
      </c>
      <c r="AP70" s="45" t="n">
        <f aca="false">SUM(C70:AL70)</f>
        <v>17638.1781271468</v>
      </c>
    </row>
    <row r="71" customFormat="false" ht="15" hidden="false" customHeight="false" outlineLevel="0" collapsed="false">
      <c r="A71" s="7" t="s">
        <v>818</v>
      </c>
      <c r="C71" s="8" t="n">
        <f aca="false">IF(C$4-Assumptions!$C$78&gt;=1,INDEX('36-Month Forecast'!$C$359:$AL$359,1,C$4-Assumptions!$C$78)+INDEX('36-Month Forecast'!$C$356:$AL$356,1,C$4-Assumptions!$C$78)*'Unit Economics'!$H$58,0)</f>
        <v>0</v>
      </c>
      <c r="D71" s="8" t="n">
        <f aca="false">IF(D$4-Assumptions!$C$78&gt;=1,INDEX('36-Month Forecast'!$C$359:$AL$359,1,D$4-Assumptions!$C$78)+INDEX('36-Month Forecast'!$C$356:$AL$356,1,D$4-Assumptions!$C$78)*'Unit Economics'!$H$58,0)</f>
        <v>-0</v>
      </c>
      <c r="E71" s="8" t="n">
        <f aca="false">IF(E$4-Assumptions!$C$78&gt;=1,INDEX('36-Month Forecast'!$C$359:$AL$359,1,E$4-Assumptions!$C$78)+INDEX('36-Month Forecast'!$C$356:$AL$356,1,E$4-Assumptions!$C$78)*'Unit Economics'!$H$58,0)</f>
        <v>-0</v>
      </c>
      <c r="F71" s="8" t="n">
        <f aca="false">IF(F$4-Assumptions!$C$78&gt;=1,INDEX('36-Month Forecast'!$C$359:$AL$359,1,F$4-Assumptions!$C$78)+INDEX('36-Month Forecast'!$C$356:$AL$356,1,F$4-Assumptions!$C$78)*'Unit Economics'!$H$58,0)</f>
        <v>-0</v>
      </c>
      <c r="G71" s="8" t="n">
        <f aca="false">IF(G$4-Assumptions!$C$78&gt;=1,INDEX('36-Month Forecast'!$C$359:$AL$359,1,G$4-Assumptions!$C$78)+INDEX('36-Month Forecast'!$C$356:$AL$356,1,G$4-Assumptions!$C$78)*'Unit Economics'!$H$58,0)</f>
        <v>-0</v>
      </c>
      <c r="H71" s="8" t="n">
        <f aca="false">IF(H$4-Assumptions!$C$78&gt;=1,INDEX('36-Month Forecast'!$C$359:$AL$359,1,H$4-Assumptions!$C$78)+INDEX('36-Month Forecast'!$C$356:$AL$356,1,H$4-Assumptions!$C$78)*'Unit Economics'!$H$58,0)</f>
        <v>-0</v>
      </c>
      <c r="I71" s="8" t="n">
        <f aca="false">IF(I$4-Assumptions!$C$78&gt;=1,INDEX('36-Month Forecast'!$C$359:$AL$359,1,I$4-Assumptions!$C$78)+INDEX('36-Month Forecast'!$C$356:$AL$356,1,I$4-Assumptions!$C$78)*'Unit Economics'!$H$58,0)</f>
        <v>-0</v>
      </c>
      <c r="J71" s="8" t="n">
        <f aca="false">IF(J$4-Assumptions!$C$78&gt;=1,INDEX('36-Month Forecast'!$C$359:$AL$359,1,J$4-Assumptions!$C$78)+INDEX('36-Month Forecast'!$C$356:$AL$356,1,J$4-Assumptions!$C$78)*'Unit Economics'!$H$58,0)</f>
        <v>-0</v>
      </c>
      <c r="K71" s="8" t="n">
        <f aca="false">IF(K$4-Assumptions!$C$78&gt;=1,INDEX('36-Month Forecast'!$C$359:$AL$359,1,K$4-Assumptions!$C$78)+INDEX('36-Month Forecast'!$C$356:$AL$356,1,K$4-Assumptions!$C$78)*'Unit Economics'!$H$58,0)</f>
        <v>-0</v>
      </c>
      <c r="L71" s="8" t="n">
        <f aca="false">IF(L$4-Assumptions!$C$78&gt;=1,INDEX('36-Month Forecast'!$C$359:$AL$359,1,L$4-Assumptions!$C$78)+INDEX('36-Month Forecast'!$C$356:$AL$356,1,L$4-Assumptions!$C$78)*'Unit Economics'!$H$58,0)</f>
        <v>-0</v>
      </c>
      <c r="M71" s="8" t="n">
        <f aca="false">IF(M$4-Assumptions!$C$78&gt;=1,INDEX('36-Month Forecast'!$C$359:$AL$359,1,M$4-Assumptions!$C$78)+INDEX('36-Month Forecast'!$C$356:$AL$356,1,M$4-Assumptions!$C$78)*'Unit Economics'!$H$58,0)</f>
        <v>-0</v>
      </c>
      <c r="N71" s="8" t="n">
        <f aca="false">IF(N$4-Assumptions!$C$78&gt;=1,INDEX('36-Month Forecast'!$C$359:$AL$359,1,N$4-Assumptions!$C$78)+INDEX('36-Month Forecast'!$C$356:$AL$356,1,N$4-Assumptions!$C$78)*'Unit Economics'!$H$58,0)</f>
        <v>-0</v>
      </c>
      <c r="O71" s="8" t="n">
        <f aca="false">IF(O$4-Assumptions!$C$78&gt;=1,INDEX('36-Month Forecast'!$C$359:$AL$359,1,O$4-Assumptions!$C$78)+INDEX('36-Month Forecast'!$C$356:$AL$356,1,O$4-Assumptions!$C$78)*'Unit Economics'!$H$58,0)</f>
        <v>-0</v>
      </c>
      <c r="P71" s="8" t="n">
        <f aca="false">IF(P$4-Assumptions!$C$78&gt;=1,INDEX('36-Month Forecast'!$C$359:$AL$359,1,P$4-Assumptions!$C$78)+INDEX('36-Month Forecast'!$C$356:$AL$356,1,P$4-Assumptions!$C$78)*'Unit Economics'!$H$58,0)</f>
        <v>-0</v>
      </c>
      <c r="Q71" s="8" t="n">
        <f aca="false">IF(Q$4-Assumptions!$C$78&gt;=1,INDEX('36-Month Forecast'!$C$359:$AL$359,1,Q$4-Assumptions!$C$78)+INDEX('36-Month Forecast'!$C$356:$AL$356,1,Q$4-Assumptions!$C$78)*'Unit Economics'!$H$58,0)</f>
        <v>-0</v>
      </c>
      <c r="R71" s="8" t="n">
        <f aca="false">IF(R$4-Assumptions!$C$78&gt;=1,INDEX('36-Month Forecast'!$C$359:$AL$359,1,R$4-Assumptions!$C$78)+INDEX('36-Month Forecast'!$C$356:$AL$356,1,R$4-Assumptions!$C$78)*'Unit Economics'!$H$58,0)</f>
        <v>-0</v>
      </c>
      <c r="S71" s="8" t="n">
        <f aca="false">IF(S$4-Assumptions!$C$78&gt;=1,INDEX('36-Month Forecast'!$C$359:$AL$359,1,S$4-Assumptions!$C$78)+INDEX('36-Month Forecast'!$C$356:$AL$356,1,S$4-Assumptions!$C$78)*'Unit Economics'!$H$58,0)</f>
        <v>-0</v>
      </c>
      <c r="T71" s="8" t="n">
        <f aca="false">IF(T$4-Assumptions!$C$78&gt;=1,INDEX('36-Month Forecast'!$C$359:$AL$359,1,T$4-Assumptions!$C$78)+INDEX('36-Month Forecast'!$C$356:$AL$356,1,T$4-Assumptions!$C$78)*'Unit Economics'!$H$58,0)</f>
        <v>-0</v>
      </c>
      <c r="U71" s="8" t="n">
        <f aca="false">IF(U$4-Assumptions!$C$78&gt;=1,INDEX('36-Month Forecast'!$C$359:$AL$359,1,U$4-Assumptions!$C$78)+INDEX('36-Month Forecast'!$C$356:$AL$356,1,U$4-Assumptions!$C$78)*'Unit Economics'!$H$58,0)</f>
        <v>-0</v>
      </c>
      <c r="V71" s="8" t="n">
        <f aca="false">IF(V$4-Assumptions!$C$78&gt;=1,INDEX('36-Month Forecast'!$C$359:$AL$359,1,V$4-Assumptions!$C$78)+INDEX('36-Month Forecast'!$C$356:$AL$356,1,V$4-Assumptions!$C$78)*'Unit Economics'!$H$58,0)</f>
        <v>-0</v>
      </c>
      <c r="W71" s="8" t="n">
        <f aca="false">IF(W$4-Assumptions!$C$78&gt;=1,INDEX('36-Month Forecast'!$C$359:$AL$359,1,W$4-Assumptions!$C$78)+INDEX('36-Month Forecast'!$C$356:$AL$356,1,W$4-Assumptions!$C$78)*'Unit Economics'!$H$58,0)</f>
        <v>-0</v>
      </c>
      <c r="X71" s="8" t="n">
        <f aca="false">IF(X$4-Assumptions!$C$78&gt;=1,INDEX('36-Month Forecast'!$C$359:$AL$359,1,X$4-Assumptions!$C$78)+INDEX('36-Month Forecast'!$C$356:$AL$356,1,X$4-Assumptions!$C$78)*'Unit Economics'!$H$58,0)</f>
        <v>0</v>
      </c>
      <c r="Y71" s="8" t="n">
        <f aca="false">IF(Y$4-Assumptions!$C$78&gt;=1,INDEX('36-Month Forecast'!$C$359:$AL$359,1,Y$4-Assumptions!$C$78)+INDEX('36-Month Forecast'!$C$356:$AL$356,1,Y$4-Assumptions!$C$78)*'Unit Economics'!$H$58,0)</f>
        <v>77.61369375</v>
      </c>
      <c r="Z71" s="8" t="n">
        <f aca="false">IF(Z$4-Assumptions!$C$78&gt;=1,INDEX('36-Month Forecast'!$C$359:$AL$359,1,Z$4-Assumptions!$C$78)+INDEX('36-Month Forecast'!$C$356:$AL$356,1,Z$4-Assumptions!$C$78)*'Unit Economics'!$H$58,0)</f>
        <v>149.9986755</v>
      </c>
      <c r="AA71" s="8" t="n">
        <f aca="false">IF(AA$4-Assumptions!$C$78&gt;=1,INDEX('36-Month Forecast'!$C$359:$AL$359,1,AA$4-Assumptions!$C$78)+INDEX('36-Month Forecast'!$C$356:$AL$356,1,AA$4-Assumptions!$C$78)*'Unit Economics'!$H$58,0)</f>
        <v>242.99785431</v>
      </c>
      <c r="AB71" s="8" t="n">
        <f aca="false">IF(AB$4-Assumptions!$C$78&gt;=1,INDEX('36-Month Forecast'!$C$359:$AL$359,1,AB$4-Assumptions!$C$78)+INDEX('36-Month Forecast'!$C$356:$AL$356,1,AB$4-Assumptions!$C$78)*'Unit Economics'!$H$58,0)</f>
        <v>391.0836055248</v>
      </c>
      <c r="AC71" s="8" t="n">
        <f aca="false">IF(AC$4-Assumptions!$C$78&gt;=1,INDEX('36-Month Forecast'!$C$359:$AL$359,1,AC$4-Assumptions!$C$78)+INDEX('36-Month Forecast'!$C$356:$AL$356,1,AC$4-Assumptions!$C$78)*'Unit Economics'!$H$58,0)</f>
        <v>722.47550283792</v>
      </c>
      <c r="AD71" s="8" t="n">
        <f aca="false">IF(AD$4-Assumptions!$C$78&gt;=1,INDEX('36-Month Forecast'!$C$359:$AL$359,1,AD$4-Assumptions!$C$78)+INDEX('36-Month Forecast'!$C$356:$AL$356,1,AD$4-Assumptions!$C$78)*'Unit Economics'!$H$58,0)</f>
        <v>972.340876742481</v>
      </c>
      <c r="AE71" s="8" t="n">
        <f aca="false">IF(AE$4-Assumptions!$C$78&gt;=1,INDEX('36-Month Forecast'!$C$359:$AL$359,1,AE$4-Assumptions!$C$78)+INDEX('36-Month Forecast'!$C$356:$AL$356,1,AE$4-Assumptions!$C$78)*'Unit Economics'!$H$58,0)</f>
        <v>972.340876742481</v>
      </c>
      <c r="AF71" s="8" t="n">
        <f aca="false">IF(AF$4-Assumptions!$C$78&gt;=1,INDEX('36-Month Forecast'!$C$359:$AL$359,1,AF$4-Assumptions!$C$78)+INDEX('36-Month Forecast'!$C$356:$AL$356,1,AF$4-Assumptions!$C$78)*'Unit Economics'!$H$58,0)</f>
        <v>756.092265754953</v>
      </c>
      <c r="AG71" s="8" t="n">
        <f aca="false">IF(AG$4-Assumptions!$C$78&gt;=1,INDEX('36-Month Forecast'!$C$359:$AL$359,1,AG$4-Assumptions!$C$78)+INDEX('36-Month Forecast'!$C$356:$AL$356,1,AG$4-Assumptions!$C$78)*'Unit Economics'!$H$58,0)</f>
        <v>907.310718905944</v>
      </c>
      <c r="AH71" s="8" t="n">
        <f aca="false">IF(AH$4-Assumptions!$C$78&gt;=1,INDEX('36-Month Forecast'!$C$359:$AL$359,1,AH$4-Assumptions!$C$78)+INDEX('36-Month Forecast'!$C$356:$AL$356,1,AH$4-Assumptions!$C$78)*'Unit Economics'!$H$58,0)</f>
        <v>1028.89035523934</v>
      </c>
      <c r="AI71" s="8" t="n">
        <f aca="false">IF(AI$4-Assumptions!$C$78&gt;=1,INDEX('36-Month Forecast'!$C$359:$AL$359,1,AI$4-Assumptions!$C$78)+INDEX('36-Month Forecast'!$C$356:$AL$356,1,AI$4-Assumptions!$C$78)*'Unit Economics'!$H$58,0)</f>
        <v>1005.3728614053</v>
      </c>
      <c r="AJ71" s="8" t="n">
        <f aca="false">IF(AJ$4-Assumptions!$C$78&gt;=1,INDEX('36-Month Forecast'!$C$359:$AL$359,1,AJ$4-Assumptions!$C$78)+INDEX('36-Month Forecast'!$C$356:$AL$356,1,AJ$4-Assumptions!$C$78)*'Unit Economics'!$H$58,0)</f>
        <v>1142.95020033444</v>
      </c>
      <c r="AK71" s="8" t="n">
        <f aca="false">IF(AK$4-Assumptions!$C$78&gt;=1,INDEX('36-Month Forecast'!$C$359:$AL$359,1,AK$4-Assumptions!$C$78)+INDEX('36-Month Forecast'!$C$356:$AL$356,1,AK$4-Assumptions!$C$78)*'Unit Economics'!$H$58,0)</f>
        <v>1172.66690554314</v>
      </c>
      <c r="AL71" s="8" t="n">
        <f aca="false">IF(AL$4-Assumptions!$C$78&gt;=1,INDEX('36-Month Forecast'!$C$359:$AL$359,1,AL$4-Assumptions!$C$78)+INDEX('36-Month Forecast'!$C$356:$AL$356,1,AL$4-Assumptions!$C$78)*'Unit Economics'!$H$58,0)</f>
        <v>1133.16654661958</v>
      </c>
      <c r="AM71" s="45" t="n">
        <f aca="false">SUMIF($C$6:$AL$6,1,C71:AL71)</f>
        <v>0</v>
      </c>
      <c r="AN71" s="45" t="n">
        <f aca="false">SUMIF($C$6:$AL$6,2,C71:AL71)</f>
        <v>227.61236925</v>
      </c>
      <c r="AO71" s="45" t="n">
        <f aca="false">SUMIF($C$6:$AL$6,3,C71:AL71)</f>
        <v>10447.6885699604</v>
      </c>
      <c r="AP71" s="45" t="n">
        <f aca="false">SUM(C71:AL71)</f>
        <v>10675.3009392104</v>
      </c>
    </row>
    <row r="72" customFormat="false" ht="15" hidden="false" customHeight="false" outlineLevel="0" collapsed="false">
      <c r="A72" s="10" t="s">
        <v>819</v>
      </c>
      <c r="C72" s="17" t="n">
        <f aca="false">SUM(C63:C71)</f>
        <v>79.0480620867857</v>
      </c>
      <c r="D72" s="17" t="n">
        <f aca="false">SUM(D63:D71)</f>
        <v>242.3031124176</v>
      </c>
      <c r="E72" s="17" t="n">
        <f aca="false">SUM(E63:E71)</f>
        <v>422.725737663936</v>
      </c>
      <c r="F72" s="17" t="n">
        <f aca="false">SUM(F63:F71)</f>
        <v>614.628100190687</v>
      </c>
      <c r="G72" s="17" t="n">
        <f aca="false">SUM(G63:G71)</f>
        <v>755.465179531932</v>
      </c>
      <c r="H72" s="17" t="n">
        <f aca="false">SUM(H63:H71)</f>
        <v>1172.66676387677</v>
      </c>
      <c r="I72" s="17" t="n">
        <f aca="false">SUM(I63:I71)</f>
        <v>1404.3307720789</v>
      </c>
      <c r="J72" s="17" t="n">
        <f aca="false">SUM(J63:J71)</f>
        <v>1627.34047312542</v>
      </c>
      <c r="K72" s="17" t="n">
        <f aca="false">SUM(K63:K71)</f>
        <v>2075.31062746738</v>
      </c>
      <c r="L72" s="17" t="n">
        <f aca="false">SUM(L63:L71)</f>
        <v>2202.66150096038</v>
      </c>
      <c r="M72" s="17" t="n">
        <f aca="false">SUM(M63:M71)</f>
        <v>2338.05889513914</v>
      </c>
      <c r="N72" s="17" t="n">
        <f aca="false">SUM(N63:N71)</f>
        <v>2689.96735649251</v>
      </c>
      <c r="O72" s="17" t="n">
        <f aca="false">SUM(O63:O71)</f>
        <v>3142.48974721604</v>
      </c>
      <c r="P72" s="17" t="n">
        <f aca="false">SUM(P63:P71)</f>
        <v>4243.83027940221</v>
      </c>
      <c r="Q72" s="17" t="n">
        <f aca="false">SUM(Q63:Q71)</f>
        <v>4770.63637709783</v>
      </c>
      <c r="R72" s="17" t="n">
        <f aca="false">SUM(R63:R71)</f>
        <v>5117.18991701341</v>
      </c>
      <c r="S72" s="17" t="n">
        <f aca="false">SUM(S63:S71)</f>
        <v>4716.47727752162</v>
      </c>
      <c r="T72" s="17" t="n">
        <f aca="false">SUM(T63:T71)</f>
        <v>5139.43432821192</v>
      </c>
      <c r="U72" s="17" t="n">
        <f aca="false">SUM(U63:U71)</f>
        <v>5196.79707104386</v>
      </c>
      <c r="V72" s="17" t="n">
        <f aca="false">SUM(V63:V71)</f>
        <v>5217.20334153586</v>
      </c>
      <c r="W72" s="17" t="n">
        <f aca="false">SUM(W63:W71)</f>
        <v>5658.31800670973</v>
      </c>
      <c r="X72" s="17" t="n">
        <f aca="false">SUM(X63:X71)</f>
        <v>5453.88269964771</v>
      </c>
      <c r="Y72" s="17" t="n">
        <f aca="false">SUM(Y63:Y71)</f>
        <v>5661.16497089888</v>
      </c>
      <c r="Z72" s="17" t="n">
        <f aca="false">SUM(Z63:Z71)</f>
        <v>6564.37247551889</v>
      </c>
      <c r="AA72" s="17" t="n">
        <f aca="false">SUM(AA63:AA71)</f>
        <v>7340.27930240302</v>
      </c>
      <c r="AB72" s="17" t="n">
        <f aca="false">SUM(AB63:AB71)</f>
        <v>9306.69162449937</v>
      </c>
      <c r="AC72" s="17" t="n">
        <f aca="false">SUM(AC63:AC71)</f>
        <v>10241.2408543398</v>
      </c>
      <c r="AD72" s="17" t="n">
        <f aca="false">SUM(AD63:AD71)</f>
        <v>10687.1176013884</v>
      </c>
      <c r="AE72" s="17" t="n">
        <f aca="false">SUM(AE63:AE71)</f>
        <v>9611.72436166981</v>
      </c>
      <c r="AF72" s="17" t="n">
        <f aca="false">SUM(AF63:AF71)</f>
        <v>9985.71350983151</v>
      </c>
      <c r="AG72" s="17" t="n">
        <f aca="false">SUM(AG63:AG71)</f>
        <v>10076.8849504268</v>
      </c>
      <c r="AH72" s="17" t="n">
        <f aca="false">SUM(AH63:AH71)</f>
        <v>9981.30039313472</v>
      </c>
      <c r="AI72" s="17" t="n">
        <f aca="false">SUM(AI63:AI71)</f>
        <v>10489.167429868</v>
      </c>
      <c r="AJ72" s="17" t="n">
        <f aca="false">SUM(AJ63:AJ71)</f>
        <v>10081.8504132909</v>
      </c>
      <c r="AK72" s="17" t="n">
        <f aca="false">SUM(AK63:AK71)</f>
        <v>10065.2872846352</v>
      </c>
      <c r="AL72" s="17" t="n">
        <f aca="false">SUM(AL63:AL71)</f>
        <v>11056.4781194105</v>
      </c>
      <c r="AM72" s="45" t="n">
        <f aca="false">SUMIF($C$6:$AL$6,1,C72:AL72)</f>
        <v>15624.5065810314</v>
      </c>
      <c r="AN72" s="45" t="n">
        <f aca="false">SUMIF($C$6:$AL$6,2,C72:AL72)</f>
        <v>60881.796491818</v>
      </c>
      <c r="AO72" s="45" t="n">
        <f aca="false">SUMIF($C$6:$AL$6,3,C72:AL72)</f>
        <v>118923.735844898</v>
      </c>
      <c r="AP72" s="45" t="n">
        <f aca="false">SUM(C72:AL72)</f>
        <v>195430.038917747</v>
      </c>
    </row>
    <row r="73" customFormat="false" ht="15" hidden="false" customHeight="false" outlineLevel="0" collapsed="false">
      <c r="A73" s="7" t="s">
        <v>820</v>
      </c>
      <c r="C73" s="8" t="n">
        <f aca="false">Assumptions!$C$16</f>
        <v>0</v>
      </c>
      <c r="D73" s="17" t="n">
        <f aca="false">0</f>
        <v>0</v>
      </c>
      <c r="E73" s="17" t="n">
        <f aca="false">0</f>
        <v>0</v>
      </c>
      <c r="F73" s="17" t="n">
        <f aca="false">0</f>
        <v>0</v>
      </c>
      <c r="G73" s="17" t="n">
        <f aca="false">0</f>
        <v>0</v>
      </c>
      <c r="H73" s="17" t="n">
        <f aca="false">0</f>
        <v>0</v>
      </c>
      <c r="I73" s="17" t="n">
        <f aca="false">0</f>
        <v>0</v>
      </c>
      <c r="J73" s="17" t="n">
        <f aca="false">0</f>
        <v>0</v>
      </c>
      <c r="K73" s="17" t="n">
        <f aca="false">0</f>
        <v>0</v>
      </c>
      <c r="L73" s="17" t="n">
        <f aca="false">0</f>
        <v>0</v>
      </c>
      <c r="M73" s="17" t="n">
        <f aca="false">0</f>
        <v>0</v>
      </c>
      <c r="N73" s="17" t="n">
        <f aca="false">0</f>
        <v>0</v>
      </c>
      <c r="O73" s="17" t="n">
        <f aca="false">0</f>
        <v>0</v>
      </c>
      <c r="P73" s="17" t="n">
        <f aca="false">0</f>
        <v>0</v>
      </c>
      <c r="Q73" s="17" t="n">
        <f aca="false">0</f>
        <v>0</v>
      </c>
      <c r="R73" s="17" t="n">
        <f aca="false">0</f>
        <v>0</v>
      </c>
      <c r="S73" s="17" t="n">
        <f aca="false">0</f>
        <v>0</v>
      </c>
      <c r="T73" s="17" t="n">
        <f aca="false">0</f>
        <v>0</v>
      </c>
      <c r="U73" s="17" t="n">
        <f aca="false">0</f>
        <v>0</v>
      </c>
      <c r="V73" s="17" t="n">
        <f aca="false">0</f>
        <v>0</v>
      </c>
      <c r="W73" s="17" t="n">
        <f aca="false">0</f>
        <v>0</v>
      </c>
      <c r="X73" s="17" t="n">
        <f aca="false">0</f>
        <v>0</v>
      </c>
      <c r="Y73" s="17" t="n">
        <f aca="false">0</f>
        <v>0</v>
      </c>
      <c r="Z73" s="17" t="n">
        <f aca="false">0</f>
        <v>0</v>
      </c>
      <c r="AA73" s="17" t="n">
        <f aca="false">0</f>
        <v>0</v>
      </c>
      <c r="AB73" s="17" t="n">
        <f aca="false">0</f>
        <v>0</v>
      </c>
      <c r="AC73" s="17" t="n">
        <f aca="false">0</f>
        <v>0</v>
      </c>
      <c r="AD73" s="17" t="n">
        <f aca="false">0</f>
        <v>0</v>
      </c>
      <c r="AE73" s="17" t="n">
        <f aca="false">0</f>
        <v>0</v>
      </c>
      <c r="AF73" s="17" t="n">
        <f aca="false">0</f>
        <v>0</v>
      </c>
      <c r="AG73" s="17" t="n">
        <f aca="false">0</f>
        <v>0</v>
      </c>
      <c r="AH73" s="17" t="n">
        <f aca="false">0</f>
        <v>0</v>
      </c>
      <c r="AI73" s="17" t="n">
        <f aca="false">0</f>
        <v>0</v>
      </c>
      <c r="AJ73" s="17" t="n">
        <f aca="false">0</f>
        <v>0</v>
      </c>
      <c r="AK73" s="17" t="n">
        <f aca="false">0</f>
        <v>0</v>
      </c>
      <c r="AL73" s="17" t="n">
        <f aca="false">0</f>
        <v>0</v>
      </c>
      <c r="AM73" s="45" t="n">
        <f aca="false">SUMIF($C$6:$AL$6,1,C73:AL73)</f>
        <v>0</v>
      </c>
      <c r="AN73" s="45" t="n">
        <f aca="false">SUMIF($C$6:$AL$6,2,C73:AL73)</f>
        <v>0</v>
      </c>
      <c r="AO73" s="45" t="n">
        <f aca="false">SUMIF($C$6:$AL$6,3,C73:AL73)</f>
        <v>0</v>
      </c>
      <c r="AP73" s="45" t="n">
        <f aca="false">SUM(C73:AL73)</f>
        <v>0</v>
      </c>
    </row>
    <row r="74" customFormat="false" ht="15" hidden="false" customHeight="false" outlineLevel="0" collapsed="false">
      <c r="A74" s="7" t="s">
        <v>821</v>
      </c>
      <c r="C74" s="8" t="n">
        <f aca="false">-'36-Month Forecast'!C384</f>
        <v>-0</v>
      </c>
      <c r="D74" s="8" t="n">
        <f aca="false">-'36-Month Forecast'!D384</f>
        <v>-0</v>
      </c>
      <c r="E74" s="8" t="n">
        <f aca="false">-'36-Month Forecast'!E384</f>
        <v>-0</v>
      </c>
      <c r="F74" s="8" t="n">
        <f aca="false">-'36-Month Forecast'!F384</f>
        <v>-0</v>
      </c>
      <c r="G74" s="8" t="n">
        <f aca="false">-'36-Month Forecast'!G384</f>
        <v>-0</v>
      </c>
      <c r="H74" s="8" t="n">
        <f aca="false">-'36-Month Forecast'!H384</f>
        <v>-0</v>
      </c>
      <c r="I74" s="8" t="n">
        <f aca="false">-'36-Month Forecast'!I384</f>
        <v>-0</v>
      </c>
      <c r="J74" s="8" t="n">
        <f aca="false">-'36-Month Forecast'!J384</f>
        <v>-3625</v>
      </c>
      <c r="K74" s="8" t="n">
        <f aca="false">-'36-Month Forecast'!K384</f>
        <v>-0</v>
      </c>
      <c r="L74" s="8" t="n">
        <f aca="false">-'36-Month Forecast'!L384</f>
        <v>-0</v>
      </c>
      <c r="M74" s="8" t="n">
        <f aca="false">-'36-Month Forecast'!M384</f>
        <v>-0</v>
      </c>
      <c r="N74" s="8" t="n">
        <f aca="false">-'36-Month Forecast'!N384</f>
        <v>-0</v>
      </c>
      <c r="O74" s="8" t="n">
        <f aca="false">-'36-Month Forecast'!O384</f>
        <v>-0</v>
      </c>
      <c r="P74" s="8" t="n">
        <f aca="false">-'36-Month Forecast'!P384</f>
        <v>-0</v>
      </c>
      <c r="Q74" s="8" t="n">
        <f aca="false">-'36-Month Forecast'!Q384</f>
        <v>-0</v>
      </c>
      <c r="R74" s="8" t="n">
        <f aca="false">-'36-Month Forecast'!R384</f>
        <v>-0</v>
      </c>
      <c r="S74" s="8" t="n">
        <f aca="false">-'36-Month Forecast'!S384</f>
        <v>-0</v>
      </c>
      <c r="T74" s="8" t="n">
        <f aca="false">-'36-Month Forecast'!T384</f>
        <v>-0</v>
      </c>
      <c r="U74" s="8" t="n">
        <f aca="false">-'36-Month Forecast'!U384</f>
        <v>-0</v>
      </c>
      <c r="V74" s="8" t="n">
        <f aca="false">-'36-Month Forecast'!V384</f>
        <v>-0</v>
      </c>
      <c r="W74" s="8" t="n">
        <f aca="false">-'36-Month Forecast'!W384</f>
        <v>-0</v>
      </c>
      <c r="X74" s="8" t="n">
        <f aca="false">-'36-Month Forecast'!X384</f>
        <v>-0</v>
      </c>
      <c r="Y74" s="8" t="n">
        <f aca="false">-'36-Month Forecast'!Y384</f>
        <v>-0</v>
      </c>
      <c r="Z74" s="8" t="n">
        <f aca="false">-'36-Month Forecast'!Z384</f>
        <v>-0</v>
      </c>
      <c r="AA74" s="8" t="n">
        <f aca="false">-'36-Month Forecast'!AA384</f>
        <v>-0</v>
      </c>
      <c r="AB74" s="8" t="n">
        <f aca="false">-'36-Month Forecast'!AB384</f>
        <v>-3625</v>
      </c>
      <c r="AC74" s="8" t="n">
        <f aca="false">-'36-Month Forecast'!AC384</f>
        <v>-0</v>
      </c>
      <c r="AD74" s="8" t="n">
        <f aca="false">-'36-Month Forecast'!AD384</f>
        <v>-0</v>
      </c>
      <c r="AE74" s="8" t="n">
        <f aca="false">-'36-Month Forecast'!AE384</f>
        <v>-0</v>
      </c>
      <c r="AF74" s="8" t="n">
        <f aca="false">-'36-Month Forecast'!AF384</f>
        <v>-0</v>
      </c>
      <c r="AG74" s="8" t="n">
        <f aca="false">-'36-Month Forecast'!AG384</f>
        <v>-3625</v>
      </c>
      <c r="AH74" s="8" t="n">
        <f aca="false">-'36-Month Forecast'!AH384</f>
        <v>-0</v>
      </c>
      <c r="AI74" s="8" t="n">
        <f aca="false">-'36-Month Forecast'!AI384</f>
        <v>-0</v>
      </c>
      <c r="AJ74" s="8" t="n">
        <f aca="false">-'36-Month Forecast'!AJ384</f>
        <v>-3625</v>
      </c>
      <c r="AK74" s="8" t="n">
        <f aca="false">-'36-Month Forecast'!AK384</f>
        <v>-0</v>
      </c>
      <c r="AL74" s="8" t="n">
        <f aca="false">-'36-Month Forecast'!AL384</f>
        <v>-0</v>
      </c>
      <c r="AM74" s="45" t="n">
        <f aca="false">SUMIF($C$6:$AL$6,1,C74:AL74)</f>
        <v>-3625</v>
      </c>
      <c r="AN74" s="45" t="n">
        <f aca="false">SUMIF($C$6:$AL$6,2,C74:AL74)</f>
        <v>0</v>
      </c>
      <c r="AO74" s="45" t="n">
        <f aca="false">SUMIF($C$6:$AL$6,3,C74:AL74)</f>
        <v>-10875</v>
      </c>
      <c r="AP74" s="45" t="n">
        <f aca="false">SUM(C74:AL74)</f>
        <v>-14500</v>
      </c>
    </row>
    <row r="75" customFormat="false" ht="15" hidden="false" customHeight="false" outlineLevel="0" collapsed="false">
      <c r="A75" s="7" t="s">
        <v>788</v>
      </c>
      <c r="C75" s="8" t="n">
        <f aca="false">-'36-Month Forecast'!C372</f>
        <v>-0</v>
      </c>
      <c r="D75" s="8" t="n">
        <f aca="false">-'36-Month Forecast'!D372</f>
        <v>-300</v>
      </c>
      <c r="E75" s="8" t="n">
        <f aca="false">-'36-Month Forecast'!E372</f>
        <v>-300</v>
      </c>
      <c r="F75" s="8" t="n">
        <f aca="false">-'36-Month Forecast'!F372</f>
        <v>-300</v>
      </c>
      <c r="G75" s="8" t="n">
        <f aca="false">-'36-Month Forecast'!G372</f>
        <v>-300</v>
      </c>
      <c r="H75" s="8" t="n">
        <f aca="false">-'36-Month Forecast'!H372</f>
        <v>-300</v>
      </c>
      <c r="I75" s="8" t="n">
        <f aca="false">-'36-Month Forecast'!I372</f>
        <v>-300</v>
      </c>
      <c r="J75" s="8" t="n">
        <f aca="false">-'36-Month Forecast'!J372</f>
        <v>-300</v>
      </c>
      <c r="K75" s="8" t="n">
        <f aca="false">-'36-Month Forecast'!K372</f>
        <v>-300</v>
      </c>
      <c r="L75" s="8" t="n">
        <f aca="false">-'36-Month Forecast'!L372</f>
        <v>-300</v>
      </c>
      <c r="M75" s="8" t="n">
        <f aca="false">-'36-Month Forecast'!M372</f>
        <v>-300</v>
      </c>
      <c r="N75" s="8" t="n">
        <f aca="false">-'36-Month Forecast'!N372</f>
        <v>-300</v>
      </c>
      <c r="O75" s="8" t="n">
        <f aca="false">-'36-Month Forecast'!O372</f>
        <v>-600</v>
      </c>
      <c r="P75" s="8" t="n">
        <f aca="false">-'36-Month Forecast'!P372</f>
        <v>-600</v>
      </c>
      <c r="Q75" s="8" t="n">
        <f aca="false">-'36-Month Forecast'!Q372</f>
        <v>-600</v>
      </c>
      <c r="R75" s="8" t="n">
        <f aca="false">-'36-Month Forecast'!R372</f>
        <v>-600</v>
      </c>
      <c r="S75" s="8" t="n">
        <f aca="false">-'36-Month Forecast'!S372</f>
        <v>-600</v>
      </c>
      <c r="T75" s="8" t="n">
        <f aca="false">-'36-Month Forecast'!T372</f>
        <v>-600</v>
      </c>
      <c r="U75" s="8" t="n">
        <f aca="false">-'36-Month Forecast'!U372</f>
        <v>-600</v>
      </c>
      <c r="V75" s="8" t="n">
        <f aca="false">-'36-Month Forecast'!V372</f>
        <v>-600</v>
      </c>
      <c r="W75" s="8" t="n">
        <f aca="false">-'36-Month Forecast'!W372</f>
        <v>-600</v>
      </c>
      <c r="X75" s="8" t="n">
        <f aca="false">-'36-Month Forecast'!X372</f>
        <v>-600</v>
      </c>
      <c r="Y75" s="8" t="n">
        <f aca="false">-'36-Month Forecast'!Y372</f>
        <v>-600</v>
      </c>
      <c r="Z75" s="8" t="n">
        <f aca="false">-'36-Month Forecast'!Z372</f>
        <v>-600</v>
      </c>
      <c r="AA75" s="8" t="n">
        <f aca="false">-'36-Month Forecast'!AA372</f>
        <v>-900</v>
      </c>
      <c r="AB75" s="8" t="n">
        <f aca="false">-'36-Month Forecast'!AB372</f>
        <v>-900</v>
      </c>
      <c r="AC75" s="8" t="n">
        <f aca="false">-'36-Month Forecast'!AC372</f>
        <v>-900</v>
      </c>
      <c r="AD75" s="8" t="n">
        <f aca="false">-'36-Month Forecast'!AD372</f>
        <v>-900</v>
      </c>
      <c r="AE75" s="8" t="n">
        <f aca="false">-'36-Month Forecast'!AE372</f>
        <v>-900</v>
      </c>
      <c r="AF75" s="8" t="n">
        <f aca="false">-'36-Month Forecast'!AF372</f>
        <v>-900</v>
      </c>
      <c r="AG75" s="8" t="n">
        <f aca="false">-'36-Month Forecast'!AG372</f>
        <v>-900</v>
      </c>
      <c r="AH75" s="8" t="n">
        <f aca="false">-'36-Month Forecast'!AH372</f>
        <v>-900</v>
      </c>
      <c r="AI75" s="8" t="n">
        <f aca="false">-'36-Month Forecast'!AI372</f>
        <v>-900</v>
      </c>
      <c r="AJ75" s="8" t="n">
        <f aca="false">-'36-Month Forecast'!AJ372</f>
        <v>-900</v>
      </c>
      <c r="AK75" s="8" t="n">
        <f aca="false">-'36-Month Forecast'!AK372</f>
        <v>-900</v>
      </c>
      <c r="AL75" s="8" t="n">
        <f aca="false">-'36-Month Forecast'!AL372</f>
        <v>-900</v>
      </c>
      <c r="AM75" s="45" t="n">
        <f aca="false">SUMIF($C$6:$AL$6,1,C75:AL75)</f>
        <v>-3300</v>
      </c>
      <c r="AN75" s="45" t="n">
        <f aca="false">SUMIF($C$6:$AL$6,2,C75:AL75)</f>
        <v>-7200</v>
      </c>
      <c r="AO75" s="45" t="n">
        <f aca="false">SUMIF($C$6:$AL$6,3,C75:AL75)</f>
        <v>-10800</v>
      </c>
      <c r="AP75" s="45" t="n">
        <f aca="false">SUM(C75:AL75)</f>
        <v>-21300</v>
      </c>
    </row>
    <row r="76" customFormat="false" ht="15" hidden="false" customHeight="false" outlineLevel="0" collapsed="false">
      <c r="A76" s="7" t="s">
        <v>822</v>
      </c>
      <c r="C76" s="8" t="n">
        <f aca="false">-'36-Month Forecast'!C373</f>
        <v>-1237.3185</v>
      </c>
      <c r="D76" s="8" t="n">
        <f aca="false">-'36-Month Forecast'!D373</f>
        <v>-735.7185</v>
      </c>
      <c r="E76" s="8" t="n">
        <f aca="false">-'36-Month Forecast'!E373</f>
        <v>-814.3685</v>
      </c>
      <c r="F76" s="8" t="n">
        <f aca="false">-'36-Month Forecast'!F373</f>
        <v>-1226.8685</v>
      </c>
      <c r="G76" s="8" t="n">
        <f aca="false">-'36-Month Forecast'!G373</f>
        <v>-944.1685</v>
      </c>
      <c r="H76" s="8" t="n">
        <f aca="false">-'36-Month Forecast'!H373</f>
        <v>-814.3685</v>
      </c>
      <c r="I76" s="8" t="n">
        <f aca="false">-'36-Month Forecast'!I373</f>
        <v>-2244.3685</v>
      </c>
      <c r="J76" s="8" t="n">
        <f aca="false">-'36-Month Forecast'!J373</f>
        <v>-814.3685</v>
      </c>
      <c r="K76" s="8" t="n">
        <f aca="false">-'36-Month Forecast'!K373</f>
        <v>-814.3685</v>
      </c>
      <c r="L76" s="8" t="n">
        <f aca="false">-'36-Month Forecast'!L373</f>
        <v>-814.3685</v>
      </c>
      <c r="M76" s="8" t="n">
        <f aca="false">-'36-Month Forecast'!M373</f>
        <v>-814.3685</v>
      </c>
      <c r="N76" s="8" t="n">
        <f aca="false">-'36-Month Forecast'!N373</f>
        <v>-814.3685</v>
      </c>
      <c r="O76" s="8" t="n">
        <f aca="false">-'36-Month Forecast'!O373</f>
        <v>-1667.4185</v>
      </c>
      <c r="P76" s="8" t="n">
        <f aca="false">-'36-Month Forecast'!P373</f>
        <v>-835.8185</v>
      </c>
      <c r="Q76" s="8" t="n">
        <f aca="false">-'36-Month Forecast'!Q373</f>
        <v>-835.8185</v>
      </c>
      <c r="R76" s="8" t="n">
        <f aca="false">-'36-Month Forecast'!R373</f>
        <v>-1248.3185</v>
      </c>
      <c r="S76" s="8" t="n">
        <f aca="false">-'36-Month Forecast'!S373</f>
        <v>-965.6185</v>
      </c>
      <c r="T76" s="8" t="n">
        <f aca="false">-'36-Month Forecast'!T373</f>
        <v>-835.8185</v>
      </c>
      <c r="U76" s="8" t="n">
        <f aca="false">-'36-Month Forecast'!U373</f>
        <v>-2265.8185</v>
      </c>
      <c r="V76" s="8" t="n">
        <f aca="false">-'36-Month Forecast'!V373</f>
        <v>-835.8185</v>
      </c>
      <c r="W76" s="8" t="n">
        <f aca="false">-'36-Month Forecast'!W373</f>
        <v>-835.8185</v>
      </c>
      <c r="X76" s="8" t="n">
        <f aca="false">-'36-Month Forecast'!X373</f>
        <v>-835.8185</v>
      </c>
      <c r="Y76" s="8" t="n">
        <f aca="false">-'36-Month Forecast'!Y373</f>
        <v>-835.8185</v>
      </c>
      <c r="Z76" s="8" t="n">
        <f aca="false">-'36-Month Forecast'!Z373</f>
        <v>-835.8185</v>
      </c>
      <c r="AA76" s="8" t="n">
        <f aca="false">-'36-Month Forecast'!AA373</f>
        <v>-1667.4185</v>
      </c>
      <c r="AB76" s="8" t="n">
        <f aca="false">-'36-Month Forecast'!AB373</f>
        <v>-835.8185</v>
      </c>
      <c r="AC76" s="8" t="n">
        <f aca="false">-'36-Month Forecast'!AC373</f>
        <v>-835.8185</v>
      </c>
      <c r="AD76" s="8" t="n">
        <f aca="false">-'36-Month Forecast'!AD373</f>
        <v>-1248.3185</v>
      </c>
      <c r="AE76" s="8" t="n">
        <f aca="false">-'36-Month Forecast'!AE373</f>
        <v>-965.6185</v>
      </c>
      <c r="AF76" s="8" t="n">
        <f aca="false">-'36-Month Forecast'!AF373</f>
        <v>-835.8185</v>
      </c>
      <c r="AG76" s="8" t="n">
        <f aca="false">-'36-Month Forecast'!AG373</f>
        <v>-2265.8185</v>
      </c>
      <c r="AH76" s="8" t="n">
        <f aca="false">-'36-Month Forecast'!AH373</f>
        <v>-835.8185</v>
      </c>
      <c r="AI76" s="8" t="n">
        <f aca="false">-'36-Month Forecast'!AI373</f>
        <v>-835.8185</v>
      </c>
      <c r="AJ76" s="8" t="n">
        <f aca="false">-'36-Month Forecast'!AJ373</f>
        <v>-835.8185</v>
      </c>
      <c r="AK76" s="8" t="n">
        <f aca="false">-'36-Month Forecast'!AK373</f>
        <v>-835.8185</v>
      </c>
      <c r="AL76" s="8" t="n">
        <f aca="false">-'36-Month Forecast'!AL373</f>
        <v>-835.8185</v>
      </c>
      <c r="AM76" s="45" t="n">
        <f aca="false">SUMIF($C$6:$AL$6,1,C76:AL76)</f>
        <v>-12089.022</v>
      </c>
      <c r="AN76" s="45" t="n">
        <f aca="false">SUMIF($C$6:$AL$6,2,C76:AL76)</f>
        <v>-12833.722</v>
      </c>
      <c r="AO76" s="45" t="n">
        <f aca="false">SUMIF($C$6:$AL$6,3,C76:AL76)</f>
        <v>-12833.722</v>
      </c>
      <c r="AP76" s="45" t="n">
        <f aca="false">SUM(C76:AL76)</f>
        <v>-37756.466</v>
      </c>
    </row>
    <row r="77" customFormat="false" ht="15" hidden="false" customHeight="false" outlineLevel="0" collapsed="false">
      <c r="A77" s="7" t="s">
        <v>823</v>
      </c>
      <c r="C77" s="8" t="n">
        <f aca="false">-'36-Month Forecast'!C374</f>
        <v>-0</v>
      </c>
      <c r="D77" s="8" t="n">
        <f aca="false">-'36-Month Forecast'!D374</f>
        <v>-0</v>
      </c>
      <c r="E77" s="8" t="n">
        <f aca="false">-'36-Month Forecast'!E374</f>
        <v>-0</v>
      </c>
      <c r="F77" s="8" t="n">
        <f aca="false">-'36-Month Forecast'!F374</f>
        <v>-0</v>
      </c>
      <c r="G77" s="8" t="n">
        <f aca="false">-'36-Month Forecast'!G374</f>
        <v>-0</v>
      </c>
      <c r="H77" s="8" t="n">
        <f aca="false">-'36-Month Forecast'!H374</f>
        <v>-0</v>
      </c>
      <c r="I77" s="8" t="n">
        <f aca="false">-'36-Month Forecast'!I374</f>
        <v>-0</v>
      </c>
      <c r="J77" s="8" t="n">
        <f aca="false">-'36-Month Forecast'!J374</f>
        <v>-139.99</v>
      </c>
      <c r="K77" s="8" t="n">
        <f aca="false">-'36-Month Forecast'!K374</f>
        <v>-139.99</v>
      </c>
      <c r="L77" s="8" t="n">
        <f aca="false">-'36-Month Forecast'!L374</f>
        <v>-139.99</v>
      </c>
      <c r="M77" s="8" t="n">
        <f aca="false">-'36-Month Forecast'!M374</f>
        <v>-139.99</v>
      </c>
      <c r="N77" s="8" t="n">
        <f aca="false">-'36-Month Forecast'!N374</f>
        <v>-139.99</v>
      </c>
      <c r="O77" s="8" t="n">
        <f aca="false">-'36-Month Forecast'!O374</f>
        <v>-139.99</v>
      </c>
      <c r="P77" s="8" t="n">
        <f aca="false">-'36-Month Forecast'!P374</f>
        <v>-139.99</v>
      </c>
      <c r="Q77" s="8" t="n">
        <f aca="false">-'36-Month Forecast'!Q374</f>
        <v>-139.99</v>
      </c>
      <c r="R77" s="8" t="n">
        <f aca="false">-'36-Month Forecast'!R374</f>
        <v>-139.99</v>
      </c>
      <c r="S77" s="8" t="n">
        <f aca="false">-'36-Month Forecast'!S374</f>
        <v>-139.99</v>
      </c>
      <c r="T77" s="8" t="n">
        <f aca="false">-'36-Month Forecast'!T374</f>
        <v>-139.99</v>
      </c>
      <c r="U77" s="8" t="n">
        <f aca="false">-'36-Month Forecast'!U374</f>
        <v>-139.99</v>
      </c>
      <c r="V77" s="8" t="n">
        <f aca="false">-'36-Month Forecast'!V374</f>
        <v>-139.99</v>
      </c>
      <c r="W77" s="8" t="n">
        <f aca="false">-'36-Month Forecast'!W374</f>
        <v>-139.99</v>
      </c>
      <c r="X77" s="8" t="n">
        <f aca="false">-'36-Month Forecast'!X374</f>
        <v>-498.49</v>
      </c>
      <c r="Y77" s="8" t="n">
        <f aca="false">-'36-Month Forecast'!Y374</f>
        <v>-498.49</v>
      </c>
      <c r="Z77" s="8" t="n">
        <f aca="false">-'36-Month Forecast'!Z374</f>
        <v>-498.49</v>
      </c>
      <c r="AA77" s="8" t="n">
        <f aca="false">-'36-Month Forecast'!AA374</f>
        <v>-498.49</v>
      </c>
      <c r="AB77" s="8" t="n">
        <f aca="false">-'36-Month Forecast'!AB374</f>
        <v>-498.49</v>
      </c>
      <c r="AC77" s="8" t="n">
        <f aca="false">-'36-Month Forecast'!AC374</f>
        <v>-498.49</v>
      </c>
      <c r="AD77" s="8" t="n">
        <f aca="false">-'36-Month Forecast'!AD374</f>
        <v>-498.49</v>
      </c>
      <c r="AE77" s="8" t="n">
        <f aca="false">-'36-Month Forecast'!AE374</f>
        <v>-498.49</v>
      </c>
      <c r="AF77" s="8" t="n">
        <f aca="false">-'36-Month Forecast'!AF374</f>
        <v>-498.49</v>
      </c>
      <c r="AG77" s="8" t="n">
        <f aca="false">-'36-Month Forecast'!AG374</f>
        <v>-498.49</v>
      </c>
      <c r="AH77" s="8" t="n">
        <f aca="false">-'36-Month Forecast'!AH374</f>
        <v>-498.49</v>
      </c>
      <c r="AI77" s="8" t="n">
        <f aca="false">-'36-Month Forecast'!AI374</f>
        <v>-498.49</v>
      </c>
      <c r="AJ77" s="8" t="n">
        <f aca="false">-'36-Month Forecast'!AJ374</f>
        <v>-498.49</v>
      </c>
      <c r="AK77" s="8" t="n">
        <f aca="false">-'36-Month Forecast'!AK374</f>
        <v>-498.49</v>
      </c>
      <c r="AL77" s="8" t="n">
        <f aca="false">-'36-Month Forecast'!AL374</f>
        <v>-498.49</v>
      </c>
      <c r="AM77" s="45" t="n">
        <f aca="false">SUMIF($C$6:$AL$6,1,C77:AL77)</f>
        <v>-699.95</v>
      </c>
      <c r="AN77" s="45" t="n">
        <f aca="false">SUMIF($C$6:$AL$6,2,C77:AL77)</f>
        <v>-2755.38</v>
      </c>
      <c r="AO77" s="45" t="n">
        <f aca="false">SUMIF($C$6:$AL$6,3,C77:AL77)</f>
        <v>-5981.88</v>
      </c>
      <c r="AP77" s="45" t="n">
        <f aca="false">SUM(C77:AL77)</f>
        <v>-9437.21</v>
      </c>
    </row>
    <row r="78" customFormat="false" ht="15" hidden="false" customHeight="false" outlineLevel="0" collapsed="false">
      <c r="A78" s="7" t="s">
        <v>824</v>
      </c>
      <c r="C78" s="8" t="n">
        <f aca="false">-'36-Month Forecast'!C376</f>
        <v>-4253.5</v>
      </c>
      <c r="D78" s="8" t="n">
        <f aca="false">-'36-Month Forecast'!D376</f>
        <v>-1420</v>
      </c>
      <c r="E78" s="8" t="n">
        <f aca="false">-'36-Month Forecast'!E376</f>
        <v>-1975</v>
      </c>
      <c r="F78" s="8" t="n">
        <f aca="false">-'36-Month Forecast'!F376</f>
        <v>-650</v>
      </c>
      <c r="G78" s="8" t="n">
        <f aca="false">-'36-Month Forecast'!G376</f>
        <v>-1037.5</v>
      </c>
      <c r="H78" s="8" t="n">
        <f aca="false">-'36-Month Forecast'!H376</f>
        <v>-4250</v>
      </c>
      <c r="I78" s="8" t="n">
        <f aca="false">-'36-Month Forecast'!I376</f>
        <v>-5250</v>
      </c>
      <c r="J78" s="8" t="n">
        <f aca="false">-'36-Month Forecast'!J376</f>
        <v>-0</v>
      </c>
      <c r="K78" s="8" t="n">
        <f aca="false">-'36-Month Forecast'!K376</f>
        <v>-687.5</v>
      </c>
      <c r="L78" s="8" t="n">
        <f aca="false">-'36-Month Forecast'!L376</f>
        <v>-262.5</v>
      </c>
      <c r="M78" s="8" t="n">
        <f aca="false">-'36-Month Forecast'!M376</f>
        <v>-0</v>
      </c>
      <c r="N78" s="8" t="n">
        <f aca="false">-'36-Month Forecast'!N376</f>
        <v>-0</v>
      </c>
      <c r="O78" s="8" t="n">
        <f aca="false">-'36-Month Forecast'!O376</f>
        <v>-0</v>
      </c>
      <c r="P78" s="8" t="n">
        <f aca="false">-'36-Month Forecast'!P376</f>
        <v>-0</v>
      </c>
      <c r="Q78" s="8" t="n">
        <f aca="false">-'36-Month Forecast'!Q376</f>
        <v>-0</v>
      </c>
      <c r="R78" s="8" t="n">
        <f aca="false">-'36-Month Forecast'!R376</f>
        <v>-0</v>
      </c>
      <c r="S78" s="8" t="n">
        <f aca="false">-'36-Month Forecast'!S376</f>
        <v>-0</v>
      </c>
      <c r="T78" s="8" t="n">
        <f aca="false">-'36-Month Forecast'!T376</f>
        <v>-0</v>
      </c>
      <c r="U78" s="8" t="n">
        <f aca="false">-'36-Month Forecast'!U376</f>
        <v>-0</v>
      </c>
      <c r="V78" s="8" t="n">
        <f aca="false">-'36-Month Forecast'!V376</f>
        <v>-0</v>
      </c>
      <c r="W78" s="8" t="n">
        <f aca="false">-'36-Month Forecast'!W376</f>
        <v>-0</v>
      </c>
      <c r="X78" s="8" t="n">
        <f aca="false">-'36-Month Forecast'!X376</f>
        <v>-0</v>
      </c>
      <c r="Y78" s="8" t="n">
        <f aca="false">-'36-Month Forecast'!Y376</f>
        <v>-0</v>
      </c>
      <c r="Z78" s="8" t="n">
        <f aca="false">-'36-Month Forecast'!Z376</f>
        <v>-0</v>
      </c>
      <c r="AA78" s="8" t="n">
        <f aca="false">-'36-Month Forecast'!AA376</f>
        <v>-0</v>
      </c>
      <c r="AB78" s="8" t="n">
        <f aca="false">-'36-Month Forecast'!AB376</f>
        <v>-0</v>
      </c>
      <c r="AC78" s="8" t="n">
        <f aca="false">-'36-Month Forecast'!AC376</f>
        <v>-0</v>
      </c>
      <c r="AD78" s="8" t="n">
        <f aca="false">-'36-Month Forecast'!AD376</f>
        <v>-0</v>
      </c>
      <c r="AE78" s="8" t="n">
        <f aca="false">-'36-Month Forecast'!AE376</f>
        <v>-0</v>
      </c>
      <c r="AF78" s="8" t="n">
        <f aca="false">-'36-Month Forecast'!AF376</f>
        <v>-0</v>
      </c>
      <c r="AG78" s="8" t="n">
        <f aca="false">-'36-Month Forecast'!AG376</f>
        <v>-0</v>
      </c>
      <c r="AH78" s="8" t="n">
        <f aca="false">-'36-Month Forecast'!AH376</f>
        <v>-0</v>
      </c>
      <c r="AI78" s="8" t="n">
        <f aca="false">-'36-Month Forecast'!AI376</f>
        <v>-0</v>
      </c>
      <c r="AJ78" s="8" t="n">
        <f aca="false">-'36-Month Forecast'!AJ376</f>
        <v>-0</v>
      </c>
      <c r="AK78" s="8" t="n">
        <f aca="false">-'36-Month Forecast'!AK376</f>
        <v>-0</v>
      </c>
      <c r="AL78" s="8" t="n">
        <f aca="false">-'36-Month Forecast'!AL376</f>
        <v>-0</v>
      </c>
      <c r="AM78" s="45" t="n">
        <f aca="false">SUMIF($C$6:$AL$6,1,C78:AL78)</f>
        <v>-19786</v>
      </c>
      <c r="AN78" s="45" t="n">
        <f aca="false">SUMIF($C$6:$AL$6,2,C78:AL78)</f>
        <v>0</v>
      </c>
      <c r="AO78" s="45" t="n">
        <f aca="false">SUMIF($C$6:$AL$6,3,C78:AL78)</f>
        <v>0</v>
      </c>
      <c r="AP78" s="45" t="n">
        <f aca="false">SUM(C78:AL78)</f>
        <v>-19786</v>
      </c>
    </row>
    <row r="79" customFormat="false" ht="15" hidden="false" customHeight="false" outlineLevel="0" collapsed="false">
      <c r="A79" s="7" t="s">
        <v>825</v>
      </c>
      <c r="C79" s="8" t="n">
        <f aca="false">-'36-Month Forecast'!C377</f>
        <v>-0</v>
      </c>
      <c r="D79" s="8" t="n">
        <f aca="false">-'36-Month Forecast'!D377</f>
        <v>-0</v>
      </c>
      <c r="E79" s="8" t="n">
        <f aca="false">-'36-Month Forecast'!E377</f>
        <v>-0</v>
      </c>
      <c r="F79" s="8" t="n">
        <f aca="false">-'36-Month Forecast'!F377</f>
        <v>-0</v>
      </c>
      <c r="G79" s="8" t="n">
        <f aca="false">-'36-Month Forecast'!G377</f>
        <v>-0</v>
      </c>
      <c r="H79" s="8" t="n">
        <f aca="false">-'36-Month Forecast'!H377</f>
        <v>-0</v>
      </c>
      <c r="I79" s="8" t="n">
        <f aca="false">-'36-Month Forecast'!I377</f>
        <v>-0</v>
      </c>
      <c r="J79" s="8" t="n">
        <f aca="false">-'36-Month Forecast'!J377</f>
        <v>-1875</v>
      </c>
      <c r="K79" s="8" t="n">
        <f aca="false">-'36-Month Forecast'!K377</f>
        <v>-0</v>
      </c>
      <c r="L79" s="8" t="n">
        <f aca="false">-'36-Month Forecast'!L377</f>
        <v>-179</v>
      </c>
      <c r="M79" s="8" t="n">
        <f aca="false">-'36-Month Forecast'!M377</f>
        <v>-0</v>
      </c>
      <c r="N79" s="8" t="n">
        <f aca="false">-'36-Month Forecast'!N377</f>
        <v>-0</v>
      </c>
      <c r="O79" s="8" t="n">
        <f aca="false">-'36-Month Forecast'!O377</f>
        <v>-0</v>
      </c>
      <c r="P79" s="8" t="n">
        <f aca="false">-'36-Month Forecast'!P377</f>
        <v>-0</v>
      </c>
      <c r="Q79" s="8" t="n">
        <f aca="false">-'36-Month Forecast'!Q377</f>
        <v>-0</v>
      </c>
      <c r="R79" s="8" t="n">
        <f aca="false">-'36-Month Forecast'!R377</f>
        <v>-0</v>
      </c>
      <c r="S79" s="8" t="n">
        <f aca="false">-'36-Month Forecast'!S377</f>
        <v>-0</v>
      </c>
      <c r="T79" s="8" t="n">
        <f aca="false">-'36-Month Forecast'!T377</f>
        <v>-0</v>
      </c>
      <c r="U79" s="8" t="n">
        <f aca="false">-'36-Month Forecast'!U377</f>
        <v>-5100</v>
      </c>
      <c r="V79" s="8" t="n">
        <f aca="false">-'36-Month Forecast'!V377</f>
        <v>-0</v>
      </c>
      <c r="W79" s="8" t="n">
        <f aca="false">-'36-Month Forecast'!W377</f>
        <v>-0</v>
      </c>
      <c r="X79" s="8" t="n">
        <f aca="false">-'36-Month Forecast'!X377</f>
        <v>-0</v>
      </c>
      <c r="Y79" s="8" t="n">
        <f aca="false">-'36-Month Forecast'!Y377</f>
        <v>-0</v>
      </c>
      <c r="Z79" s="8" t="n">
        <f aca="false">-'36-Month Forecast'!Z377</f>
        <v>-0</v>
      </c>
      <c r="AA79" s="8" t="n">
        <f aca="false">-'36-Month Forecast'!AA377</f>
        <v>-0</v>
      </c>
      <c r="AB79" s="8" t="n">
        <f aca="false">-'36-Month Forecast'!AB377</f>
        <v>-0</v>
      </c>
      <c r="AC79" s="8" t="n">
        <f aca="false">-'36-Month Forecast'!AC377</f>
        <v>-0</v>
      </c>
      <c r="AD79" s="8" t="n">
        <f aca="false">-'36-Month Forecast'!AD377</f>
        <v>-0</v>
      </c>
      <c r="AE79" s="8" t="n">
        <f aca="false">-'36-Month Forecast'!AE377</f>
        <v>-0</v>
      </c>
      <c r="AF79" s="8" t="n">
        <f aca="false">-'36-Month Forecast'!AF377</f>
        <v>-0</v>
      </c>
      <c r="AG79" s="8" t="n">
        <f aca="false">-'36-Month Forecast'!AG377</f>
        <v>-0</v>
      </c>
      <c r="AH79" s="8" t="n">
        <f aca="false">-'36-Month Forecast'!AH377</f>
        <v>-0</v>
      </c>
      <c r="AI79" s="8" t="n">
        <f aca="false">-'36-Month Forecast'!AI377</f>
        <v>-0</v>
      </c>
      <c r="AJ79" s="8" t="n">
        <f aca="false">-'36-Month Forecast'!AJ377</f>
        <v>-0</v>
      </c>
      <c r="AK79" s="8" t="n">
        <f aca="false">-'36-Month Forecast'!AK377</f>
        <v>-0</v>
      </c>
      <c r="AL79" s="8" t="n">
        <f aca="false">-'36-Month Forecast'!AL377</f>
        <v>-0</v>
      </c>
      <c r="AM79" s="45" t="n">
        <f aca="false">SUMIF($C$6:$AL$6,1,C79:AL79)</f>
        <v>-2054</v>
      </c>
      <c r="AN79" s="45" t="n">
        <f aca="false">SUMIF($C$6:$AL$6,2,C79:AL79)</f>
        <v>-5100</v>
      </c>
      <c r="AO79" s="45" t="n">
        <f aca="false">SUMIF($C$6:$AL$6,3,C79:AL79)</f>
        <v>0</v>
      </c>
      <c r="AP79" s="45" t="n">
        <f aca="false">SUM(C79:AL79)</f>
        <v>-7154</v>
      </c>
    </row>
    <row r="80" customFormat="false" ht="15" hidden="false" customHeight="false" outlineLevel="0" collapsed="false">
      <c r="A80" s="57" t="s">
        <v>826</v>
      </c>
      <c r="B80" s="61"/>
      <c r="C80" s="59" t="n">
        <f aca="false">SUM(C72:C79)</f>
        <v>-5411.77043791322</v>
      </c>
      <c r="D80" s="59" t="n">
        <f aca="false">SUM(D72:D79)</f>
        <v>-2213.4153875824</v>
      </c>
      <c r="E80" s="59" t="n">
        <f aca="false">SUM(E72:E79)</f>
        <v>-2666.64276233606</v>
      </c>
      <c r="F80" s="59" t="n">
        <f aca="false">SUM(F72:F79)</f>
        <v>-1562.24039980931</v>
      </c>
      <c r="G80" s="59" t="n">
        <f aca="false">SUM(G72:G79)</f>
        <v>-1526.20332046807</v>
      </c>
      <c r="H80" s="59" t="n">
        <f aca="false">SUM(H72:H79)</f>
        <v>-4191.70173612323</v>
      </c>
      <c r="I80" s="59" t="n">
        <f aca="false">SUM(I72:I79)</f>
        <v>-6390.0377279211</v>
      </c>
      <c r="J80" s="59" t="n">
        <f aca="false">SUM(J72:J79)</f>
        <v>-5127.01802687458</v>
      </c>
      <c r="K80" s="59" t="n">
        <f aca="false">SUM(K72:K79)</f>
        <v>133.452127467378</v>
      </c>
      <c r="L80" s="59" t="n">
        <f aca="false">SUM(L72:L79)</f>
        <v>506.803000960382</v>
      </c>
      <c r="M80" s="59" t="n">
        <f aca="false">SUM(M72:M79)</f>
        <v>1083.70039513914</v>
      </c>
      <c r="N80" s="59" t="n">
        <f aca="false">SUM(N72:N79)</f>
        <v>1435.60885649251</v>
      </c>
      <c r="O80" s="59" t="n">
        <f aca="false">SUM(O72:O79)</f>
        <v>735.081247216037</v>
      </c>
      <c r="P80" s="59" t="n">
        <f aca="false">SUM(P72:P79)</f>
        <v>2668.02177940221</v>
      </c>
      <c r="Q80" s="59" t="n">
        <f aca="false">SUM(Q72:Q79)</f>
        <v>3194.82787709783</v>
      </c>
      <c r="R80" s="59" t="n">
        <f aca="false">SUM(R72:R79)</f>
        <v>3128.88141701341</v>
      </c>
      <c r="S80" s="59" t="n">
        <f aca="false">SUM(S72:S79)</f>
        <v>3010.86877752162</v>
      </c>
      <c r="T80" s="59" t="n">
        <f aca="false">SUM(T72:T79)</f>
        <v>3563.62582821192</v>
      </c>
      <c r="U80" s="59" t="n">
        <f aca="false">SUM(U72:U79)</f>
        <v>-2909.01142895614</v>
      </c>
      <c r="V80" s="59" t="n">
        <f aca="false">SUM(V72:V79)</f>
        <v>3641.39484153586</v>
      </c>
      <c r="W80" s="59" t="n">
        <f aca="false">SUM(W72:W79)</f>
        <v>4082.50950670973</v>
      </c>
      <c r="X80" s="59" t="n">
        <f aca="false">SUM(X72:X79)</f>
        <v>3519.57419964771</v>
      </c>
      <c r="Y80" s="59" t="n">
        <f aca="false">SUM(Y72:Y79)</f>
        <v>3726.85647089888</v>
      </c>
      <c r="Z80" s="59" t="n">
        <f aca="false">SUM(Z72:Z79)</f>
        <v>4630.06397551889</v>
      </c>
      <c r="AA80" s="59" t="n">
        <f aca="false">SUM(AA72:AA79)</f>
        <v>4274.37080240303</v>
      </c>
      <c r="AB80" s="59" t="n">
        <f aca="false">SUM(AB72:AB79)</f>
        <v>3447.38312449937</v>
      </c>
      <c r="AC80" s="59" t="n">
        <f aca="false">SUM(AC72:AC79)</f>
        <v>8006.93235433977</v>
      </c>
      <c r="AD80" s="59" t="n">
        <f aca="false">SUM(AD72:AD79)</f>
        <v>8040.30910138837</v>
      </c>
      <c r="AE80" s="59" t="n">
        <f aca="false">SUM(AE72:AE79)</f>
        <v>7247.61586166981</v>
      </c>
      <c r="AF80" s="59" t="n">
        <f aca="false">SUM(AF72:AF79)</f>
        <v>7751.40500983151</v>
      </c>
      <c r="AG80" s="59" t="n">
        <f aca="false">SUM(AG72:AG79)</f>
        <v>2787.57645042675</v>
      </c>
      <c r="AH80" s="59" t="n">
        <f aca="false">SUM(AH72:AH79)</f>
        <v>7746.99189313472</v>
      </c>
      <c r="AI80" s="59" t="n">
        <f aca="false">SUM(AI72:AI79)</f>
        <v>8254.85892986796</v>
      </c>
      <c r="AJ80" s="59" t="n">
        <f aca="false">SUM(AJ72:AJ79)</f>
        <v>4222.54191329091</v>
      </c>
      <c r="AK80" s="59" t="n">
        <f aca="false">SUM(AK72:AK79)</f>
        <v>7830.97878463517</v>
      </c>
      <c r="AL80" s="59" t="n">
        <f aca="false">SUM(AL72:AL79)</f>
        <v>8822.16961941049</v>
      </c>
      <c r="AM80" s="60" t="n">
        <f aca="false">SUMIF($C$6:$AL$6,1,C80:AL80)</f>
        <v>-25929.4654189686</v>
      </c>
      <c r="AN80" s="60" t="n">
        <f aca="false">SUMIF($C$6:$AL$6,2,C80:AL80)</f>
        <v>32992.694491818</v>
      </c>
      <c r="AO80" s="60" t="n">
        <f aca="false">SUMIF($C$6:$AL$6,3,C80:AL80)</f>
        <v>78433.1338448979</v>
      </c>
      <c r="AP80" s="60" t="n">
        <f aca="false">SUM(C80:AL80)</f>
        <v>85496.3629177473</v>
      </c>
    </row>
    <row r="81" customFormat="false" ht="15" hidden="false" customHeight="false" outlineLevel="0" collapsed="false">
      <c r="A81" s="7" t="s">
        <v>827</v>
      </c>
      <c r="C81" s="8" t="n">
        <f aca="false">-Assumptions!$C$14*MAX(0,C80)</f>
        <v>-0</v>
      </c>
      <c r="D81" s="8" t="n">
        <f aca="false">-Assumptions!$C$14*MAX(0,D80)</f>
        <v>-0</v>
      </c>
      <c r="E81" s="8" t="n">
        <f aca="false">-Assumptions!$C$14*MAX(0,E80)</f>
        <v>-0</v>
      </c>
      <c r="F81" s="8" t="n">
        <f aca="false">-Assumptions!$C$14*MAX(0,F80)</f>
        <v>-0</v>
      </c>
      <c r="G81" s="8" t="n">
        <f aca="false">-Assumptions!$C$14*MAX(0,G80)</f>
        <v>-0</v>
      </c>
      <c r="H81" s="8" t="n">
        <f aca="false">-Assumptions!$C$14*MAX(0,H80)</f>
        <v>-0</v>
      </c>
      <c r="I81" s="8" t="n">
        <f aca="false">-Assumptions!$C$14*MAX(0,I80)</f>
        <v>-0</v>
      </c>
      <c r="J81" s="8" t="n">
        <f aca="false">-Assumptions!$C$14*MAX(0,J80)</f>
        <v>-0</v>
      </c>
      <c r="K81" s="8" t="n">
        <f aca="false">-Assumptions!$C$14*MAX(0,K80)</f>
        <v>-33.3630318668446</v>
      </c>
      <c r="L81" s="8" t="n">
        <f aca="false">-Assumptions!$C$14*MAX(0,L80)</f>
        <v>-126.700750240095</v>
      </c>
      <c r="M81" s="8" t="n">
        <f aca="false">-Assumptions!$C$14*MAX(0,M80)</f>
        <v>-270.925098784784</v>
      </c>
      <c r="N81" s="8" t="n">
        <f aca="false">-Assumptions!$C$14*MAX(0,N80)</f>
        <v>-358.902214123128</v>
      </c>
      <c r="O81" s="8" t="n">
        <f aca="false">-Assumptions!$C$14*MAX(0,O80)</f>
        <v>-183.770311804009</v>
      </c>
      <c r="P81" s="8" t="n">
        <f aca="false">-Assumptions!$C$14*MAX(0,P80)</f>
        <v>-667.005444850553</v>
      </c>
      <c r="Q81" s="8" t="n">
        <f aca="false">-Assumptions!$C$14*MAX(0,Q80)</f>
        <v>-798.706969274458</v>
      </c>
      <c r="R81" s="8" t="n">
        <f aca="false">-Assumptions!$C$14*MAX(0,R80)</f>
        <v>-782.220354253352</v>
      </c>
      <c r="S81" s="8" t="n">
        <f aca="false">-Assumptions!$C$14*MAX(0,S80)</f>
        <v>-752.717194380405</v>
      </c>
      <c r="T81" s="8" t="n">
        <f aca="false">-Assumptions!$C$14*MAX(0,T80)</f>
        <v>-890.906457052981</v>
      </c>
      <c r="U81" s="8" t="n">
        <f aca="false">-Assumptions!$C$14*MAX(0,U80)</f>
        <v>-0</v>
      </c>
      <c r="V81" s="8" t="n">
        <f aca="false">-Assumptions!$C$14*MAX(0,V80)</f>
        <v>-910.348710383964</v>
      </c>
      <c r="W81" s="8" t="n">
        <f aca="false">-Assumptions!$C$14*MAX(0,W80)</f>
        <v>-1020.62737667743</v>
      </c>
      <c r="X81" s="8" t="n">
        <f aca="false">-Assumptions!$C$14*MAX(0,X80)</f>
        <v>-879.893549911928</v>
      </c>
      <c r="Y81" s="8" t="n">
        <f aca="false">-Assumptions!$C$14*MAX(0,Y80)</f>
        <v>-931.714117724721</v>
      </c>
      <c r="Z81" s="8" t="n">
        <f aca="false">-Assumptions!$C$14*MAX(0,Z80)</f>
        <v>-1157.51599387972</v>
      </c>
      <c r="AA81" s="8" t="n">
        <f aca="false">-Assumptions!$C$14*MAX(0,AA80)</f>
        <v>-1068.59270060076</v>
      </c>
      <c r="AB81" s="8" t="n">
        <f aca="false">-Assumptions!$C$14*MAX(0,AB80)</f>
        <v>-861.845781124843</v>
      </c>
      <c r="AC81" s="8" t="n">
        <f aca="false">-Assumptions!$C$14*MAX(0,AC80)</f>
        <v>-2001.73308858494</v>
      </c>
      <c r="AD81" s="8" t="n">
        <f aca="false">-Assumptions!$C$14*MAX(0,AD80)</f>
        <v>-2010.07727534709</v>
      </c>
      <c r="AE81" s="8" t="n">
        <f aca="false">-Assumptions!$C$14*MAX(0,AE80)</f>
        <v>-1811.90396541745</v>
      </c>
      <c r="AF81" s="8" t="n">
        <f aca="false">-Assumptions!$C$14*MAX(0,AF80)</f>
        <v>-1937.85125245788</v>
      </c>
      <c r="AG81" s="8" t="n">
        <f aca="false">-Assumptions!$C$14*MAX(0,AG80)</f>
        <v>-696.894112606689</v>
      </c>
      <c r="AH81" s="8" t="n">
        <f aca="false">-Assumptions!$C$14*MAX(0,AH80)</f>
        <v>-1936.74797328368</v>
      </c>
      <c r="AI81" s="8" t="n">
        <f aca="false">-Assumptions!$C$14*MAX(0,AI80)</f>
        <v>-2063.71473246699</v>
      </c>
      <c r="AJ81" s="8" t="n">
        <f aca="false">-Assumptions!$C$14*MAX(0,AJ80)</f>
        <v>-1055.63547832273</v>
      </c>
      <c r="AK81" s="8" t="n">
        <f aca="false">-Assumptions!$C$14*MAX(0,AK80)</f>
        <v>-1957.74469615879</v>
      </c>
      <c r="AL81" s="8" t="n">
        <f aca="false">-Assumptions!$C$14*MAX(0,AL80)</f>
        <v>-2205.54240485262</v>
      </c>
      <c r="AM81" s="45" t="n">
        <f aca="false">SUMIF($C$6:$AL$6,1,C81:AL81)</f>
        <v>-789.891095014852</v>
      </c>
      <c r="AN81" s="45" t="n">
        <f aca="false">SUMIF($C$6:$AL$6,2,C81:AL81)</f>
        <v>-8975.42648019352</v>
      </c>
      <c r="AO81" s="45" t="n">
        <f aca="false">SUMIF($C$6:$AL$6,3,C81:AL81)</f>
        <v>-19608.2834612245</v>
      </c>
      <c r="AP81" s="45" t="n">
        <f aca="false">SUM(C81:AL81)</f>
        <v>-29373.6010364328</v>
      </c>
    </row>
    <row r="82" customFormat="false" ht="15" hidden="false" customHeight="false" outlineLevel="0" collapsed="false">
      <c r="A82" s="57" t="s">
        <v>828</v>
      </c>
      <c r="B82" s="61"/>
      <c r="C82" s="62" t="n">
        <f aca="false">Assumptions!$C$15+C80+C81</f>
        <v>-5411.77043791322</v>
      </c>
      <c r="D82" s="59" t="n">
        <f aca="false">C82+D80+D81</f>
        <v>-7625.18582549562</v>
      </c>
      <c r="E82" s="59" t="n">
        <f aca="false">D82+E80+E81</f>
        <v>-10291.8285878317</v>
      </c>
      <c r="F82" s="59" t="n">
        <f aca="false">E82+F80+F81</f>
        <v>-11854.068987641</v>
      </c>
      <c r="G82" s="59" t="n">
        <f aca="false">F82+G80+G81</f>
        <v>-13380.2723081091</v>
      </c>
      <c r="H82" s="59" t="n">
        <f aca="false">G82+H80+H81</f>
        <v>-17571.9740442323</v>
      </c>
      <c r="I82" s="59" t="n">
        <f aca="false">H82+I80+I81</f>
        <v>-23962.0117721534</v>
      </c>
      <c r="J82" s="59" t="n">
        <f aca="false">I82+J80+J81</f>
        <v>-29089.029799028</v>
      </c>
      <c r="K82" s="59" t="n">
        <f aca="false">J82+K80+K81</f>
        <v>-28988.9407034274</v>
      </c>
      <c r="L82" s="59" t="n">
        <f aca="false">K82+L80+L81</f>
        <v>-28608.8384527072</v>
      </c>
      <c r="M82" s="59" t="n">
        <f aca="false">L82+M80+M81</f>
        <v>-27796.0631563528</v>
      </c>
      <c r="N82" s="59" t="n">
        <f aca="false">M82+N80+N81</f>
        <v>-26719.3565139834</v>
      </c>
      <c r="O82" s="59" t="n">
        <f aca="false">N82+O80+O81</f>
        <v>-26168.0455785714</v>
      </c>
      <c r="P82" s="59" t="n">
        <f aca="false">O82+P80+P81</f>
        <v>-24167.0292440197</v>
      </c>
      <c r="Q82" s="59" t="n">
        <f aca="false">P82+Q80+Q81</f>
        <v>-21770.9083361964</v>
      </c>
      <c r="R82" s="59" t="n">
        <f aca="false">Q82+R80+R81</f>
        <v>-19424.2472734363</v>
      </c>
      <c r="S82" s="59" t="n">
        <f aca="false">R82+S80+S81</f>
        <v>-17166.0956902951</v>
      </c>
      <c r="T82" s="59" t="n">
        <f aca="false">S82+T80+T81</f>
        <v>-14493.3763191362</v>
      </c>
      <c r="U82" s="59" t="n">
        <f aca="false">T82+U80+U81</f>
        <v>-17402.3877480923</v>
      </c>
      <c r="V82" s="59" t="n">
        <f aca="false">U82+V80+V81</f>
        <v>-14671.3416169404</v>
      </c>
      <c r="W82" s="59" t="n">
        <f aca="false">V82+W80+W81</f>
        <v>-11609.4594869081</v>
      </c>
      <c r="X82" s="59" t="n">
        <f aca="false">W82+X80+X81</f>
        <v>-8969.77883717232</v>
      </c>
      <c r="Y82" s="59" t="n">
        <f aca="false">X82+Y80+Y81</f>
        <v>-6174.63648399815</v>
      </c>
      <c r="Z82" s="59" t="n">
        <f aca="false">Y82+Z80+Z81</f>
        <v>-2702.08850235899</v>
      </c>
      <c r="AA82" s="59" t="n">
        <f aca="false">Z82+AA80+AA81</f>
        <v>503.689599443281</v>
      </c>
      <c r="AB82" s="59" t="n">
        <f aca="false">AA82+AB80+AB81</f>
        <v>3089.22694281781</v>
      </c>
      <c r="AC82" s="59" t="n">
        <f aca="false">AB82+AC80+AC81</f>
        <v>9094.42620857264</v>
      </c>
      <c r="AD82" s="59" t="n">
        <f aca="false">AC82+AD80+AD81</f>
        <v>15124.6580346139</v>
      </c>
      <c r="AE82" s="59" t="n">
        <f aca="false">AD82+AE80+AE81</f>
        <v>20560.3699308663</v>
      </c>
      <c r="AF82" s="59" t="n">
        <f aca="false">AE82+AF80+AF81</f>
        <v>26373.9236882399</v>
      </c>
      <c r="AG82" s="59" t="n">
        <f aca="false">AF82+AG80+AG81</f>
        <v>28464.60602606</v>
      </c>
      <c r="AH82" s="59" t="n">
        <f aca="false">AG82+AH80+AH81</f>
        <v>34274.849945911</v>
      </c>
      <c r="AI82" s="59" t="n">
        <f aca="false">AH82+AI80+AI81</f>
        <v>40465.994143312</v>
      </c>
      <c r="AJ82" s="59" t="n">
        <f aca="false">AI82+AJ80+AJ81</f>
        <v>43632.9005782802</v>
      </c>
      <c r="AK82" s="59" t="n">
        <f aca="false">AJ82+AK80+AK81</f>
        <v>49506.1346667565</v>
      </c>
      <c r="AL82" s="59" t="n">
        <f aca="false">AK82+AL80+AL81</f>
        <v>56122.7618813144</v>
      </c>
      <c r="AM82" s="60" t="n">
        <f aca="false">N82</f>
        <v>-26719.3565139834</v>
      </c>
      <c r="AN82" s="60" t="n">
        <f aca="false">Z82</f>
        <v>-2702.08850235899</v>
      </c>
      <c r="AO82" s="60" t="n">
        <f aca="false">AL82</f>
        <v>56122.7618813144</v>
      </c>
      <c r="AP82" s="60" t="n">
        <f aca="false">AL82</f>
        <v>56122.7618813144</v>
      </c>
    </row>
    <row r="83" customFormat="false" ht="15" hidden="false" customHeight="false" outlineLevel="0" collapsed="false">
      <c r="A83" s="7" t="s">
        <v>829</v>
      </c>
      <c r="C83" s="17" t="n">
        <f aca="false">-C81</f>
        <v>0</v>
      </c>
      <c r="D83" s="17" t="n">
        <f aca="false">-D81+C83</f>
        <v>0</v>
      </c>
      <c r="E83" s="17" t="n">
        <f aca="false">-E81+D83</f>
        <v>0</v>
      </c>
      <c r="F83" s="17" t="n">
        <f aca="false">-F81+E83</f>
        <v>0</v>
      </c>
      <c r="G83" s="17" t="n">
        <f aca="false">-G81+F83</f>
        <v>0</v>
      </c>
      <c r="H83" s="17" t="n">
        <f aca="false">-H81+G83</f>
        <v>0</v>
      </c>
      <c r="I83" s="17" t="n">
        <f aca="false">-I81+H83</f>
        <v>0</v>
      </c>
      <c r="J83" s="17" t="n">
        <f aca="false">-J81+I83</f>
        <v>0</v>
      </c>
      <c r="K83" s="17" t="n">
        <f aca="false">-K81+J83</f>
        <v>33.3630318668446</v>
      </c>
      <c r="L83" s="17" t="n">
        <f aca="false">-L81+K83</f>
        <v>160.06378210694</v>
      </c>
      <c r="M83" s="17" t="n">
        <f aca="false">-M81+L83</f>
        <v>430.988880891724</v>
      </c>
      <c r="N83" s="17" t="n">
        <f aca="false">-N81+M83</f>
        <v>789.891095014852</v>
      </c>
      <c r="O83" s="17" t="n">
        <f aca="false">-O81+N83</f>
        <v>973.661406818862</v>
      </c>
      <c r="P83" s="17" t="n">
        <f aca="false">-P81+O83</f>
        <v>1640.66685166941</v>
      </c>
      <c r="Q83" s="17" t="n">
        <f aca="false">-Q81+P83</f>
        <v>2439.37382094387</v>
      </c>
      <c r="R83" s="17" t="n">
        <f aca="false">-R81+Q83</f>
        <v>3221.59417519722</v>
      </c>
      <c r="S83" s="17" t="n">
        <f aca="false">-S81+R83</f>
        <v>3974.31136957763</v>
      </c>
      <c r="T83" s="17" t="n">
        <f aca="false">-T81+S83</f>
        <v>4865.21782663061</v>
      </c>
      <c r="U83" s="17" t="n">
        <f aca="false">-U81+T83</f>
        <v>4865.21782663061</v>
      </c>
      <c r="V83" s="17" t="n">
        <f aca="false">-V81+U83</f>
        <v>5775.56653701457</v>
      </c>
      <c r="W83" s="17" t="n">
        <f aca="false">-W81+V83</f>
        <v>6796.19391369201</v>
      </c>
      <c r="X83" s="17" t="n">
        <f aca="false">-X81+W83</f>
        <v>7676.08746360393</v>
      </c>
      <c r="Y83" s="17" t="n">
        <f aca="false">-Y81+X83</f>
        <v>8607.80158132866</v>
      </c>
      <c r="Z83" s="17" t="n">
        <f aca="false">-Z81+Y83</f>
        <v>9765.31757520838</v>
      </c>
      <c r="AA83" s="17" t="n">
        <f aca="false">-AA81+Z83</f>
        <v>10833.9102758091</v>
      </c>
      <c r="AB83" s="17" t="n">
        <f aca="false">-AB81+AA83</f>
        <v>11695.756056934</v>
      </c>
      <c r="AC83" s="17" t="n">
        <f aca="false">-AC81+AB83</f>
        <v>13697.4891455189</v>
      </c>
      <c r="AD83" s="17" t="n">
        <f aca="false">-AD81+AC83</f>
        <v>15707.566420866</v>
      </c>
      <c r="AE83" s="17" t="n">
        <f aca="false">-AE81+AD83</f>
        <v>17519.4703862835</v>
      </c>
      <c r="AF83" s="17" t="n">
        <f aca="false">-AF81+AE83</f>
        <v>19457.3216387413</v>
      </c>
      <c r="AG83" s="17" t="n">
        <f aca="false">-AG81+AF83</f>
        <v>20154.215751348</v>
      </c>
      <c r="AH83" s="17" t="n">
        <f aca="false">-AH81+AG83</f>
        <v>22090.9637246317</v>
      </c>
      <c r="AI83" s="17" t="n">
        <f aca="false">-AI81+AH83</f>
        <v>24154.6784570987</v>
      </c>
      <c r="AJ83" s="17" t="n">
        <f aca="false">-AJ81+AI83</f>
        <v>25210.3139354214</v>
      </c>
      <c r="AK83" s="17" t="n">
        <f aca="false">-AK81+AJ83</f>
        <v>27168.0586315802</v>
      </c>
      <c r="AL83" s="17" t="n">
        <f aca="false">-AL81+AK83</f>
        <v>29373.6010364328</v>
      </c>
      <c r="AM83" s="45" t="n">
        <f aca="false">N83</f>
        <v>789.891095014852</v>
      </c>
      <c r="AN83" s="45" t="n">
        <f aca="false">Z83</f>
        <v>9765.31757520838</v>
      </c>
      <c r="AO83" s="45" t="n">
        <f aca="false">AL83</f>
        <v>29373.6010364328</v>
      </c>
      <c r="AP83" s="45" t="n">
        <f aca="false">AL83</f>
        <v>29373.6010364328</v>
      </c>
    </row>
    <row r="84" customFormat="false" ht="15" hidden="false" customHeight="false" outlineLevel="0" collapsed="false">
      <c r="A84" s="7" t="s">
        <v>830</v>
      </c>
      <c r="C84" s="17" t="n">
        <f aca="false">C82+C83</f>
        <v>-5411.77043791322</v>
      </c>
      <c r="D84" s="17" t="n">
        <f aca="false">D82+D83</f>
        <v>-7625.18582549562</v>
      </c>
      <c r="E84" s="17" t="n">
        <f aca="false">E82+E83</f>
        <v>-10291.8285878317</v>
      </c>
      <c r="F84" s="17" t="n">
        <f aca="false">F82+F83</f>
        <v>-11854.068987641</v>
      </c>
      <c r="G84" s="17" t="n">
        <f aca="false">G82+G83</f>
        <v>-13380.2723081091</v>
      </c>
      <c r="H84" s="17" t="n">
        <f aca="false">H82+H83</f>
        <v>-17571.9740442323</v>
      </c>
      <c r="I84" s="17" t="n">
        <f aca="false">I82+I83</f>
        <v>-23962.0117721534</v>
      </c>
      <c r="J84" s="17" t="n">
        <f aca="false">J82+J83</f>
        <v>-29089.029799028</v>
      </c>
      <c r="K84" s="17" t="n">
        <f aca="false">K82+K83</f>
        <v>-28955.5776715606</v>
      </c>
      <c r="L84" s="17" t="n">
        <f aca="false">L82+L83</f>
        <v>-28448.7746706002</v>
      </c>
      <c r="M84" s="17" t="n">
        <f aca="false">M82+M83</f>
        <v>-27365.0742754611</v>
      </c>
      <c r="N84" s="17" t="n">
        <f aca="false">N82+N83</f>
        <v>-25929.4654189686</v>
      </c>
      <c r="O84" s="17" t="n">
        <f aca="false">O82+O83</f>
        <v>-25194.3841717525</v>
      </c>
      <c r="P84" s="17" t="n">
        <f aca="false">P82+P83</f>
        <v>-22526.3623923503</v>
      </c>
      <c r="Q84" s="17" t="n">
        <f aca="false">Q82+Q83</f>
        <v>-19331.5345152525</v>
      </c>
      <c r="R84" s="17" t="n">
        <f aca="false">R82+R83</f>
        <v>-16202.6530982391</v>
      </c>
      <c r="S84" s="17" t="n">
        <f aca="false">S82+S83</f>
        <v>-13191.7843207175</v>
      </c>
      <c r="T84" s="17" t="n">
        <f aca="false">T82+T83</f>
        <v>-9628.15849250555</v>
      </c>
      <c r="U84" s="17" t="n">
        <f aca="false">U82+U83</f>
        <v>-12537.1699214617</v>
      </c>
      <c r="V84" s="17" t="n">
        <f aca="false">V82+V83</f>
        <v>-8895.77507992583</v>
      </c>
      <c r="W84" s="17" t="n">
        <f aca="false">W82+W83</f>
        <v>-4813.26557321609</v>
      </c>
      <c r="X84" s="17" t="n">
        <f aca="false">X82+X83</f>
        <v>-1293.69137356838</v>
      </c>
      <c r="Y84" s="17" t="n">
        <f aca="false">Y82+Y83</f>
        <v>2433.1650973305</v>
      </c>
      <c r="Z84" s="17" t="n">
        <f aca="false">Z82+Z83</f>
        <v>7063.22907284939</v>
      </c>
      <c r="AA84" s="17" t="n">
        <f aca="false">AA82+AA83</f>
        <v>11337.5998752524</v>
      </c>
      <c r="AB84" s="17" t="n">
        <f aca="false">AB82+AB83</f>
        <v>14784.9829997518</v>
      </c>
      <c r="AC84" s="17" t="n">
        <f aca="false">AC82+AC83</f>
        <v>22791.9153540916</v>
      </c>
      <c r="AD84" s="17" t="n">
        <f aca="false">AD82+AD83</f>
        <v>30832.2244554799</v>
      </c>
      <c r="AE84" s="17" t="n">
        <f aca="false">AE82+AE83</f>
        <v>38079.8403171497</v>
      </c>
      <c r="AF84" s="17" t="n">
        <f aca="false">AF82+AF83</f>
        <v>45831.2453269813</v>
      </c>
      <c r="AG84" s="17" t="n">
        <f aca="false">AG82+AG83</f>
        <v>48618.821777408</v>
      </c>
      <c r="AH84" s="17" t="n">
        <f aca="false">AH82+AH83</f>
        <v>56365.8136705427</v>
      </c>
      <c r="AI84" s="17" t="n">
        <f aca="false">AI82+AI83</f>
        <v>64620.6726004107</v>
      </c>
      <c r="AJ84" s="17" t="n">
        <f aca="false">AJ82+AJ83</f>
        <v>68843.2145137016</v>
      </c>
      <c r="AK84" s="17" t="n">
        <f aca="false">AK82+AK83</f>
        <v>76674.1932983368</v>
      </c>
      <c r="AL84" s="17" t="n">
        <f aca="false">AL82+AL83</f>
        <v>85496.3629177473</v>
      </c>
      <c r="AM84" s="45" t="n">
        <f aca="false">N84</f>
        <v>-25929.4654189686</v>
      </c>
      <c r="AN84" s="45" t="n">
        <f aca="false">Z84</f>
        <v>7063.22907284939</v>
      </c>
      <c r="AO84" s="45" t="n">
        <f aca="false">AL84</f>
        <v>85496.3629177473</v>
      </c>
      <c r="AP84" s="45" t="n">
        <f aca="false">AL84</f>
        <v>85496.3629177473</v>
      </c>
    </row>
    <row r="85" customFormat="false" ht="15" hidden="false" customHeight="false" outlineLevel="0" collapsed="false">
      <c r="A85" s="7" t="s">
        <v>831</v>
      </c>
      <c r="C85" s="8" t="n">
        <f aca="false">Assumptions!$C$18*('36-Month Forecast'!C373+'36-Month Forecast'!C374+'36-Month Forecast'!C372)</f>
        <v>3711.9555</v>
      </c>
      <c r="D85" s="8" t="n">
        <f aca="false">Assumptions!$C$18*('36-Month Forecast'!D373+'36-Month Forecast'!D374+'36-Month Forecast'!D372)</f>
        <v>3107.1555</v>
      </c>
      <c r="E85" s="8" t="n">
        <f aca="false">Assumptions!$C$18*('36-Month Forecast'!E373+'36-Month Forecast'!E374+'36-Month Forecast'!E372)</f>
        <v>3343.1055</v>
      </c>
      <c r="F85" s="8" t="n">
        <f aca="false">Assumptions!$C$18*('36-Month Forecast'!F373+'36-Month Forecast'!F374+'36-Month Forecast'!F372)</f>
        <v>4580.6055</v>
      </c>
      <c r="G85" s="8" t="n">
        <f aca="false">Assumptions!$C$18*('36-Month Forecast'!G373+'36-Month Forecast'!G374+'36-Month Forecast'!G372)</f>
        <v>3732.5055</v>
      </c>
      <c r="H85" s="8" t="n">
        <f aca="false">Assumptions!$C$18*('36-Month Forecast'!H373+'36-Month Forecast'!H374+'36-Month Forecast'!H372)</f>
        <v>3343.1055</v>
      </c>
      <c r="I85" s="8" t="n">
        <f aca="false">Assumptions!$C$18*('36-Month Forecast'!I373+'36-Month Forecast'!I374+'36-Month Forecast'!I372)</f>
        <v>7633.1055</v>
      </c>
      <c r="J85" s="8" t="n">
        <f aca="false">Assumptions!$C$18*('36-Month Forecast'!J373+'36-Month Forecast'!J374+'36-Month Forecast'!J372)</f>
        <v>3763.0755</v>
      </c>
      <c r="K85" s="8" t="n">
        <f aca="false">Assumptions!$C$18*('36-Month Forecast'!K373+'36-Month Forecast'!K374+'36-Month Forecast'!K372)</f>
        <v>3763.0755</v>
      </c>
      <c r="L85" s="8" t="n">
        <f aca="false">Assumptions!$C$18*('36-Month Forecast'!L373+'36-Month Forecast'!L374+'36-Month Forecast'!L372)</f>
        <v>3763.0755</v>
      </c>
      <c r="M85" s="8" t="n">
        <f aca="false">Assumptions!$C$18*('36-Month Forecast'!M373+'36-Month Forecast'!M374+'36-Month Forecast'!M372)</f>
        <v>3763.0755</v>
      </c>
      <c r="N85" s="8" t="n">
        <f aca="false">Assumptions!$C$18*('36-Month Forecast'!N373+'36-Month Forecast'!N374+'36-Month Forecast'!N372)</f>
        <v>3763.0755</v>
      </c>
      <c r="O85" s="8" t="n">
        <f aca="false">Assumptions!$C$18*('36-Month Forecast'!O373+'36-Month Forecast'!O374+'36-Month Forecast'!O372)</f>
        <v>7222.2255</v>
      </c>
      <c r="P85" s="8" t="n">
        <f aca="false">Assumptions!$C$18*('36-Month Forecast'!P373+'36-Month Forecast'!P374+'36-Month Forecast'!P372)</f>
        <v>4727.4255</v>
      </c>
      <c r="Q85" s="8" t="n">
        <f aca="false">Assumptions!$C$18*('36-Month Forecast'!Q373+'36-Month Forecast'!Q374+'36-Month Forecast'!Q372)</f>
        <v>4727.4255</v>
      </c>
      <c r="R85" s="8" t="n">
        <f aca="false">Assumptions!$C$18*('36-Month Forecast'!R373+'36-Month Forecast'!R374+'36-Month Forecast'!R372)</f>
        <v>5964.9255</v>
      </c>
      <c r="S85" s="8" t="n">
        <f aca="false">Assumptions!$C$18*('36-Month Forecast'!S373+'36-Month Forecast'!S374+'36-Month Forecast'!S372)</f>
        <v>5116.8255</v>
      </c>
      <c r="T85" s="8" t="n">
        <f aca="false">Assumptions!$C$18*('36-Month Forecast'!T373+'36-Month Forecast'!T374+'36-Month Forecast'!T372)</f>
        <v>4727.4255</v>
      </c>
      <c r="U85" s="8" t="n">
        <f aca="false">Assumptions!$C$18*('36-Month Forecast'!U373+'36-Month Forecast'!U374+'36-Month Forecast'!U372)</f>
        <v>9017.4255</v>
      </c>
      <c r="V85" s="8" t="n">
        <f aca="false">Assumptions!$C$18*('36-Month Forecast'!V373+'36-Month Forecast'!V374+'36-Month Forecast'!V372)</f>
        <v>4727.4255</v>
      </c>
      <c r="W85" s="8" t="n">
        <f aca="false">Assumptions!$C$18*('36-Month Forecast'!W373+'36-Month Forecast'!W374+'36-Month Forecast'!W372)</f>
        <v>4727.4255</v>
      </c>
      <c r="X85" s="8" t="n">
        <f aca="false">Assumptions!$C$18*('36-Month Forecast'!X373+'36-Month Forecast'!X374+'36-Month Forecast'!X372)</f>
        <v>5802.9255</v>
      </c>
      <c r="Y85" s="8" t="n">
        <f aca="false">Assumptions!$C$18*('36-Month Forecast'!Y373+'36-Month Forecast'!Y374+'36-Month Forecast'!Y372)</f>
        <v>5802.9255</v>
      </c>
      <c r="Z85" s="8" t="n">
        <f aca="false">Assumptions!$C$18*('36-Month Forecast'!Z373+'36-Month Forecast'!Z374+'36-Month Forecast'!Z372)</f>
        <v>5802.9255</v>
      </c>
      <c r="AA85" s="8" t="n">
        <f aca="false">Assumptions!$C$18*('36-Month Forecast'!AA373+'36-Month Forecast'!AA374+'36-Month Forecast'!AA372)</f>
        <v>9197.7255</v>
      </c>
      <c r="AB85" s="8" t="n">
        <f aca="false">Assumptions!$C$18*('36-Month Forecast'!AB373+'36-Month Forecast'!AB374+'36-Month Forecast'!AB372)</f>
        <v>6702.9255</v>
      </c>
      <c r="AC85" s="8" t="n">
        <f aca="false">Assumptions!$C$18*('36-Month Forecast'!AC373+'36-Month Forecast'!AC374+'36-Month Forecast'!AC372)</f>
        <v>6702.9255</v>
      </c>
      <c r="AD85" s="8" t="n">
        <f aca="false">Assumptions!$C$18*('36-Month Forecast'!AD373+'36-Month Forecast'!AD374+'36-Month Forecast'!AD372)</f>
        <v>7940.4255</v>
      </c>
      <c r="AE85" s="8" t="n">
        <f aca="false">Assumptions!$C$18*('36-Month Forecast'!AE373+'36-Month Forecast'!AE374+'36-Month Forecast'!AE372)</f>
        <v>7092.3255</v>
      </c>
      <c r="AF85" s="8" t="n">
        <f aca="false">Assumptions!$C$18*('36-Month Forecast'!AF373+'36-Month Forecast'!AF374+'36-Month Forecast'!AF372)</f>
        <v>6702.9255</v>
      </c>
      <c r="AG85" s="8" t="n">
        <f aca="false">Assumptions!$C$18*('36-Month Forecast'!AG373+'36-Month Forecast'!AG374+'36-Month Forecast'!AG372)</f>
        <v>10992.9255</v>
      </c>
      <c r="AH85" s="8" t="n">
        <f aca="false">Assumptions!$C$18*('36-Month Forecast'!AH373+'36-Month Forecast'!AH374+'36-Month Forecast'!AH372)</f>
        <v>6702.9255</v>
      </c>
      <c r="AI85" s="8" t="n">
        <f aca="false">Assumptions!$C$18*('36-Month Forecast'!AI373+'36-Month Forecast'!AI374+'36-Month Forecast'!AI372)</f>
        <v>6702.9255</v>
      </c>
      <c r="AJ85" s="8" t="n">
        <f aca="false">Assumptions!$C$18*('36-Month Forecast'!AJ373+'36-Month Forecast'!AJ374+'36-Month Forecast'!AJ372)</f>
        <v>6702.9255</v>
      </c>
      <c r="AK85" s="8" t="n">
        <f aca="false">Assumptions!$C$18*('36-Month Forecast'!AK373+'36-Month Forecast'!AK374+'36-Month Forecast'!AK372)</f>
        <v>6702.9255</v>
      </c>
      <c r="AL85" s="8" t="n">
        <f aca="false">Assumptions!$C$18*('36-Month Forecast'!AL373+'36-Month Forecast'!AL374+'36-Month Forecast'!AL372)</f>
        <v>6702.9255</v>
      </c>
      <c r="AM85" s="45" t="n">
        <f aca="false">N85</f>
        <v>3763.0755</v>
      </c>
      <c r="AN85" s="45" t="n">
        <f aca="false">Z85</f>
        <v>5802.9255</v>
      </c>
      <c r="AO85" s="45" t="n">
        <f aca="false">AL85</f>
        <v>6702.9255</v>
      </c>
      <c r="AP85" s="45" t="n">
        <f aca="false">AL85</f>
        <v>6702.9255</v>
      </c>
    </row>
    <row r="86" customFormat="false" ht="15" hidden="false" customHeight="false" outlineLevel="0" collapsed="false">
      <c r="A86" s="7" t="s">
        <v>832</v>
      </c>
      <c r="C86" s="17" t="n">
        <f aca="false">C82-C85</f>
        <v>-9123.72593791322</v>
      </c>
      <c r="D86" s="17" t="n">
        <f aca="false">D82-D85</f>
        <v>-10732.3413254956</v>
      </c>
      <c r="E86" s="17" t="n">
        <f aca="false">E82-E85</f>
        <v>-13634.9340878317</v>
      </c>
      <c r="F86" s="17" t="n">
        <f aca="false">F82-F85</f>
        <v>-16434.674487641</v>
      </c>
      <c r="G86" s="17" t="n">
        <f aca="false">G82-G85</f>
        <v>-17112.7778081091</v>
      </c>
      <c r="H86" s="17" t="n">
        <f aca="false">H82-H85</f>
        <v>-20915.0795442323</v>
      </c>
      <c r="I86" s="17" t="n">
        <f aca="false">I82-I85</f>
        <v>-31595.1172721534</v>
      </c>
      <c r="J86" s="17" t="n">
        <f aca="false">J82-J85</f>
        <v>-32852.105299028</v>
      </c>
      <c r="K86" s="17" t="n">
        <f aca="false">K82-K85</f>
        <v>-32752.0162034274</v>
      </c>
      <c r="L86" s="17" t="n">
        <f aca="false">L82-L85</f>
        <v>-32371.9139527072</v>
      </c>
      <c r="M86" s="17" t="n">
        <f aca="false">M82-M85</f>
        <v>-31559.1386563528</v>
      </c>
      <c r="N86" s="17" t="n">
        <f aca="false">N82-N85</f>
        <v>-30482.4320139834</v>
      </c>
      <c r="O86" s="17" t="n">
        <f aca="false">O82-O85</f>
        <v>-33390.2710785714</v>
      </c>
      <c r="P86" s="17" t="n">
        <f aca="false">P82-P85</f>
        <v>-28894.4547440197</v>
      </c>
      <c r="Q86" s="17" t="n">
        <f aca="false">Q82-Q85</f>
        <v>-26498.3338361964</v>
      </c>
      <c r="R86" s="17" t="n">
        <f aca="false">R82-R85</f>
        <v>-25389.1727734363</v>
      </c>
      <c r="S86" s="17" t="n">
        <f aca="false">S82-S85</f>
        <v>-22282.9211902951</v>
      </c>
      <c r="T86" s="17" t="n">
        <f aca="false">T82-T85</f>
        <v>-19220.8018191362</v>
      </c>
      <c r="U86" s="17" t="n">
        <f aca="false">U82-U85</f>
        <v>-26419.8132480923</v>
      </c>
      <c r="V86" s="17" t="n">
        <f aca="false">V82-V85</f>
        <v>-19398.7671169404</v>
      </c>
      <c r="W86" s="17" t="n">
        <f aca="false">W82-W85</f>
        <v>-16336.8849869081</v>
      </c>
      <c r="X86" s="17" t="n">
        <f aca="false">X82-X85</f>
        <v>-14772.7043371723</v>
      </c>
      <c r="Y86" s="17" t="n">
        <f aca="false">Y82-Y85</f>
        <v>-11977.5619839982</v>
      </c>
      <c r="Z86" s="17" t="n">
        <f aca="false">Z82-Z85</f>
        <v>-8505.01400235899</v>
      </c>
      <c r="AA86" s="17" t="n">
        <f aca="false">AA82-AA85</f>
        <v>-8694.03590055672</v>
      </c>
      <c r="AB86" s="17" t="n">
        <f aca="false">AB82-AB85</f>
        <v>-3613.69855718219</v>
      </c>
      <c r="AC86" s="17" t="n">
        <f aca="false">AC82-AC85</f>
        <v>2391.50070857264</v>
      </c>
      <c r="AD86" s="17" t="n">
        <f aca="false">AD82-AD85</f>
        <v>7184.23253461392</v>
      </c>
      <c r="AE86" s="17" t="n">
        <f aca="false">AE82-AE85</f>
        <v>13468.0444308663</v>
      </c>
      <c r="AF86" s="17" t="n">
        <f aca="false">AF82-AF85</f>
        <v>19670.9981882399</v>
      </c>
      <c r="AG86" s="17" t="n">
        <f aca="false">AG82-AG85</f>
        <v>17471.68052606</v>
      </c>
      <c r="AH86" s="17" t="n">
        <f aca="false">AH82-AH85</f>
        <v>27571.924445911</v>
      </c>
      <c r="AI86" s="17" t="n">
        <f aca="false">AI82-AI85</f>
        <v>33763.068643312</v>
      </c>
      <c r="AJ86" s="17" t="n">
        <f aca="false">AJ82-AJ85</f>
        <v>36929.9750782802</v>
      </c>
      <c r="AK86" s="17" t="n">
        <f aca="false">AK82-AK85</f>
        <v>42803.2091667565</v>
      </c>
      <c r="AL86" s="17" t="n">
        <f aca="false">AL82-AL85</f>
        <v>49419.8363813144</v>
      </c>
      <c r="AM86" s="45" t="n">
        <f aca="false">N86</f>
        <v>-30482.4320139834</v>
      </c>
      <c r="AN86" s="45" t="n">
        <f aca="false">Z86</f>
        <v>-8505.01400235899</v>
      </c>
      <c r="AO86" s="45" t="n">
        <f aca="false">AL86</f>
        <v>49419.8363813144</v>
      </c>
      <c r="AP86" s="45" t="n">
        <f aca="false">AL86</f>
        <v>49419.8363813144</v>
      </c>
    </row>
    <row r="87" customFormat="false" ht="15" hidden="false" customHeight="false" outlineLevel="0" collapsed="false">
      <c r="A87" s="7" t="s">
        <v>833</v>
      </c>
      <c r="C87" s="42" t="str">
        <f aca="false">IF(COUNTIF(C82:$AL82,"&lt;0")=0,C$4,"")</f>
        <v/>
      </c>
      <c r="D87" s="42" t="str">
        <f aca="false">IF(COUNTIF(D82:$AL82,"&lt;0")=0,D$4,"")</f>
        <v/>
      </c>
      <c r="E87" s="42" t="str">
        <f aca="false">IF(COUNTIF(E82:$AL82,"&lt;0")=0,E$4,"")</f>
        <v/>
      </c>
      <c r="F87" s="42" t="str">
        <f aca="false">IF(COUNTIF(F82:$AL82,"&lt;0")=0,F$4,"")</f>
        <v/>
      </c>
      <c r="G87" s="42" t="str">
        <f aca="false">IF(COUNTIF(G82:$AL82,"&lt;0")=0,G$4,"")</f>
        <v/>
      </c>
      <c r="H87" s="42" t="str">
        <f aca="false">IF(COUNTIF(H82:$AL82,"&lt;0")=0,H$4,"")</f>
        <v/>
      </c>
      <c r="I87" s="42" t="str">
        <f aca="false">IF(COUNTIF(I82:$AL82,"&lt;0")=0,I$4,"")</f>
        <v/>
      </c>
      <c r="J87" s="42" t="str">
        <f aca="false">IF(COUNTIF(J82:$AL82,"&lt;0")=0,J$4,"")</f>
        <v/>
      </c>
      <c r="K87" s="42" t="str">
        <f aca="false">IF(COUNTIF(K82:$AL82,"&lt;0")=0,K$4,"")</f>
        <v/>
      </c>
      <c r="L87" s="42" t="str">
        <f aca="false">IF(COUNTIF(L82:$AL82,"&lt;0")=0,L$4,"")</f>
        <v/>
      </c>
      <c r="M87" s="42" t="str">
        <f aca="false">IF(COUNTIF(M82:$AL82,"&lt;0")=0,M$4,"")</f>
        <v/>
      </c>
      <c r="N87" s="42" t="str">
        <f aca="false">IF(COUNTIF(N82:$AL82,"&lt;0")=0,N$4,"")</f>
        <v/>
      </c>
      <c r="O87" s="42" t="str">
        <f aca="false">IF(COUNTIF(O82:$AL82,"&lt;0")=0,O$4,"")</f>
        <v/>
      </c>
      <c r="P87" s="42" t="str">
        <f aca="false">IF(COUNTIF(P82:$AL82,"&lt;0")=0,P$4,"")</f>
        <v/>
      </c>
      <c r="Q87" s="42" t="str">
        <f aca="false">IF(COUNTIF(Q82:$AL82,"&lt;0")=0,Q$4,"")</f>
        <v/>
      </c>
      <c r="R87" s="42" t="str">
        <f aca="false">IF(COUNTIF(R82:$AL82,"&lt;0")=0,R$4,"")</f>
        <v/>
      </c>
      <c r="S87" s="42" t="str">
        <f aca="false">IF(COUNTIF(S82:$AL82,"&lt;0")=0,S$4,"")</f>
        <v/>
      </c>
      <c r="T87" s="42" t="str">
        <f aca="false">IF(COUNTIF(T82:$AL82,"&lt;0")=0,T$4,"")</f>
        <v/>
      </c>
      <c r="U87" s="42" t="str">
        <f aca="false">IF(COUNTIF(U82:$AL82,"&lt;0")=0,U$4,"")</f>
        <v/>
      </c>
      <c r="V87" s="42" t="str">
        <f aca="false">IF(COUNTIF(V82:$AL82,"&lt;0")=0,V$4,"")</f>
        <v/>
      </c>
      <c r="W87" s="42" t="str">
        <f aca="false">IF(COUNTIF(W82:$AL82,"&lt;0")=0,W$4,"")</f>
        <v/>
      </c>
      <c r="X87" s="42" t="str">
        <f aca="false">IF(COUNTIF(X82:$AL82,"&lt;0")=0,X$4,"")</f>
        <v/>
      </c>
      <c r="Y87" s="42" t="str">
        <f aca="false">IF(COUNTIF(Y82:$AL82,"&lt;0")=0,Y$4,"")</f>
        <v/>
      </c>
      <c r="Z87" s="42" t="str">
        <f aca="false">IF(COUNTIF(Z82:$AL82,"&lt;0")=0,Z$4,"")</f>
        <v/>
      </c>
      <c r="AA87" s="42" t="n">
        <f aca="false">IF(COUNTIF(AA82:$AL82,"&lt;0")=0,AA$4,"")</f>
        <v>25</v>
      </c>
      <c r="AB87" s="42" t="n">
        <f aca="false">IF(COUNTIF(AB82:$AL82,"&lt;0")=0,AB$4,"")</f>
        <v>26</v>
      </c>
      <c r="AC87" s="42" t="n">
        <f aca="false">IF(COUNTIF(AC82:$AL82,"&lt;0")=0,AC$4,"")</f>
        <v>27</v>
      </c>
      <c r="AD87" s="42" t="n">
        <f aca="false">IF(COUNTIF(AD82:$AL82,"&lt;0")=0,AD$4,"")</f>
        <v>28</v>
      </c>
      <c r="AE87" s="42" t="n">
        <f aca="false">IF(COUNTIF(AE82:$AL82,"&lt;0")=0,AE$4,"")</f>
        <v>29</v>
      </c>
      <c r="AF87" s="42" t="n">
        <f aca="false">IF(COUNTIF(AF82:$AL82,"&lt;0")=0,AF$4,"")</f>
        <v>30</v>
      </c>
      <c r="AG87" s="42" t="n">
        <f aca="false">IF(COUNTIF(AG82:$AL82,"&lt;0")=0,AG$4,"")</f>
        <v>31</v>
      </c>
      <c r="AH87" s="42" t="n">
        <f aca="false">IF(COUNTIF(AH82:$AL82,"&lt;0")=0,AH$4,"")</f>
        <v>32</v>
      </c>
      <c r="AI87" s="42" t="n">
        <f aca="false">IF(COUNTIF(AI82:$AL82,"&lt;0")=0,AI$4,"")</f>
        <v>33</v>
      </c>
      <c r="AJ87" s="42" t="n">
        <f aca="false">IF(COUNTIF(AJ82:$AL82,"&lt;0")=0,AJ$4,"")</f>
        <v>34</v>
      </c>
      <c r="AK87" s="42" t="n">
        <f aca="false">IF(COUNTIF(AK82:$AL82,"&lt;0")=0,AK$4,"")</f>
        <v>35</v>
      </c>
      <c r="AL87" s="42" t="n">
        <f aca="false">IF(COUNTIF(AL82:$AL82,"&lt;0")=0,AL$4,"")</f>
        <v>36</v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8" t="s">
        <v>834</v>
      </c>
    </row>
    <row r="2" customFormat="false" ht="27.75" hidden="false" customHeight="true" outlineLevel="0" collapsed="false">
      <c r="A2" s="2" t="s">
        <v>835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836</v>
      </c>
    </row>
    <row r="6" customFormat="false" ht="15" hidden="false" customHeight="false" outlineLevel="0" collapsed="false">
      <c r="A6" s="5" t="s">
        <v>837</v>
      </c>
      <c r="B6" s="6"/>
      <c r="C6" s="6"/>
      <c r="D6" s="6"/>
      <c r="E6" s="6"/>
    </row>
    <row r="7" customFormat="false" ht="15" hidden="false" customHeight="false" outlineLevel="0" collapsed="false">
      <c r="A7" s="7" t="s">
        <v>838</v>
      </c>
      <c r="B7" s="38" t="str">
        <f aca="false">IF(COUNT('36-Month Forecast'!$C$134:$AL$134)=0,"Not reached",MIN('36-Month Forecast'!$C$134:$AL$134))</f>
        <v>Not reached</v>
      </c>
      <c r="C7" s="38" t="n">
        <f aca="false">IF(COUNT('36-Month Forecast'!$C$261:$AL$261)=0,"Not reached",MIN('36-Month Forecast'!$C$261:$AL$261))</f>
        <v>12</v>
      </c>
      <c r="D7" s="38" t="n">
        <f aca="false">IF(COUNT('36-Month Forecast'!$C$388:$AL$388)=0,"Not reached",MIN('36-Month Forecast'!$C$388:$AL$388))</f>
        <v>6</v>
      </c>
      <c r="E7" s="9"/>
    </row>
    <row r="8" customFormat="false" ht="15" hidden="false" customHeight="false" outlineLevel="0" collapsed="false">
      <c r="A8" s="7" t="s">
        <v>839</v>
      </c>
      <c r="B8" s="12" t="str">
        <f aca="false">IF(ISNUMBER(B7),DATE(YEAR(Assumptions!$C$8),MONTH(Assumptions!$C$8)+B7-1,1),"Not within 36 months")</f>
        <v>Not within 36 months</v>
      </c>
      <c r="C8" s="12" t="n">
        <f aca="false">IF(ISNUMBER(C7),DATE(YEAR(Assumptions!$C$8),MONTH(Assumptions!$C$8)+C7-1,1),"Not within 36 months")</f>
        <v>46631</v>
      </c>
      <c r="D8" s="12" t="n">
        <f aca="false">IF(ISNUMBER(D7),DATE(YEAR(Assumptions!$C$8),MONTH(Assumptions!$C$8)+D7-1,1),"Not within 36 months")</f>
        <v>46447</v>
      </c>
      <c r="E8" s="9"/>
    </row>
    <row r="9" customFormat="false" ht="15" hidden="false" customHeight="false" outlineLevel="0" collapsed="false">
      <c r="A9" s="7" t="s">
        <v>840</v>
      </c>
      <c r="B9" s="38" t="str">
        <f aca="false">IF(COUNT('36-Month Forecast'!$C$135:$AL$135)=0,"Not reached",MIN('36-Month Forecast'!$C$135:$AL$135))</f>
        <v>Not reached</v>
      </c>
      <c r="C9" s="38" t="n">
        <f aca="false">IF(COUNT('36-Month Forecast'!$C$262:$AL$262)=0,"Not reached",MIN('36-Month Forecast'!$C$262:$AL$262))</f>
        <v>20</v>
      </c>
      <c r="D9" s="38" t="n">
        <f aca="false">IF(COUNT('36-Month Forecast'!$C$389:$AL$389)=0,"Not reached",MIN('36-Month Forecast'!$C$389:$AL$389))</f>
        <v>8</v>
      </c>
      <c r="E9" s="9" t="s">
        <v>841</v>
      </c>
    </row>
    <row r="10" customFormat="false" ht="15" hidden="false" customHeight="false" outlineLevel="0" collapsed="false">
      <c r="A10" s="7" t="s">
        <v>839</v>
      </c>
      <c r="B10" s="12" t="str">
        <f aca="false">IF(ISNUMBER(B9),DATE(YEAR(Assumptions!$C$8),MONTH(Assumptions!$C$8)+B9-1,1),"Not within 36 months")</f>
        <v>Not within 36 months</v>
      </c>
      <c r="C10" s="12" t="n">
        <f aca="false">IF(ISNUMBER(C9),DATE(YEAR(Assumptions!$C$8),MONTH(Assumptions!$C$8)+C9-1,1),"Not within 36 months")</f>
        <v>46874</v>
      </c>
      <c r="D10" s="12" t="n">
        <f aca="false">IF(ISNUMBER(D9),DATE(YEAR(Assumptions!$C$8),MONTH(Assumptions!$C$8)+D9-1,1),"Not within 36 months")</f>
        <v>46508</v>
      </c>
      <c r="E10" s="9"/>
    </row>
    <row r="11" customFormat="false" ht="15" hidden="false" customHeight="false" outlineLevel="0" collapsed="false">
      <c r="A11" s="7" t="s">
        <v>842</v>
      </c>
      <c r="B11" s="38" t="str">
        <f aca="false">IF(COUNT('Cash Flow'!$C$33:$AL$33)=0,"Not reached",MIN('Cash Flow'!$C$33:$AL$33))</f>
        <v>Not reached</v>
      </c>
      <c r="C11" s="38" t="str">
        <f aca="false">IF(COUNT('Cash Flow'!$C$60:$AL$60)=0,"Not reached",MIN('Cash Flow'!$C$60:$AL$60))</f>
        <v>Not reached</v>
      </c>
      <c r="D11" s="38" t="n">
        <f aca="false">IF(COUNT('Cash Flow'!$C$87:$AL$87)=0,"Not reached",MIN('Cash Flow'!$C$87:$AL$87))</f>
        <v>25</v>
      </c>
      <c r="E11" s="9" t="s">
        <v>843</v>
      </c>
    </row>
    <row r="12" customFormat="false" ht="15" hidden="false" customHeight="false" outlineLevel="0" collapsed="false">
      <c r="A12" s="7" t="s">
        <v>839</v>
      </c>
      <c r="B12" s="12" t="str">
        <f aca="false">IF(ISNUMBER(B11),DATE(YEAR(Assumptions!$C$8),MONTH(Assumptions!$C$8)+B11-1,1),"Not within 36 months")</f>
        <v>Not within 36 months</v>
      </c>
      <c r="C12" s="12" t="str">
        <f aca="false">IF(ISNUMBER(C11),DATE(YEAR(Assumptions!$C$8),MONTH(Assumptions!$C$8)+C11-1,1),"Not within 36 months")</f>
        <v>Not within 36 months</v>
      </c>
      <c r="D12" s="12" t="n">
        <f aca="false">IF(ISNUMBER(D11),DATE(YEAR(Assumptions!$C$8),MONTH(Assumptions!$C$8)+D11-1,1),"Not within 36 months")</f>
        <v>47027</v>
      </c>
      <c r="E12" s="9"/>
    </row>
    <row r="13" customFormat="false" ht="15" hidden="false" customHeight="false" outlineLevel="0" collapsed="false">
      <c r="A13" s="7" t="s">
        <v>844</v>
      </c>
      <c r="B13" s="8" t="n">
        <f aca="false">MAX(0,-MIN('Cash Flow'!$C$28:$AL$28))</f>
        <v>61015.6273157922</v>
      </c>
      <c r="C13" s="8" t="n">
        <f aca="false">MAX(0,-MIN('Cash Flow'!$C$55:$AL$55))</f>
        <v>33735.7619214709</v>
      </c>
      <c r="D13" s="8" t="n">
        <f aca="false">MAX(0,-MIN('Cash Flow'!$C$82:$AL$82))</f>
        <v>29089.029799028</v>
      </c>
      <c r="E13" s="9" t="s">
        <v>845</v>
      </c>
    </row>
    <row r="14" customFormat="false" ht="15" hidden="false" customHeight="false" outlineLevel="0" collapsed="false">
      <c r="A14" s="7" t="s">
        <v>846</v>
      </c>
      <c r="B14" s="38" t="n">
        <f aca="false">MATCH(MIN('Cash Flow'!$C$28:$AL$28),'Cash Flow'!$C$28:$AL$28,0)</f>
        <v>36</v>
      </c>
      <c r="C14" s="38" t="n">
        <f aca="false">MATCH(MIN('Cash Flow'!$C$55:$AL$55),'Cash Flow'!$C$55:$AL$55,0)</f>
        <v>22</v>
      </c>
      <c r="D14" s="38" t="n">
        <f aca="false">MATCH(MIN('Cash Flow'!$C$82:$AL$82),'Cash Flow'!$C$82:$AL$82,0)</f>
        <v>8</v>
      </c>
      <c r="E14" s="9"/>
    </row>
    <row r="16" customFormat="false" ht="15" hidden="false" customHeight="false" outlineLevel="0" collapsed="false">
      <c r="A16" s="5" t="s">
        <v>847</v>
      </c>
      <c r="B16" s="6"/>
      <c r="C16" s="6"/>
      <c r="D16" s="6"/>
      <c r="E16" s="6"/>
    </row>
    <row r="17" customFormat="false" ht="15" hidden="false" customHeight="false" outlineLevel="0" collapsed="false">
      <c r="A17" s="7" t="s">
        <v>848</v>
      </c>
      <c r="B17" s="14" t="str">
        <f aca="false">IF(ISNUMBER(B9),INDEX('36-Month Forecast'!$C$113:$AL$113,1,B9),"-")</f>
        <v>-</v>
      </c>
      <c r="C17" s="14" t="n">
        <f aca="false">IF(ISNUMBER(C9),INDEX('36-Month Forecast'!$C$240:$AL$240,1,C9),"-")</f>
        <v>3089.92511536437</v>
      </c>
      <c r="D17" s="14" t="n">
        <f aca="false">IF(ISNUMBER(D9),INDEX('36-Month Forecast'!$C$367:$AL$367,1,D9),"-")</f>
        <v>914.514792022035</v>
      </c>
      <c r="E17" s="9"/>
    </row>
    <row r="18" customFormat="false" ht="15" hidden="false" customHeight="false" outlineLevel="0" collapsed="false">
      <c r="A18" s="7" t="s">
        <v>849</v>
      </c>
      <c r="B18" s="14" t="str">
        <f aca="false">IF(ISNUMBER(B9),INDEX('36-Month Forecast'!$C$114:$AL$114,1,B9),"-")</f>
        <v>-</v>
      </c>
      <c r="C18" s="14" t="n">
        <f aca="false">IF(ISNUMBER(C9),INDEX('36-Month Forecast'!$C$241:$AL$241,1,C9),"-")</f>
        <v>3500.72263444217</v>
      </c>
      <c r="D18" s="14" t="n">
        <f aca="false">IF(ISNUMBER(D9),INDEX('36-Month Forecast'!$C$368:$AL$368,1,D9),"-")</f>
        <v>1109.80947637657</v>
      </c>
      <c r="E18" s="9"/>
    </row>
    <row r="19" customFormat="false" ht="15" hidden="false" customHeight="false" outlineLevel="0" collapsed="false">
      <c r="A19" s="7" t="s">
        <v>850</v>
      </c>
      <c r="B19" s="14" t="str">
        <f aca="false">IF(ISNUMBER(B9),INDEX('36-Month Forecast'!$C$111:$AL$111,1,B9),"-")</f>
        <v>-</v>
      </c>
      <c r="C19" s="14" t="n">
        <f aca="false">IF(ISNUMBER(C9),INDEX('36-Month Forecast'!$C$238:$AL$238,1,C9),"-")</f>
        <v>259.247702157888</v>
      </c>
      <c r="D19" s="14" t="n">
        <f aca="false">IF(ISNUMBER(D9),INDEX('36-Month Forecast'!$C$365:$AL$365,1,D9),"-")</f>
        <v>218.853171468157</v>
      </c>
      <c r="E19" s="9"/>
    </row>
    <row r="21" customFormat="false" ht="15" hidden="false" customHeight="false" outlineLevel="0" collapsed="false">
      <c r="A21" s="5" t="s">
        <v>851</v>
      </c>
      <c r="B21" s="6"/>
      <c r="C21" s="6"/>
      <c r="D21" s="6"/>
      <c r="E21" s="6"/>
    </row>
    <row r="22" customFormat="false" ht="15" hidden="false" customHeight="false" outlineLevel="0" collapsed="false">
      <c r="A22" s="7" t="s">
        <v>852</v>
      </c>
      <c r="B22" s="8" t="n">
        <f aca="false">'36-Month Forecast'!H119+'36-Month Forecast'!H120+'36-Month Forecast'!H118</f>
        <v>814.3685</v>
      </c>
      <c r="C22" s="8" t="n">
        <f aca="false">'36-Month Forecast'!H246+'36-Month Forecast'!H247+'36-Month Forecast'!H245</f>
        <v>964.3685</v>
      </c>
      <c r="D22" s="8" t="n">
        <f aca="false">'36-Month Forecast'!H373+'36-Month Forecast'!H374+'36-Month Forecast'!H372</f>
        <v>1114.3685</v>
      </c>
      <c r="E22" s="9"/>
    </row>
    <row r="23" customFormat="false" ht="15" hidden="false" customHeight="false" outlineLevel="0" collapsed="false">
      <c r="A23" s="7" t="s">
        <v>853</v>
      </c>
      <c r="B23" s="15" t="n">
        <f aca="false">IF('36-Month Forecast'!H111=0,0,'36-Month Forecast'!H116/'36-Month Forecast'!H111)</f>
        <v>6.85621392654028</v>
      </c>
      <c r="C23" s="15" t="n">
        <f aca="false">IF('36-Month Forecast'!H238=0,0,'36-Month Forecast'!H243/'36-Month Forecast'!H238)</f>
        <v>7.47322736255683</v>
      </c>
      <c r="D23" s="15" t="n">
        <f aca="false">IF('36-Month Forecast'!H365=0,0,'36-Month Forecast'!H370/'36-Month Forecast'!H365)</f>
        <v>8.13822198988611</v>
      </c>
      <c r="E23" s="9"/>
    </row>
    <row r="24" customFormat="false" ht="15" hidden="false" customHeight="false" outlineLevel="0" collapsed="false">
      <c r="A24" s="7" t="s">
        <v>854</v>
      </c>
      <c r="B24" s="52" t="n">
        <f aca="false">IF(B23&lt;=0,"-",B22/B23)</f>
        <v>118.778163681211</v>
      </c>
      <c r="C24" s="52" t="n">
        <f aca="false">IF(C23&lt;=0,"-",C22/C23)</f>
        <v>129.043109919522</v>
      </c>
      <c r="D24" s="52" t="n">
        <f aca="false">IF(D23&lt;=0,"-",D22/D23)</f>
        <v>136.930216622857</v>
      </c>
      <c r="E24" s="9"/>
    </row>
    <row r="25" customFormat="false" ht="15" hidden="false" customHeight="false" outlineLevel="0" collapsed="false">
      <c r="A25" s="7" t="s">
        <v>855</v>
      </c>
      <c r="B25" s="14" t="n">
        <f aca="false">'36-Month Forecast'!H111</f>
        <v>21.6586182915854</v>
      </c>
      <c r="C25" s="14" t="n">
        <f aca="false">'36-Month Forecast'!H238</f>
        <v>86.3430683219904</v>
      </c>
      <c r="D25" s="14" t="n">
        <f aca="false">'36-Month Forecast'!H365</f>
        <v>163.049467500598</v>
      </c>
      <c r="E25" s="9"/>
    </row>
    <row r="26" customFormat="false" ht="15" hidden="false" customHeight="false" outlineLevel="0" collapsed="false">
      <c r="A26" s="7" t="s">
        <v>856</v>
      </c>
      <c r="B26" s="8" t="n">
        <f aca="false">'36-Month Forecast'!N119+'36-Month Forecast'!N120+'36-Month Forecast'!N118</f>
        <v>954.3585</v>
      </c>
      <c r="C26" s="8" t="n">
        <f aca="false">'36-Month Forecast'!N246+'36-Month Forecast'!N247+'36-Month Forecast'!N245</f>
        <v>1104.3585</v>
      </c>
      <c r="D26" s="8" t="n">
        <f aca="false">'36-Month Forecast'!N373+'36-Month Forecast'!N374+'36-Month Forecast'!N372</f>
        <v>1254.3585</v>
      </c>
      <c r="E26" s="9"/>
    </row>
    <row r="27" customFormat="false" ht="15" hidden="false" customHeight="false" outlineLevel="0" collapsed="false">
      <c r="A27" s="7" t="s">
        <v>857</v>
      </c>
      <c r="B27" s="15" t="n">
        <f aca="false">IF('36-Month Forecast'!N111=0,0,'36-Month Forecast'!N116/'36-Month Forecast'!N111)</f>
        <v>6.75235876088214</v>
      </c>
      <c r="C27" s="15" t="n">
        <f aca="false">IF('36-Month Forecast'!N238=0,0,'36-Month Forecast'!N243/'36-Month Forecast'!N238)</f>
        <v>7.46547421338278</v>
      </c>
      <c r="D27" s="15" t="n">
        <f aca="false">IF('36-Month Forecast'!N365=0,0,'36-Month Forecast'!N370/'36-Month Forecast'!N365)</f>
        <v>9.03414336428796</v>
      </c>
      <c r="E27" s="9"/>
    </row>
    <row r="28" customFormat="false" ht="15" hidden="false" customHeight="false" outlineLevel="0" collapsed="false">
      <c r="A28" s="7" t="s">
        <v>858</v>
      </c>
      <c r="B28" s="52" t="n">
        <f aca="false">IF(B27&lt;=0,"-",B26/B27)</f>
        <v>141.337054768003</v>
      </c>
      <c r="C28" s="52" t="n">
        <f aca="false">IF(C27&lt;=0,"-",C26/C27)</f>
        <v>147.928781003664</v>
      </c>
      <c r="D28" s="52" t="n">
        <f aca="false">IF(D27&lt;=0,"-",D26/D27)</f>
        <v>138.846423996158</v>
      </c>
      <c r="E28" s="9"/>
    </row>
    <row r="29" customFormat="false" ht="15" hidden="false" customHeight="false" outlineLevel="0" collapsed="false">
      <c r="A29" s="7" t="s">
        <v>859</v>
      </c>
      <c r="B29" s="14" t="n">
        <f aca="false">'36-Month Forecast'!N111</f>
        <v>32.4278991537192</v>
      </c>
      <c r="C29" s="14" t="n">
        <f aca="false">'36-Month Forecast'!N238</f>
        <v>158.122570256477</v>
      </c>
      <c r="D29" s="14" t="n">
        <f aca="false">'36-Month Forecast'!N365</f>
        <v>308.337420989444</v>
      </c>
      <c r="E29" s="9"/>
    </row>
    <row r="30" customFormat="false" ht="15" hidden="false" customHeight="false" outlineLevel="0" collapsed="false">
      <c r="A30" s="7" t="s">
        <v>860</v>
      </c>
      <c r="B30" s="8" t="n">
        <f aca="false">'36-Month Forecast'!Z119+'36-Month Forecast'!Z120+'36-Month Forecast'!Z118</f>
        <v>1125.8085</v>
      </c>
      <c r="C30" s="8" t="n">
        <f aca="false">'36-Month Forecast'!Z246+'36-Month Forecast'!Z247+'36-Month Forecast'!Z245</f>
        <v>1275.8085</v>
      </c>
      <c r="D30" s="8" t="n">
        <f aca="false">'36-Month Forecast'!Z373+'36-Month Forecast'!Z374+'36-Month Forecast'!Z372</f>
        <v>1934.3085</v>
      </c>
      <c r="E30" s="9"/>
    </row>
    <row r="31" customFormat="false" ht="15" hidden="false" customHeight="false" outlineLevel="0" collapsed="false">
      <c r="A31" s="7" t="s">
        <v>861</v>
      </c>
      <c r="B31" s="15" t="n">
        <f aca="false">IF('36-Month Forecast'!Z111=0,0,'36-Month Forecast'!Z116/'36-Month Forecast'!Z111)</f>
        <v>6.93535730733681</v>
      </c>
      <c r="C31" s="15" t="n">
        <f aca="false">IF('36-Month Forecast'!Z238=0,0,'36-Month Forecast'!Z243/'36-Month Forecast'!Z238)</f>
        <v>9.30414424201105</v>
      </c>
      <c r="D31" s="15" t="n">
        <f aca="false">IF('36-Month Forecast'!Z365=0,0,'36-Month Forecast'!Z370/'36-Month Forecast'!Z365)</f>
        <v>10.3035441447211</v>
      </c>
      <c r="E31" s="9"/>
    </row>
    <row r="32" customFormat="false" ht="15" hidden="false" customHeight="false" outlineLevel="0" collapsed="false">
      <c r="A32" s="7" t="s">
        <v>862</v>
      </c>
      <c r="B32" s="52" t="n">
        <f aca="false">IF(B31&lt;=0,"-",B30/B31)</f>
        <v>162.328839036026</v>
      </c>
      <c r="C32" s="52" t="n">
        <f aca="false">IF(C31&lt;=0,"-",C30/C31)</f>
        <v>137.122605455678</v>
      </c>
      <c r="D32" s="52" t="n">
        <f aca="false">IF(D31&lt;=0,"-",D30/D31)</f>
        <v>187.732344602126</v>
      </c>
      <c r="E32" s="9"/>
    </row>
    <row r="33" customFormat="false" ht="15" hidden="false" customHeight="false" outlineLevel="0" collapsed="false">
      <c r="A33" s="7" t="s">
        <v>863</v>
      </c>
      <c r="B33" s="14" t="n">
        <f aca="false">'36-Month Forecast'!Z111</f>
        <v>46.6133528753923</v>
      </c>
      <c r="C33" s="14" t="n">
        <f aca="false">'36-Month Forecast'!Z238</f>
        <v>285.315125973731</v>
      </c>
      <c r="D33" s="14" t="n">
        <f aca="false">'36-Month Forecast'!Z365</f>
        <v>627.091677817439</v>
      </c>
      <c r="E33" s="9"/>
    </row>
    <row r="34" customFormat="false" ht="15" hidden="false" customHeight="false" outlineLevel="0" collapsed="false">
      <c r="A34" s="7" t="s">
        <v>864</v>
      </c>
      <c r="B34" s="8" t="n">
        <f aca="false">'36-Month Forecast'!AL119+'36-Month Forecast'!AL120+'36-Month Forecast'!AL118</f>
        <v>1225.8085</v>
      </c>
      <c r="C34" s="8" t="n">
        <f aca="false">'36-Month Forecast'!AL246+'36-Month Forecast'!AL247+'36-Month Forecast'!AL245</f>
        <v>1784.3085</v>
      </c>
      <c r="D34" s="8" t="n">
        <f aca="false">'36-Month Forecast'!AL373+'36-Month Forecast'!AL374+'36-Month Forecast'!AL372</f>
        <v>2234.3085</v>
      </c>
      <c r="E34" s="9"/>
    </row>
    <row r="35" customFormat="false" ht="15" hidden="false" customHeight="false" outlineLevel="0" collapsed="false">
      <c r="A35" s="7" t="s">
        <v>865</v>
      </c>
      <c r="B35" s="15" t="n">
        <f aca="false">IF('36-Month Forecast'!AL111=0,0,'36-Month Forecast'!AL116/'36-Month Forecast'!AL111)</f>
        <v>7.07533531010196</v>
      </c>
      <c r="C35" s="15" t="n">
        <f aca="false">IF('36-Month Forecast'!AL238=0,0,'36-Month Forecast'!AL243/'36-Month Forecast'!AL238)</f>
        <v>9.60308075977977</v>
      </c>
      <c r="D35" s="15" t="n">
        <f aca="false">IF('36-Month Forecast'!AL365=0,0,'36-Month Forecast'!AL370/'36-Month Forecast'!AL365)</f>
        <v>10.5963883271989</v>
      </c>
      <c r="E35" s="9"/>
    </row>
    <row r="36" customFormat="false" ht="15" hidden="false" customHeight="false" outlineLevel="0" collapsed="false">
      <c r="A36" s="7" t="s">
        <v>866</v>
      </c>
      <c r="B36" s="52" t="n">
        <f aca="false">IF(B35&lt;=0,"-",B34/B35)</f>
        <v>173.250940948315</v>
      </c>
      <c r="C36" s="52" t="n">
        <f aca="false">IF(C35&lt;=0,"-",C34/C35)</f>
        <v>185.805841337204</v>
      </c>
      <c r="D36" s="52" t="n">
        <f aca="false">IF(D35&lt;=0,"-",D34/D35)</f>
        <v>210.855664308277</v>
      </c>
      <c r="E36" s="9"/>
    </row>
    <row r="37" customFormat="false" ht="15" hidden="false" customHeight="false" outlineLevel="0" collapsed="false">
      <c r="A37" s="7" t="s">
        <v>867</v>
      </c>
      <c r="B37" s="14" t="n">
        <f aca="false">'36-Month Forecast'!AL111</f>
        <v>54.0247061848501</v>
      </c>
      <c r="C37" s="14" t="n">
        <f aca="false">'36-Month Forecast'!AL238</f>
        <v>383.463193240009</v>
      </c>
      <c r="D37" s="14" t="n">
        <f aca="false">'36-Month Forecast'!AL365</f>
        <v>958.364545057188</v>
      </c>
      <c r="E37" s="9"/>
    </row>
    <row r="39" customFormat="false" ht="15" hidden="false" customHeight="false" outlineLevel="0" collapsed="false">
      <c r="A39" s="5" t="s">
        <v>868</v>
      </c>
      <c r="B39" s="6"/>
      <c r="C39" s="6"/>
      <c r="D39" s="6"/>
      <c r="E39" s="6"/>
    </row>
    <row r="40" customFormat="false" ht="15" hidden="false" customHeight="false" outlineLevel="0" collapsed="false">
      <c r="A40" s="3" t="s">
        <v>869</v>
      </c>
      <c r="B40" s="4" t="s">
        <v>463</v>
      </c>
      <c r="C40" s="4" t="s">
        <v>870</v>
      </c>
      <c r="D40" s="4" t="s">
        <v>871</v>
      </c>
      <c r="E40" s="4" t="s">
        <v>872</v>
      </c>
    </row>
    <row r="41" customFormat="false" ht="15" hidden="false" customHeight="false" outlineLevel="0" collapsed="false">
      <c r="A41" s="63" t="str">
        <f aca="false">'Unit Economics'!B15&amp;" - "&amp;'Unit Economics'!C15</f>
        <v>Visual routine cards (200+ editable, 0-5 and 5-12) - Etsy</v>
      </c>
      <c r="B41" s="15" t="n">
        <f aca="false">'Unit Economics'!M15</f>
        <v>5.205</v>
      </c>
      <c r="C41" s="52" t="n">
        <f aca="false">IF(B41&lt;=0,"-",$C$26/B41)</f>
        <v>212.172622478386</v>
      </c>
      <c r="D41" s="55" t="n">
        <f aca="false">IF(B41&lt;=0,"-",C41/30)</f>
        <v>7.07242074927954</v>
      </c>
      <c r="E41" s="9" t="s">
        <v>873</v>
      </c>
    </row>
    <row r="42" customFormat="false" ht="15" hidden="false" customHeight="false" outlineLevel="0" collapsed="false">
      <c r="A42" s="63" t="str">
        <f aca="false">'Unit Economics'!B16&amp;" - "&amp;'Unit Economics'!C16</f>
        <v>"I'm bored" play cards (150, age-banded) - Etsy</v>
      </c>
      <c r="B42" s="15" t="n">
        <f aca="false">'Unit Economics'!M16</f>
        <v>5.205</v>
      </c>
      <c r="C42" s="52" t="n">
        <f aca="false">IF(B42&lt;=0,"-",$C$26/B42)</f>
        <v>212.172622478386</v>
      </c>
      <c r="D42" s="55" t="n">
        <f aca="false">IF(B42&lt;=0,"-",C42/30)</f>
        <v>7.07242074927954</v>
      </c>
      <c r="E42" s="9" t="s">
        <v>874</v>
      </c>
    </row>
    <row r="43" customFormat="false" ht="15" hidden="false" customHeight="false" outlineLevel="0" collapsed="false">
      <c r="A43" s="63" t="str">
        <f aca="false">'Unit Economics'!B17&amp;" - "&amp;'Unit Economics'!C17</f>
        <v>Play-First Family Kit - Etsy</v>
      </c>
      <c r="B43" s="15" t="n">
        <f aca="false">'Unit Economics'!M17</f>
        <v>9.12</v>
      </c>
      <c r="C43" s="52" t="n">
        <f aca="false">IF(B43&lt;=0,"-",$C$26/B43)</f>
        <v>121.091940789474</v>
      </c>
      <c r="D43" s="55" t="n">
        <f aca="false">IF(B43&lt;=0,"-",C43/30)</f>
        <v>4.03639802631579</v>
      </c>
      <c r="E43" s="9" t="s">
        <v>875</v>
      </c>
    </row>
    <row r="44" customFormat="false" ht="15" hidden="false" customHeight="false" outlineLevel="0" collapsed="false">
      <c r="A44" s="63" t="str">
        <f aca="false">'Unit Economics'!B18&amp;" - "&amp;'Unit Economics'!C18</f>
        <v>Toddler busy book printable (120-150 pages) - Etsy</v>
      </c>
      <c r="B44" s="15" t="n">
        <f aca="false">'Unit Economics'!M18</f>
        <v>9.9813</v>
      </c>
      <c r="C44" s="52" t="n">
        <f aca="false">IF(B44&lt;=0,"-",$C$26/B44)</f>
        <v>110.642751946139</v>
      </c>
      <c r="D44" s="55" t="n">
        <f aca="false">IF(B44&lt;=0,"-",C44/30)</f>
        <v>3.68809173153798</v>
      </c>
      <c r="E44" s="9" t="s">
        <v>876</v>
      </c>
    </row>
    <row r="45" customFormat="false" ht="15" hidden="false" customHeight="false" outlineLevel="0" collapsed="false">
      <c r="A45" s="63" t="str">
        <f aca="false">'Unit Economics'!B8&amp;" - "&amp;'Unit Economics'!C8</f>
        <v>Play-First Family Kit - Own site (Shopify)</v>
      </c>
      <c r="B45" s="15" t="n">
        <f aca="false">'Unit Economics'!M8</f>
        <v>10.161</v>
      </c>
      <c r="C45" s="52" t="n">
        <f aca="false">IF(B45&lt;=0,"-",$C$26/B45)</f>
        <v>108.686005314438</v>
      </c>
      <c r="D45" s="55" t="n">
        <f aca="false">IF(B45&lt;=0,"-",C45/30)</f>
        <v>3.62286684381459</v>
      </c>
      <c r="E45" s="9" t="s">
        <v>877</v>
      </c>
    </row>
    <row r="46" customFormat="false" ht="15" hidden="false" customHeight="false" outlineLevel="0" collapsed="false">
      <c r="A46" s="63" t="str">
        <f aca="false">'Unit Economics'!B28&amp;" - "&amp;'Unit Economics'!C28</f>
        <v>100 Screen-Free Plays (paperback, B/W interior) - Amazon KDP</v>
      </c>
      <c r="B46" s="15" t="n">
        <f aca="false">'Unit Economics'!M28</f>
        <v>8.21</v>
      </c>
      <c r="C46" s="52" t="n">
        <f aca="false">IF(B46&lt;=0,"-",$C$26/B46)</f>
        <v>134.513824604141</v>
      </c>
      <c r="D46" s="55" t="n">
        <f aca="false">IF(B46&lt;=0,"-",C46/30)</f>
        <v>4.48379415347138</v>
      </c>
      <c r="E46" s="9" t="s">
        <v>878</v>
      </c>
    </row>
    <row r="47" customFormat="false" ht="15" hidden="false" customHeight="false" outlineLevel="0" collapsed="false">
      <c r="A47" s="63" t="str">
        <f aca="false">'Unit Economics'!B35&amp;" - "&amp;'Unit Economics'!C35</f>
        <v>30-Day Screen Reset (written program) - Own site (Shopify) + automated email</v>
      </c>
      <c r="B47" s="15" t="n">
        <f aca="false">'Unit Economics'!M35</f>
        <v>24.567</v>
      </c>
      <c r="C47" s="52" t="n">
        <f aca="false">IF(B47&lt;=0,"-",$C$26/B47)</f>
        <v>44.952924655025</v>
      </c>
      <c r="D47" s="55" t="n">
        <f aca="false">IF(B47&lt;=0,"-",C47/30)</f>
        <v>1.49843082183417</v>
      </c>
      <c r="E47" s="9" t="s">
        <v>879</v>
      </c>
    </row>
    <row r="48" customFormat="false" ht="15" hidden="false" customHeight="false" outlineLevel="0" collapsed="false">
      <c r="A48" s="63" t="str">
        <f aca="false">'Unit Economics'!B37&amp;" - "&amp;'Unit Economics'!C37</f>
        <v>Up! Go! More! board book - Own site; offset stock at a 3PL</v>
      </c>
      <c r="B48" s="15" t="n">
        <f aca="false">'Unit Economics'!M37</f>
        <v>4.92849</v>
      </c>
      <c r="C48" s="52" t="n">
        <f aca="false">IF(B48&lt;=0,"-",$C$26/B48)</f>
        <v>224.076441262943</v>
      </c>
      <c r="D48" s="55" t="n">
        <f aca="false">IF(B48&lt;=0,"-",C48/30)</f>
        <v>7.46921470876476</v>
      </c>
      <c r="E48" s="9" t="s">
        <v>880</v>
      </c>
    </row>
    <row r="50" customFormat="false" ht="15" hidden="false" customHeight="false" outlineLevel="0" collapsed="false">
      <c r="A50" s="5" t="s">
        <v>881</v>
      </c>
      <c r="B50" s="6"/>
      <c r="C50" s="6"/>
      <c r="D50" s="6"/>
      <c r="E50" s="6"/>
    </row>
    <row r="51" customFormat="false" ht="15" hidden="false" customHeight="false" outlineLevel="0" collapsed="false">
      <c r="A51" s="7" t="s">
        <v>882</v>
      </c>
      <c r="B51" s="8" t="n">
        <f aca="false">'Retail Readiness Costs'!$H$29</f>
        <v>358.5</v>
      </c>
    </row>
    <row r="52" customFormat="false" ht="15" hidden="false" customHeight="false" outlineLevel="0" collapsed="false">
      <c r="A52" s="7" t="s">
        <v>883</v>
      </c>
      <c r="B52" s="15" t="n">
        <f aca="false">'Unit Economics'!$F$58</f>
        <v>1.821575</v>
      </c>
    </row>
    <row r="53" customFormat="false" ht="15" hidden="false" customHeight="false" outlineLevel="0" collapsed="false">
      <c r="A53" s="7" t="s">
        <v>884</v>
      </c>
      <c r="B53" s="52" t="n">
        <f aca="false">IF(B52&lt;=0,"-",B51/B52)</f>
        <v>196.807707615662</v>
      </c>
    </row>
    <row r="54" customFormat="false" ht="15" hidden="false" customHeight="false" outlineLevel="0" collapsed="false">
      <c r="A54" s="7" t="s">
        <v>885</v>
      </c>
      <c r="B54" s="8" t="n">
        <f aca="false">'Retail Readiness Costs'!$H$23</f>
        <v>5100</v>
      </c>
    </row>
    <row r="55" customFormat="false" ht="15" hidden="false" customHeight="false" outlineLevel="0" collapsed="false">
      <c r="A55" s="7" t="s">
        <v>886</v>
      </c>
      <c r="B55" s="52" t="n">
        <f aca="false">IF(B52&lt;=0,"-",B54/B52)</f>
        <v>2799.77492005545</v>
      </c>
    </row>
    <row r="56" customFormat="false" ht="15" hidden="false" customHeight="false" outlineLevel="0" collapsed="false">
      <c r="A56" s="63" t="str">
        <f aca="false">"Net per unit: "&amp;'Unit Economics'!C44</f>
        <v>Net per unit: Faire wholesale to boutiques</v>
      </c>
      <c r="B56" s="15" t="n">
        <f aca="false">'Unit Economics'!M44</f>
        <v>0.376149999999999</v>
      </c>
    </row>
    <row r="57" customFormat="false" ht="15" hidden="false" customHeight="false" outlineLevel="0" collapsed="false">
      <c r="A57" s="63" t="str">
        <f aca="false">"Net per unit: "&amp;'Unit Economics'!C45</f>
        <v>Net per unit: Walmart Marketplace (3PL-fulfilled)</v>
      </c>
      <c r="B57" s="15" t="n">
        <f aca="false">'Unit Economics'!M45</f>
        <v>3.267</v>
      </c>
    </row>
    <row r="58" customFormat="false" ht="15" hidden="false" customHeight="false" outlineLevel="0" collapsed="false">
      <c r="A58" s="63" t="str">
        <f aca="false">"Net per unit: "&amp;'Unit Economics'!C46</f>
        <v>Net per unit: Target Plus (invitation-only) [VERIFY]</v>
      </c>
      <c r="B58" s="15" t="n">
        <f aca="false">'Unit Economics'!M46</f>
        <v>3.267</v>
      </c>
    </row>
    <row r="59" customFormat="false" ht="15" hidden="false" customHeight="false" outlineLevel="0" collapsed="false">
      <c r="A59" s="9" t="s">
        <v>887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22"/>
    <col collapsed="false" customWidth="true" hidden="false" outlineLevel="0" max="10" min="10" style="0" width="70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8" t="s">
        <v>888</v>
      </c>
    </row>
    <row r="2" customFormat="false" ht="27.75" hidden="false" customHeight="true" outlineLevel="0" collapsed="false">
      <c r="A2" s="2" t="s">
        <v>889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customFormat="false" ht="31.5" hidden="false" customHeight="true" outlineLevel="0" collapsed="false">
      <c r="A5" s="3" t="s">
        <v>588</v>
      </c>
      <c r="B5" s="4" t="s">
        <v>890</v>
      </c>
      <c r="C5" s="4" t="s">
        <v>590</v>
      </c>
      <c r="D5" s="4" t="s">
        <v>591</v>
      </c>
      <c r="E5" s="4" t="s">
        <v>891</v>
      </c>
      <c r="F5" s="4" t="s">
        <v>892</v>
      </c>
      <c r="G5" s="4" t="s">
        <v>893</v>
      </c>
      <c r="H5" s="4" t="s">
        <v>894</v>
      </c>
      <c r="I5" s="4" t="s">
        <v>895</v>
      </c>
      <c r="J5" s="4" t="s">
        <v>595</v>
      </c>
      <c r="K5" s="4" t="s">
        <v>67</v>
      </c>
    </row>
    <row r="6" customFormat="false" ht="15" hidden="false" customHeight="false" outlineLevel="0" collapsed="false">
      <c r="A6" s="5" t="s">
        <v>896</v>
      </c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7" t="s">
        <v>897</v>
      </c>
      <c r="B7" s="7" t="s">
        <v>898</v>
      </c>
      <c r="C7" s="24" t="n">
        <v>300</v>
      </c>
      <c r="D7" s="24" t="n">
        <v>1000</v>
      </c>
      <c r="E7" s="8" t="n">
        <f aca="false">C7+Assumptions!$C$9*(D7-C7)</f>
        <v>650</v>
      </c>
      <c r="F7" s="7" t="s">
        <v>899</v>
      </c>
      <c r="G7" s="22" t="n">
        <v>1</v>
      </c>
      <c r="H7" s="17" t="n">
        <f aca="false">E7*G7</f>
        <v>650</v>
      </c>
      <c r="I7" s="7" t="s">
        <v>900</v>
      </c>
      <c r="J7" s="7" t="s">
        <v>901</v>
      </c>
      <c r="K7" s="7" t="s">
        <v>87</v>
      </c>
    </row>
    <row r="8" customFormat="false" ht="15" hidden="false" customHeight="false" outlineLevel="0" collapsed="false">
      <c r="A8" s="7" t="s">
        <v>902</v>
      </c>
      <c r="B8" s="7" t="s">
        <v>898</v>
      </c>
      <c r="C8" s="24" t="n">
        <v>0</v>
      </c>
      <c r="D8" s="24" t="n">
        <v>0</v>
      </c>
      <c r="E8" s="8" t="n">
        <f aca="false">C8+Assumptions!$C$9*(D8-C8)</f>
        <v>0</v>
      </c>
      <c r="F8" s="7" t="s">
        <v>899</v>
      </c>
      <c r="G8" s="22" t="n">
        <v>1</v>
      </c>
      <c r="H8" s="17" t="n">
        <f aca="false">E8*G8</f>
        <v>0</v>
      </c>
      <c r="I8" s="7" t="s">
        <v>900</v>
      </c>
      <c r="J8" s="7" t="s">
        <v>903</v>
      </c>
      <c r="K8" s="7" t="s">
        <v>73</v>
      </c>
    </row>
    <row r="9" customFormat="false" ht="15" hidden="false" customHeight="false" outlineLevel="0" collapsed="false">
      <c r="A9" s="7" t="s">
        <v>904</v>
      </c>
      <c r="B9" s="7" t="s">
        <v>898</v>
      </c>
      <c r="C9" s="24" t="n">
        <v>0</v>
      </c>
      <c r="D9" s="24" t="n">
        <v>200</v>
      </c>
      <c r="E9" s="8" t="n">
        <f aca="false">C9+Assumptions!$C$9*(D9-C9)</f>
        <v>100</v>
      </c>
      <c r="F9" s="7" t="s">
        <v>905</v>
      </c>
      <c r="G9" s="22" t="n">
        <v>1</v>
      </c>
      <c r="H9" s="17" t="n">
        <f aca="false">E9*G9</f>
        <v>100</v>
      </c>
      <c r="I9" s="7" t="s">
        <v>900</v>
      </c>
      <c r="J9" s="7" t="s">
        <v>185</v>
      </c>
      <c r="K9" s="7" t="s">
        <v>151</v>
      </c>
    </row>
    <row r="10" customFormat="false" ht="15" hidden="false" customHeight="false" outlineLevel="0" collapsed="false">
      <c r="A10" s="7" t="s">
        <v>906</v>
      </c>
      <c r="B10" s="7" t="s">
        <v>898</v>
      </c>
      <c r="C10" s="24" t="n">
        <v>100</v>
      </c>
      <c r="D10" s="24" t="n">
        <v>400</v>
      </c>
      <c r="E10" s="8" t="n">
        <f aca="false">C10+Assumptions!$C$9*(D10-C10)</f>
        <v>250</v>
      </c>
      <c r="F10" s="7" t="s">
        <v>905</v>
      </c>
      <c r="G10" s="22" t="n">
        <v>1</v>
      </c>
      <c r="H10" s="17" t="n">
        <f aca="false">E10*G10</f>
        <v>250</v>
      </c>
      <c r="I10" s="7" t="s">
        <v>900</v>
      </c>
      <c r="J10" s="7" t="s">
        <v>907</v>
      </c>
      <c r="K10" s="7" t="s">
        <v>151</v>
      </c>
    </row>
    <row r="11" customFormat="false" ht="15" hidden="false" customHeight="false" outlineLevel="0" collapsed="false">
      <c r="A11" s="7" t="s">
        <v>908</v>
      </c>
      <c r="B11" s="7" t="s">
        <v>898</v>
      </c>
      <c r="C11" s="24" t="n">
        <v>0</v>
      </c>
      <c r="D11" s="24" t="n">
        <v>500</v>
      </c>
      <c r="E11" s="8" t="n">
        <f aca="false">C11+Assumptions!$C$9*(D11-C11)</f>
        <v>250</v>
      </c>
      <c r="F11" s="7" t="s">
        <v>905</v>
      </c>
      <c r="G11" s="22" t="n">
        <v>1</v>
      </c>
      <c r="H11" s="17" t="n">
        <f aca="false">E11*G11</f>
        <v>250</v>
      </c>
      <c r="I11" s="7" t="s">
        <v>900</v>
      </c>
      <c r="J11" s="7" t="s">
        <v>185</v>
      </c>
      <c r="K11" s="7" t="s">
        <v>151</v>
      </c>
    </row>
    <row r="12" customFormat="false" ht="15" hidden="false" customHeight="false" outlineLevel="0" collapsed="false">
      <c r="A12" s="7" t="s">
        <v>909</v>
      </c>
      <c r="B12" s="7" t="s">
        <v>898</v>
      </c>
      <c r="C12" s="24" t="n">
        <v>50</v>
      </c>
      <c r="D12" s="24" t="n">
        <v>200</v>
      </c>
      <c r="E12" s="8" t="n">
        <f aca="false">C12+Assumptions!$C$9*(D12-C12)</f>
        <v>125</v>
      </c>
      <c r="F12" s="7" t="s">
        <v>905</v>
      </c>
      <c r="G12" s="22" t="n">
        <v>1</v>
      </c>
      <c r="H12" s="17" t="n">
        <f aca="false">E12*G12</f>
        <v>125</v>
      </c>
      <c r="I12" s="7" t="s">
        <v>900</v>
      </c>
      <c r="J12" s="7" t="s">
        <v>185</v>
      </c>
      <c r="K12" s="7" t="s">
        <v>151</v>
      </c>
    </row>
    <row r="13" customFormat="false" ht="15" hidden="false" customHeight="false" outlineLevel="0" collapsed="false">
      <c r="A13" s="7" t="s">
        <v>910</v>
      </c>
      <c r="B13" s="7" t="s">
        <v>898</v>
      </c>
      <c r="C13" s="24" t="n">
        <v>300</v>
      </c>
      <c r="D13" s="24" t="n">
        <v>700</v>
      </c>
      <c r="E13" s="8" t="n">
        <f aca="false">C13+Assumptions!$C$9*(D13-C13)</f>
        <v>500</v>
      </c>
      <c r="F13" s="7" t="s">
        <v>905</v>
      </c>
      <c r="G13" s="22" t="n">
        <v>1</v>
      </c>
      <c r="H13" s="17" t="n">
        <f aca="false">E13*G13</f>
        <v>500</v>
      </c>
      <c r="I13" s="7" t="s">
        <v>900</v>
      </c>
      <c r="J13" s="7" t="s">
        <v>911</v>
      </c>
      <c r="K13" s="7" t="s">
        <v>87</v>
      </c>
    </row>
    <row r="14" customFormat="false" ht="15" hidden="false" customHeight="false" outlineLevel="0" collapsed="false">
      <c r="A14" s="33" t="s">
        <v>912</v>
      </c>
      <c r="B14" s="32"/>
      <c r="C14" s="32"/>
      <c r="D14" s="32"/>
      <c r="E14" s="32"/>
      <c r="F14" s="32"/>
      <c r="G14" s="32"/>
      <c r="H14" s="47" t="n">
        <f aca="false">SUM(H7:H13)</f>
        <v>1875</v>
      </c>
      <c r="I14" s="32"/>
      <c r="J14" s="32"/>
      <c r="K14" s="32"/>
    </row>
    <row r="16" customFormat="false" ht="15" hidden="false" customHeight="false" outlineLevel="0" collapsed="false">
      <c r="A16" s="5" t="s">
        <v>913</v>
      </c>
      <c r="B16" s="6"/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false" outlineLevel="0" collapsed="false">
      <c r="A17" s="7" t="s">
        <v>914</v>
      </c>
      <c r="B17" s="7" t="s">
        <v>915</v>
      </c>
      <c r="C17" s="24" t="n">
        <v>250</v>
      </c>
      <c r="D17" s="24" t="n">
        <v>750</v>
      </c>
      <c r="E17" s="8" t="n">
        <f aca="false">C17+Assumptions!$C$9*(D17-C17)</f>
        <v>500</v>
      </c>
      <c r="F17" s="7" t="s">
        <v>905</v>
      </c>
      <c r="G17" s="22" t="n">
        <v>1</v>
      </c>
      <c r="H17" s="17" t="n">
        <f aca="false">E17*G17</f>
        <v>500</v>
      </c>
      <c r="I17" s="7" t="s">
        <v>916</v>
      </c>
      <c r="J17" s="7" t="s">
        <v>917</v>
      </c>
      <c r="K17" s="7" t="s">
        <v>151</v>
      </c>
    </row>
    <row r="18" customFormat="false" ht="15" hidden="false" customHeight="false" outlineLevel="0" collapsed="false">
      <c r="A18" s="7" t="s">
        <v>918</v>
      </c>
      <c r="B18" s="7" t="s">
        <v>915</v>
      </c>
      <c r="C18" s="24" t="n">
        <v>300</v>
      </c>
      <c r="D18" s="24" t="n">
        <v>1000</v>
      </c>
      <c r="E18" s="8" t="n">
        <f aca="false">C18+Assumptions!$C$9*(D18-C18)</f>
        <v>650</v>
      </c>
      <c r="F18" s="7" t="s">
        <v>899</v>
      </c>
      <c r="G18" s="22" t="n">
        <v>2</v>
      </c>
      <c r="H18" s="17" t="n">
        <f aca="false">E18*G18</f>
        <v>1300</v>
      </c>
      <c r="I18" s="7" t="s">
        <v>916</v>
      </c>
      <c r="J18" s="7" t="s">
        <v>919</v>
      </c>
      <c r="K18" s="7" t="s">
        <v>87</v>
      </c>
    </row>
    <row r="19" customFormat="false" ht="15" hidden="false" customHeight="false" outlineLevel="0" collapsed="false">
      <c r="A19" s="7" t="s">
        <v>920</v>
      </c>
      <c r="B19" s="7" t="s">
        <v>915</v>
      </c>
      <c r="C19" s="24" t="n">
        <v>500</v>
      </c>
      <c r="D19" s="24" t="n">
        <v>2000</v>
      </c>
      <c r="E19" s="8" t="n">
        <f aca="false">C19+Assumptions!$C$9*(D19-C19)</f>
        <v>1250</v>
      </c>
      <c r="F19" s="7" t="s">
        <v>905</v>
      </c>
      <c r="G19" s="22" t="n">
        <v>1</v>
      </c>
      <c r="H19" s="17" t="n">
        <f aca="false">E19*G19</f>
        <v>1250</v>
      </c>
      <c r="I19" s="7" t="s">
        <v>916</v>
      </c>
      <c r="J19" s="7" t="s">
        <v>921</v>
      </c>
      <c r="K19" s="7" t="s">
        <v>151</v>
      </c>
    </row>
    <row r="20" customFormat="false" ht="15" hidden="false" customHeight="false" outlineLevel="0" collapsed="false">
      <c r="A20" s="7" t="s">
        <v>922</v>
      </c>
      <c r="B20" s="7" t="s">
        <v>915</v>
      </c>
      <c r="C20" s="24" t="n">
        <v>500</v>
      </c>
      <c r="D20" s="24" t="n">
        <v>2500</v>
      </c>
      <c r="E20" s="8" t="n">
        <f aca="false">C20+Assumptions!$C$9*(D20-C20)</f>
        <v>1500</v>
      </c>
      <c r="F20" s="7" t="s">
        <v>905</v>
      </c>
      <c r="G20" s="22" t="n">
        <v>1</v>
      </c>
      <c r="H20" s="17" t="n">
        <f aca="false">E20*G20</f>
        <v>1500</v>
      </c>
      <c r="I20" s="7" t="s">
        <v>916</v>
      </c>
      <c r="J20" s="7" t="s">
        <v>923</v>
      </c>
      <c r="K20" s="7" t="s">
        <v>87</v>
      </c>
    </row>
    <row r="21" customFormat="false" ht="15" hidden="false" customHeight="false" outlineLevel="0" collapsed="false">
      <c r="A21" s="7" t="s">
        <v>924</v>
      </c>
      <c r="B21" s="7" t="s">
        <v>915</v>
      </c>
      <c r="C21" s="24" t="n">
        <v>200</v>
      </c>
      <c r="D21" s="24" t="n">
        <v>600</v>
      </c>
      <c r="E21" s="8" t="n">
        <f aca="false">C21+Assumptions!$C$9*(D21-C21)</f>
        <v>400</v>
      </c>
      <c r="F21" s="7" t="s">
        <v>905</v>
      </c>
      <c r="G21" s="22" t="n">
        <v>1</v>
      </c>
      <c r="H21" s="17" t="n">
        <f aca="false">E21*G21</f>
        <v>400</v>
      </c>
      <c r="I21" s="7" t="s">
        <v>916</v>
      </c>
      <c r="J21" s="7" t="s">
        <v>925</v>
      </c>
      <c r="K21" s="7" t="s">
        <v>151</v>
      </c>
    </row>
    <row r="22" customFormat="false" ht="15" hidden="false" customHeight="false" outlineLevel="0" collapsed="false">
      <c r="A22" s="7" t="s">
        <v>926</v>
      </c>
      <c r="B22" s="7" t="s">
        <v>915</v>
      </c>
      <c r="C22" s="24" t="n">
        <v>0</v>
      </c>
      <c r="D22" s="24" t="n">
        <v>300</v>
      </c>
      <c r="E22" s="8" t="n">
        <f aca="false">C22+Assumptions!$C$9*(D22-C22)</f>
        <v>150</v>
      </c>
      <c r="F22" s="7" t="s">
        <v>905</v>
      </c>
      <c r="G22" s="22" t="n">
        <v>1</v>
      </c>
      <c r="H22" s="17" t="n">
        <f aca="false">E22*G22</f>
        <v>150</v>
      </c>
      <c r="I22" s="7" t="s">
        <v>916</v>
      </c>
      <c r="J22" s="7" t="s">
        <v>927</v>
      </c>
      <c r="K22" s="7" t="s">
        <v>151</v>
      </c>
    </row>
    <row r="23" customFormat="false" ht="15" hidden="false" customHeight="false" outlineLevel="0" collapsed="false">
      <c r="A23" s="33" t="s">
        <v>928</v>
      </c>
      <c r="B23" s="32"/>
      <c r="C23" s="32"/>
      <c r="D23" s="32"/>
      <c r="E23" s="32"/>
      <c r="F23" s="32"/>
      <c r="G23" s="32"/>
      <c r="H23" s="47" t="n">
        <f aca="false">SUM(H17:H22)</f>
        <v>5100</v>
      </c>
      <c r="I23" s="32"/>
      <c r="J23" s="32"/>
      <c r="K23" s="32"/>
    </row>
    <row r="25" customFormat="false" ht="15" hidden="false" customHeight="false" outlineLevel="0" collapsed="false">
      <c r="A25" s="5" t="s">
        <v>929</v>
      </c>
      <c r="B25" s="6"/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false" outlineLevel="0" collapsed="false">
      <c r="A26" s="7" t="s">
        <v>930</v>
      </c>
      <c r="B26" s="7" t="s">
        <v>931</v>
      </c>
      <c r="C26" s="24" t="n">
        <v>100</v>
      </c>
      <c r="D26" s="24" t="n">
        <v>300</v>
      </c>
      <c r="E26" s="8" t="n">
        <f aca="false">C26+Assumptions!$C$9*(D26-C26)</f>
        <v>200</v>
      </c>
      <c r="F26" s="7" t="s">
        <v>932</v>
      </c>
      <c r="G26" s="22" t="n">
        <v>1</v>
      </c>
      <c r="H26" s="17" t="n">
        <f aca="false">E26*G26</f>
        <v>200</v>
      </c>
      <c r="I26" s="7" t="s">
        <v>933</v>
      </c>
      <c r="J26" s="7" t="s">
        <v>934</v>
      </c>
      <c r="K26" s="7" t="s">
        <v>151</v>
      </c>
    </row>
    <row r="27" customFormat="false" ht="15" hidden="false" customHeight="false" outlineLevel="0" collapsed="false">
      <c r="A27" s="7" t="s">
        <v>935</v>
      </c>
      <c r="B27" s="7" t="s">
        <v>931</v>
      </c>
      <c r="C27" s="24" t="n">
        <v>50</v>
      </c>
      <c r="D27" s="24" t="n">
        <v>250</v>
      </c>
      <c r="E27" s="8" t="n">
        <f aca="false">C27+Assumptions!$C$9*(D27-C27)</f>
        <v>150</v>
      </c>
      <c r="F27" s="7" t="s">
        <v>932</v>
      </c>
      <c r="G27" s="22" t="n">
        <v>1</v>
      </c>
      <c r="H27" s="17" t="n">
        <f aca="false">E27*G27</f>
        <v>150</v>
      </c>
      <c r="I27" s="7" t="s">
        <v>933</v>
      </c>
      <c r="J27" s="7" t="s">
        <v>936</v>
      </c>
      <c r="K27" s="7" t="s">
        <v>151</v>
      </c>
    </row>
    <row r="28" customFormat="false" ht="15" hidden="false" customHeight="false" outlineLevel="0" collapsed="false">
      <c r="A28" s="7" t="s">
        <v>937</v>
      </c>
      <c r="B28" s="7" t="s">
        <v>931</v>
      </c>
      <c r="C28" s="24" t="n">
        <v>4</v>
      </c>
      <c r="D28" s="24" t="n">
        <v>13</v>
      </c>
      <c r="E28" s="8" t="n">
        <f aca="false">C28+Assumptions!$C$9*(D28-C28)</f>
        <v>8.5</v>
      </c>
      <c r="F28" s="7" t="s">
        <v>932</v>
      </c>
      <c r="G28" s="22" t="n">
        <v>1</v>
      </c>
      <c r="H28" s="17" t="n">
        <f aca="false">E28*G28</f>
        <v>8.5</v>
      </c>
      <c r="I28" s="7" t="s">
        <v>933</v>
      </c>
      <c r="J28" s="7" t="s">
        <v>185</v>
      </c>
      <c r="K28" s="7" t="s">
        <v>151</v>
      </c>
    </row>
    <row r="29" customFormat="false" ht="15" hidden="false" customHeight="false" outlineLevel="0" collapsed="false">
      <c r="A29" s="33" t="s">
        <v>938</v>
      </c>
      <c r="B29" s="32"/>
      <c r="C29" s="32"/>
      <c r="D29" s="32"/>
      <c r="E29" s="32"/>
      <c r="F29" s="32"/>
      <c r="G29" s="32"/>
      <c r="H29" s="47" t="n">
        <f aca="false">SUM(H26:H28)</f>
        <v>358.5</v>
      </c>
      <c r="I29" s="32"/>
      <c r="J29" s="32"/>
      <c r="K29" s="32"/>
    </row>
    <row r="31" customFormat="false" ht="15" hidden="false" customHeight="false" outlineLevel="0" collapsed="false">
      <c r="A31" s="5" t="s">
        <v>939</v>
      </c>
      <c r="B31" s="6"/>
      <c r="C31" s="6"/>
      <c r="D31" s="6"/>
      <c r="E31" s="6"/>
      <c r="F31" s="6"/>
      <c r="G31" s="6"/>
      <c r="H31" s="6"/>
      <c r="I31" s="6"/>
      <c r="J31" s="6"/>
      <c r="K31" s="6"/>
    </row>
    <row r="32" customFormat="false" ht="15" hidden="false" customHeight="false" outlineLevel="0" collapsed="false">
      <c r="A32" s="7" t="s">
        <v>940</v>
      </c>
      <c r="E32" s="15" t="n">
        <f aca="false">Assumptions!$C$55</f>
        <v>2.9</v>
      </c>
    </row>
    <row r="33" customFormat="false" ht="15" hidden="false" customHeight="false" outlineLevel="0" collapsed="false">
      <c r="A33" s="7" t="s">
        <v>941</v>
      </c>
      <c r="E33" s="15" t="n">
        <f aca="false">Assumptions!$C$57</f>
        <v>3.625</v>
      </c>
    </row>
    <row r="34" customFormat="false" ht="15" hidden="false" customHeight="false" outlineLevel="0" collapsed="false">
      <c r="A34" s="7" t="s">
        <v>942</v>
      </c>
      <c r="G34" s="14" t="n">
        <f aca="false">Assumptions!$C$62</f>
        <v>1000</v>
      </c>
    </row>
    <row r="35" customFormat="false" ht="15" hidden="false" customHeight="false" outlineLevel="0" collapsed="false">
      <c r="A35" s="10" t="s">
        <v>943</v>
      </c>
      <c r="H35" s="64" t="n">
        <f aca="false">E33*G34</f>
        <v>3625</v>
      </c>
    </row>
    <row r="36" customFormat="false" ht="15" hidden="false" customHeight="false" outlineLevel="0" collapsed="false">
      <c r="A36" s="7" t="s">
        <v>944</v>
      </c>
      <c r="H36" s="16" t="n">
        <f aca="false">E33/Assumptions!$C$52</f>
        <v>0.279060816012317</v>
      </c>
    </row>
    <row r="38" customFormat="false" ht="15" hidden="false" customHeight="false" outlineLevel="0" collapsed="false">
      <c r="A38" s="5" t="s">
        <v>945</v>
      </c>
      <c r="B38" s="6"/>
      <c r="C38" s="6"/>
      <c r="D38" s="6"/>
      <c r="E38" s="6"/>
      <c r="F38" s="6"/>
      <c r="G38" s="6"/>
      <c r="H38" s="6"/>
      <c r="I38" s="6"/>
      <c r="J38" s="6"/>
      <c r="K38" s="6"/>
    </row>
    <row r="39" customFormat="false" ht="15" hidden="false" customHeight="false" outlineLevel="0" collapsed="false">
      <c r="A39" s="7" t="s">
        <v>232</v>
      </c>
      <c r="H39" s="8" t="n">
        <f aca="false">Assumptions!$C$60</f>
        <v>100</v>
      </c>
    </row>
    <row r="40" customFormat="false" ht="15" hidden="false" customHeight="false" outlineLevel="0" collapsed="false">
      <c r="A40" s="7" t="s">
        <v>235</v>
      </c>
      <c r="H40" s="15" t="n">
        <f aca="false">Assumptions!$C$61</f>
        <v>39.99</v>
      </c>
    </row>
    <row r="42" customFormat="false" ht="30" hidden="false" customHeight="true" outlineLevel="0" collapsed="false">
      <c r="A42" s="2" t="s">
        <v>946</v>
      </c>
      <c r="B42" s="2"/>
      <c r="C42" s="2"/>
      <c r="D42" s="2"/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</sheetData>
  <mergeCells count="2">
    <mergeCell ref="A2:K3"/>
    <mergeCell ref="A42:K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2026-09-28T01:15:25Z</dcterms:created>
  <dc:creator>openpyxl</dc:creator>
  <dc:description/>
  <dc:language>en-US</dc:language>
  <cp:lastModifiedBy/>
  <dcterms:modified xsi:type="dcterms:W3CDTF">2026-09-28T01:15:28Z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