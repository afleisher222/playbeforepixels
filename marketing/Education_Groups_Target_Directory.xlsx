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ll — ranked" sheetId="2" state="visible" r:id="rId4"/>
    <sheet name="Early Childhood &amp; Care" sheetId="3" state="visible" r:id="rId5"/>
    <sheet name="K–12 &amp; Libraries" sheetId="4" state="visible" r:id="rId6"/>
    <sheet name="Parents &amp; Advocacy" sheetId="5" state="visible" r:id="rId7"/>
    <sheet name="International" sheetId="6" state="visible" r:id="rId8"/>
    <sheet name="Excluded" sheetId="7" state="visible" r:id="rId9"/>
  </sheets>
  <definedNames>
    <definedName function="false" hidden="false" localSheetId="1" name="_xlnm.Print_Titles" vbProcedure="false">'All — ranked'!$1:$1</definedName>
    <definedName function="false" hidden="true" localSheetId="1" name="_xlnm._FilterDatabase" vbProcedure="false">'All — ranked'!$A$1:$P$225</definedName>
    <definedName function="false" hidden="false" localSheetId="2" name="_xlnm.Print_Titles" vbProcedure="false">'Early Childhood &amp; Care'!$1:$1</definedName>
    <definedName function="false" hidden="true" localSheetId="2" name="_xlnm._FilterDatabase" vbProcedure="false">'Early Childhood &amp; Care'!$A$1:$P$49</definedName>
    <definedName function="false" hidden="true" localSheetId="6" name="_xlnm._FilterDatabase" vbProcedure="false">Excluded!$A$1:$D$33</definedName>
    <definedName function="false" hidden="false" localSheetId="5" name="_xlnm.Print_Titles" vbProcedure="false">International!$1:$1</definedName>
    <definedName function="false" hidden="true" localSheetId="5" name="_xlnm._FilterDatabase" vbProcedure="false">International!$A$1:$P$66</definedName>
    <definedName function="false" hidden="false" localSheetId="3" name="_xlnm.Print_Titles" vbProcedure="false">'K–12 &amp; Libraries'!$1:$1</definedName>
    <definedName function="false" hidden="true" localSheetId="3" name="_xlnm._FilterDatabase" vbProcedure="false">'K–12 &amp; Libraries'!$A$1:$P$54</definedName>
    <definedName function="false" hidden="false" localSheetId="4" name="_xlnm.Print_Titles" vbProcedure="false">'Parents &amp; Advocacy'!$1:$1</definedName>
    <definedName function="false" hidden="true" localSheetId="4" name="_xlnm._FilterDatabase" vbProcedure="false">'Parents &amp; Advocacy'!$A$1:$P$65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<sst xmlns="http://schemas.openxmlformats.org/spreadsheetml/2006/main" count="6613" uniqueCount="2380">
  <si>
    <t xml:space="preserve">Play Before Pixels — Education Groups Target Directory</t>
  </si>
  <si>
    <t xml:space="preserve">AlphaPlay LLC (trade name Play Before Pixels). Built September 28, 2026 from four verified research lists: early childhood, K–12 and libraries, parent groups, and international. Internal planning file; not for publication.</t>
  </si>
  <si>
    <t xml:space="preserve">Tabs and counts (live formulas; they update as you edit)</t>
  </si>
  <si>
    <t xml:space="preserve">Tab</t>
  </si>
  <si>
    <t xml:space="preserve">Rows</t>
  </si>
  <si>
    <t xml:space="preserve">Fit 5</t>
  </si>
  <si>
    <t xml:space="preserve">Fit 4</t>
  </si>
  <si>
    <t xml:space="preserve">Fit 3</t>
  </si>
  <si>
    <t xml:space="preserve">Fit ≤2</t>
  </si>
  <si>
    <t xml:space="preserve">Confirmed Y</t>
  </si>
  <si>
    <t xml:space="preserve">Status ≠ Not started</t>
  </si>
  <si>
    <t xml:space="preserve">All — ranked</t>
  </si>
  <si>
    <t xml:space="preserve">Early Childhood &amp; Care</t>
  </si>
  <si>
    <t xml:space="preserve">K–12 &amp; Libraries</t>
  </si>
  <si>
    <t xml:space="preserve">Parents &amp; Advocacy</t>
  </si>
  <si>
    <t xml:space="preserve">International</t>
  </si>
  <si>
    <t xml:space="preserve">Category tabs total</t>
  </si>
  <si>
    <t xml:space="preserve">Excluded (not targets)</t>
  </si>
  <si>
    <t xml:space="preserve">Six organizations appear in two category tabs (PTO Today, WECAN, AMS, AWSNA, ACSI, Defending the Early Years). "All — ranked" shows each once, so it has 6 fewer rows than the category tabs combined. Merged rows keep the higher fit, show Confirmed = Y only if both lists confirmed it, and carry both lists' notes.</t>
  </si>
  <si>
    <t xml:space="preserve">How to use</t>
  </si>
  <si>
    <t xml:space="preserve">1. Work from "All — ranked". It is sorted by Fit (5 = best) and then Scope, national first; ties go to confirmed rows, then to groups with state affiliates or chapters, then to groups with a faceless channel. Use the filter arrows to narrow by Type, Scope, Confirmed or Status.</t>
  </si>
  <si>
    <t xml:space="preserve">2. The shaded columns are yours to edit: Status (drop-down: Not started / Contacted / Applied / Booked / Partner / Declined), Next step, and Date (yyyy-mm-dd, the date of your last action). Next step is pre-filled with a suggested first action; overwrite it as you go. Example: Status = Contacted · Next step = "Follow up Oct 12 if no reply; ask for 2027 media kit" · Date = 2026-10-05.</t>
  </si>
  <si>
    <t xml:space="preserve">3. Confirmed = N means at least one fact (site, date, price or reach method) could not be checked. Open the URL and confirm before spending money. Confirmed = Y still means "check the current prospectus": almost no exhibit prices are published, and prices marked as estimates or taken from older sell sheets are not quotes.</t>
  </si>
  <si>
    <t xml:space="preserve">4. The category tabs hold the same rows with the category-specific notes. Update Status in "All — ranked" (the master); use the category tabs for reading.</t>
  </si>
  <si>
    <t xml:space="preserve">5. Before any outreach, check the Excluded tab. If an event, chapter or mailing list includes people from an excluded organization, do not approach them.</t>
  </si>
  <si>
    <t xml:space="preserve">Outreach order</t>
  </si>
  <si>
    <t xml:space="preserve">Wave 1: Fit-5 national organizations with state affiliates. NAEYC Affiliate Network (then MDAEYC, DCAEYC and the VA, PA and DE affiliates) and NAFCC (then its state family child care associations, starting with MSFCCA). One national relationship opens many low-cost state tables, newsletters and member discounts.</t>
  </si>
  <si>
    <t xml:space="preserve">Wave 2: The other fit-5 national channels, all faceless or staffable by a hired rep: PTO Today (Vendor Directory + Leader Lowdown ad), IBPA (cooperative ALA display), WECAN (vendor table).</t>
  </si>
  <si>
    <t xml:space="preserve">Wave 3: Fit-5 home-state and regional groups: AIMS (directory), MDAEYC, MLA|DLA, MSFCCA. Time-sensitive: MSFCCA meets Oct 9–10, 2026 (offer a program ad or door prize now).</t>
  </si>
  <si>
    <t xml:space="preserve">Wave 4: Fit-4 national groups, faceless channels first: marketplaces and directories (Mackin, JLG, ClassWallet, Odyssey, National Microschooling Center), then ads and written articles (Exchange Press, AASL, AMS, AELL), then exhibits with a hired rep (NAEYC, NHSA, AMS, NAIS, Great Homeschool Conventions, HEAV).</t>
  </si>
  <si>
    <t xml:space="preserve">Wave 5: Fit-3 and lower, then International. International rows wait until a localized edition exists (UK/EYFS, Irish, Canadian/French, Australian/EYLF, NZ/Te Whāriki, Spanish) and tax setup is handled (a merchant of record usually covers VAT/GST). PACEY is the first international target.</t>
  </si>
  <si>
    <t xml:space="preserve">Faceless reach only</t>
  </si>
  <si>
    <t xml:space="preserve">The founder never appears on camera, presents, runs a webinar or staffs a booth. Use: exhibits and tables staffed by a hired rep, sponsorships, newsletter/magazine/program ads, vendor directories and marketplaces, member-discount and partner programs, resource-page listings, written guest articles (a written byline is fine), review submissions, and mailed or emailed outreach.</t>
  </si>
  <si>
    <t xml:space="preserve">Where an event is driven by presenters (e.g., webinar series), sponsor someone else's session instead of presenting.</t>
  </si>
  <si>
    <t xml:space="preserve">Brand rules for every contact</t>
  </si>
  <si>
    <t xml:space="preserve">No health, developmental, language-outcome or wellbeing claims. Keep copy to talk, touch, play and paper, and family connection.</t>
  </si>
  <si>
    <t xml:space="preserve">Never name or criticize any school, district, company or EdTech product, including in groups that do (e.g., advocacy groups). Stay neutral on policy.</t>
  </si>
  <si>
    <t xml:space="preserve">Never use another organization's marks or imply endorsement without written permission (e.g., "PTA", "Screen-Free Week", "1000 Books Before Kindergarten", "AMI", "The Anxious Generation").</t>
  </si>
  <si>
    <t xml:space="preserve">Home-visiting, early-intervention and counseling audiences: say plainly that the products are general play materials, not a therapy or intervention.</t>
  </si>
  <si>
    <t xml:space="preserve">How this was verified</t>
  </si>
  <si>
    <t xml:space="preserve">Live web research was unavailable for the verification passes: the session's web-search budget was used up (200 of 200) and the egress proxy blocked direct page fetches. Each list was checked against search results captured earlier in the session and for internal consistency (dates, weekdays, attribution). The early-childhood list marks Confirmed = Y when the organization and domain are well established and the claim was seen on the official domain; the K–12 and parent lists mark Y only when captured results show both the official site and the reach method; nothing in the International list could be checked live, so all International rows are N.</t>
  </si>
  <si>
    <t xml:space="preserve">On September 28, 2026 every URL's domain was also resolved by DNS: 223 of 225 domains resolved. The two that did not are flagged in Notes: cccvic.org.au (replaced with cccinc.org.au, to be verified) and canadianhomeandschool.ca (use qfhsa.org instead).</t>
  </si>
  <si>
    <t xml:space="preserve">Dates listed as "typically" or "est." come from past years. Re-check any date, price or deadline before paying.</t>
  </si>
  <si>
    <t xml:space="preserve">Exclusions</t>
  </si>
  <si>
    <t xml:space="preserve">Never contact or list the organizations on the Excluded tab. The mandatory exclusions are marked "Excluded — pending matters; ask employment counsel before any contact". The tab also lists near-exclusion skips, EdTech mission conflicts, clinical and licensure bodies, and monitor-only advocacy groups, each with the reason.</t>
  </si>
  <si>
    <t xml:space="preserve">Fit</t>
  </si>
  <si>
    <t xml:space="preserve">Name</t>
  </si>
  <si>
    <t xml:space="preserve">Type</t>
  </si>
  <si>
    <t xml:space="preserve">Scope</t>
  </si>
  <si>
    <t xml:space="preserve">Members/Reach</t>
  </si>
  <si>
    <t xml:space="preserve">Who they are</t>
  </si>
  <si>
    <t xml:space="preserve">Lead offer</t>
  </si>
  <si>
    <t xml:space="preserve">How to reach</t>
  </si>
  <si>
    <t xml:space="preserve">Cost</t>
  </si>
  <si>
    <t xml:space="preserve">Next dates</t>
  </si>
  <si>
    <t xml:space="preserve">URL</t>
  </si>
  <si>
    <t xml:space="preserve">Confirmed (Y/N)</t>
  </si>
  <si>
    <t xml:space="preserve">Notes</t>
  </si>
  <si>
    <t xml:space="preserve">Status</t>
  </si>
  <si>
    <t xml:space="preserve">Next step</t>
  </si>
  <si>
    <t xml:space="preserve">Date</t>
  </si>
  <si>
    <t xml:space="preserve">NAEYC Affiliate Network (state and local AEYCs)</t>
  </si>
  <si>
    <t xml:space="preserve">network</t>
  </si>
  <si>
    <t xml:space="preserve">national (state and local affiliates in nearly every state)</t>
  </si>
  <si>
    <t xml:space="preserve">About 50 state affiliates plus local chapters; each runs conferences, PD and newsletters</t>
  </si>
  <si>
    <t xml:space="preserve">NAEYC's nonprofit state and local affiliates, which run conferences, PD communities and advocacy</t>
  </si>
  <si>
    <t xml:space="preserve">Classroom Pack site licenses; host-it-yourself workshop kits for chapter meetings; fundraiser program for chapters</t>
  </si>
  <si>
    <t xml:space="preserve">exhibit at state conferences, sponsor, newsletter ad, member discount</t>
  </si>
  <si>
    <t xml:space="preserve">Varies by affiliate. State-conference vendor tables are often a few hundred dollars (estimate; confirm with each affiliate).</t>
  </si>
  <si>
    <t xml:space="preserve">Rolling. Use the NAEYC Affiliate Event Calendar.</t>
  </si>
  <si>
    <t xml:space="preserve">https://www.naeyc.org/get-involved/membership/affiliates/network</t>
  </si>
  <si>
    <t xml:space="preserve">Y</t>
  </si>
  <si>
    <t xml:space="preserve">[Early Childhood] HOW TO FIND ALL: the Network of Affiliates page (pick a state), the Affiliate Event Calendar, the member-only Affiliate Directory, or NAEYC Customer Care at 800-424-2460. This is likely the cheapest, highest-return exhibit channel in the category. Skip any chapter event held in, or co-hosted with, MCPS.</t>
  </si>
  <si>
    <t xml:space="preserve">Not started</t>
  </si>
  <si>
    <t xml:space="preserve">Use NAEYC's Affiliate Event Calendar to list 2026–27 state conferences; request vendor-table and newsletter-ad rates from MD, DC, VA, PA and DE first.</t>
  </si>
  <si>
    <t xml:space="preserve">National Association for Family Child Care (NAFCC)</t>
  </si>
  <si>
    <t xml:space="preserve">association / conference</t>
  </si>
  <si>
    <t xml:space="preserve">national (with state FCC association affiliates)</t>
  </si>
  <si>
    <t xml:space="preserve">Annual conference of 1,300+ family child care educators; conference promotion reaches 30,000+ contacts (first-pass snippet)</t>
  </si>
  <si>
    <t xml:space="preserve">National association for home-based (family) child care providers and small-business owners</t>
  </si>
  <si>
    <t xml:space="preserve">Printable family bundles 0-5; talk-along board books; card deck; 100-activity play guide (mixed-age home settings)</t>
  </si>
  <si>
    <t xml:space="preserve">exhibit, sponsor, partner/affiliate (customized partnership), member discount</t>
  </si>
  <si>
    <t xml:space="preserve">Not published. Email conference@nafcc.org (Development Team).</t>
  </si>
  <si>
    <t xml:space="preserve">2026 held Jul 16-18, Chicago/Rosemont. 2027: Jul 15-17, 2027, Jacksonville FL. There is also a regional conference (nafcc.org/regional-conference); dates not sourced.</t>
  </si>
  <si>
    <t xml:space="preserve">https://nafcc.org/conference/sponsors-and-exhibitors/</t>
  </si>
  <si>
    <t xml:space="preserve">[Early Childhood] Home-based providers buy their own materials, so this is a strong buyer fit. State FCC associations are listed through NAFCC. Montgomery County's family child care provider association is private and not excluded, but avoid any DHHS-run training tie-ins.</t>
  </si>
  <si>
    <t xml:space="preserve">Email conference@nafcc.org for the Jul 15–17, 2027 Jacksonville sponsor/exhibitor package and propose a member-discount partnership.</t>
  </si>
  <si>
    <t xml:space="preserve">Independent Book Publishers Association (IBPA): cooperative library displays and ad programs</t>
  </si>
  <si>
    <t xml:space="preserve">national</t>
  </si>
  <si>
    <t xml:space="preserve">Independent publishers. IBPA's cooperative booth puts member titles in front of ALA Annual attendees.</t>
  </si>
  <si>
    <t xml:space="preserve">Trade association for independent publishers. Runs cooperative book displays at library and trade shows and member ad programs with School Library Journal and Library Journal.</t>
  </si>
  <si>
    <t xml:space="preserve">Library-binding picture books and talk-along board books</t>
  </si>
  <si>
    <t xml:space="preserve">exhibit (cooperative display), member discount, newsletter ad (SLJ/LJ member ad program)</t>
  </si>
  <si>
    <t xml:space="preserve">Membership starts at about $155 a year. ALA Annual 2027 full-shelf display: $725 per shelf for members (register by May 21, 2027; materials due May 26, 2027). In 2026 a single-title display cost $199 and a premium single-title display $249; both sold out. SLJ ad-program rates are at ibpa-online.org/page/SchoolLibraryJournal and were not in search results.</t>
  </si>
  <si>
    <t xml:space="preserve">ALA Annual 2027 cooperative booth, June 25–28, 2027, New Orleans</t>
  </si>
  <si>
    <t xml:space="preserve">https://www.ibpa-online.org</t>
  </si>
  <si>
    <t xml:space="preserve">[K–12] IBPA staffs the booth, making this the cheapest faceless way into the ALA exhibit hall. The 2026 single-title spots sold out, so register as soon as the 2027 spots open.</t>
  </si>
  <si>
    <t xml:space="preserve">Join IBPA (about $155/yr) and reserve an ALA Annual 2027 full-shelf display ($725 member) as soon as 2027 spots open (the 2026 single-title spots sold out).</t>
  </si>
  <si>
    <t xml:space="preserve">PTO Today (School Family Media): magazine, website, Leader Lowdown email, Vendor Directory, Expos</t>
  </si>
  <si>
    <t xml:space="preserve">publication / directory / conference</t>
  </si>
  <si>
    <t xml:space="preserve">national (US)</t>
  </si>
  <si>
    <t xml:space="preserve">By the company's own figures (from earlier search results): the magazine is mailed to 84,000+ K–8 school parent groups; ptotoday.com gets ~180,000 unique PTO/PTA-leader visitors a month (220,000+ at back-to-school); the Leader Lowdown email goes to 55,000+ opt-in subscribers; the Vendor Directory is promoted to 40,000+ weekly-newsletter subscribers</t>
  </si>
  <si>
    <t xml:space="preserve">For-profit media company (School Family Media) built to sell to PTO/PTA leaders. It sells print and digital ads, sponsored content, a vendor directory, sampling, and one-day regional PTO Today Expos.</t>
  </si>
  <si>
    <t xml:space="preserve">Group fundraiser program + host-it-yourself family play-night workshop kits; a research brief as a sponsored-content download</t>
  </si>
  <si>
    <t xml:space="preserve">vendor directory, newsletter ad (including 'sponsor takeover' issues of Leader Lowdown), sponsored content/guest article, magazine ad, exhibit (Expo)</t>
  </si>
  <si>
    <t xml:space="preserve">Expo prices from the 2023–24 sell sheets (dated): standard booth $995, premium corner $1,195, double $1,490, double premium $2,300, A&amp;E/nonprofit tabletop $300. Sponsorship: $6,000 national (both events), $3,500 per local event, $2,750 remote. Magazine, banner, newsletter and directory rates are on rate cards at schoolfamilymedia.com (not captured). Re-check 2027 prices.</t>
  </si>
  <si>
    <t xml:space="preserve">Fall 2026 Expos: Secaucus, NJ (Sep 30, 2026) and Oaks, PA (Oct 7, 2026), probably too soon to book. The spring 2026 run was Feb 25–Apr 15 (Novi MI, Mesquite TX, Conroe TX, Edison NJ, Oakbrook Terrace IL, Marlborough MA). Expect a similar spring 2027 run (not yet announced). Ads and directory listings run year-round, with peak traffic at back-to-school (Jul–Sep 2027).</t>
  </si>
  <si>
    <t xml:space="preserve">https://www.ptotoday.com</t>
  </si>
  <si>
    <t xml:space="preserve">[Parents + K–12] Confirmed from earlier search results that cite ptotoday.com and schoolfamilymedia.com pages; DNS is live (AWS). This is the best faceless channel in the category: a paid, for-profit route to exactly the parent-group buyers of the fundraiser and workshop kits. Start with the Vendor Directory and a Leader Lowdown ad, and add a booth only once the ads prove out. Expo booths are sold at clientstore.ptotoday.com, and the Expo team is at expolive@ptotoday.com. || From the K–12 list: The newsletter and vendor directory are the most faceless options because nobody has to staff them. A booth needs a hired rep. Booth prices come from older sheets, so treat them as estimates. PTO Today also appears in the parents list; make sure one purchase is not counted in both lists.</t>
  </si>
  <si>
    <t xml:space="preserve">Email jwilliams@ptotoday.com (800-644-3561 x201) for current rate cards; start with a Vendor Directory listing plus one Leader Lowdown ad.</t>
  </si>
  <si>
    <t xml:space="preserve">WECAN – Waldorf Early Childhood Association of North America</t>
  </si>
  <si>
    <t xml:space="preserve">association</t>
  </si>
  <si>
    <t xml:space="preserve">national (North America)</t>
  </si>
  <si>
    <t xml:space="preserve">Waldorf early childhood and kindergarten teachers and programs</t>
  </si>
  <si>
    <t xml:space="preserve">Early-childhood arm of the Waldorf movement; strongly play-based and low-media</t>
  </si>
  <si>
    <t xml:space="preserve">Board books + 100-activity play guide + card deck + family bundles</t>
  </si>
  <si>
    <t xml:space="preserve">exhibit (vendor table)</t>
  </si>
  <si>
    <t xml:space="preserve">Vendor fees not published. Contact conference@waldorfearlychildhood.org.</t>
  </si>
  <si>
    <t xml:space="preserve">2027 Early Childhood Educators Conference, Mar 19–21, 2027, Green Meadow Waldorf School / Threefold campus, Chestnut Ridge (Spring Valley) NY; online portion from Apr 3, 2027. Pacific Northwest regional conference Feb 13–14, 2027, Milwaukie OR.</t>
  </si>
  <si>
    <t xml:space="preserve">https://waldorfearlychildhood.org</t>
  </si>
  <si>
    <t xml:space="preserve">[K–12 + Early Childhood] The conference page confirms 'a variety of vendors.' The audience's values closely match the brand. Keep the pitch to talk and play and do not critique other approaches. Newsletter ads were not confirmed, so they have been removed from the reach methods. || From the Early Childhood list: Strongest philosophical match on screens. Waldorf kindergartens lean toward oral storytelling over picture books, so lead with the play guide and parent-facing family bundles. Check vendor policies; some Waldorf events limit commercial exhibits.</t>
  </si>
  <si>
    <t xml:space="preserve">Email conference@waldorfearlychildhood.org about a vendor table and vendor policy for Mar 19–21, 2027 (Chestnut Ridge NY); lead with the play guide and family bundles.</t>
  </si>
  <si>
    <t xml:space="preserve">PACEY (Professional Association for Childcare and Early Years)</t>
  </si>
  <si>
    <t xml:space="preserve">international (UK - England &amp; Wales)</t>
  </si>
  <si>
    <t xml:space="preserve">Childminders, nannies and nursery practitioners; historically cited at 20,000+ members (verify current figure)</t>
  </si>
  <si>
    <t xml:space="preserve">Membership charity for home-based childcare and early years practitioners in England and Wales. It was formerly the National Childminding Association and was renamed in 2013. It publishes a member magazine and runs member offers.</t>
  </si>
  <si>
    <t xml:space="preserve">Printable family bundle (0-5) re-edited for EYFS, the 100-activity play guide and the card deck. The host-it-yourself workshop kit suits childminding networks.</t>
  </si>
  <si>
    <t xml:space="preserve">member discount / partner benefit, magazine/newsletter ad, written guest article</t>
  </si>
  <si>
    <t xml:space="preserve">Not verified. Request the advertising media kit and partner-benefit terms.</t>
  </si>
  <si>
    <t xml:space="preserve">Not verified; ad placements are rolling</t>
  </si>
  <si>
    <t xml:space="preserve">https://www.pacey.org.uk</t>
  </si>
  <si>
    <t xml:space="preserve">N</t>
  </si>
  <si>
    <t xml:space="preserve">[International] Childminders buy their own resources, so this is the closest audience match abroad. Ads and member offers need no staff. Not verified whether PACEY takes overseas advertisers or partners; ask. UK VAT applies to digital sales to UK consumers. Needs a UK/EYFS edition and no health claims. Confirm the organisation's current status before paying, because UK early-years charities have been under funding pressure.</t>
  </si>
  <si>
    <t xml:space="preserve">Open pacey.org.uk to confirm current status, then request the media kit and partner-benefit terms and ask whether overseas partners are accepted.</t>
  </si>
  <si>
    <t xml:space="preserve">Association of Independent Maryland &amp; DC Schools (AIMS)</t>
  </si>
  <si>
    <t xml:space="preserve">state/regional (Maryland &amp; DC)</t>
  </si>
  <si>
    <t xml:space="preserve">Independent schools in Maryland and DC</t>
  </si>
  <si>
    <t xml:space="preserve">Accrediting and membership association for independent schools in MD/DC</t>
  </si>
  <si>
    <t xml:space="preserve">Classroom pack site licenses + parent-education workshop kits + research briefs</t>
  </si>
  <si>
    <t xml:space="preserve">vendor directory (AIMS Business Directory), partner program (Business Partners)</t>
  </si>
  <si>
    <t xml:space="preserve">Pricing on request. Business Directory listings and Business Partner spots for 2026–27 are open.</t>
  </si>
  <si>
    <t xml:space="preserve">2026–27 enrollment open now</t>
  </si>
  <si>
    <t xml:space="preserve">https://www.aimsmddc.org</t>
  </si>
  <si>
    <t xml:space="preserve">[K–12] Gives year-round, faceless reach with no event to staff. Member schools use the directory to find vendors. These are independent schools, not MCPS.</t>
  </si>
  <si>
    <t xml:space="preserve">Request 2026–27 Business Directory and Business Partner pricing (enrollment is open now).</t>
  </si>
  <si>
    <t xml:space="preserve">Maryland Association for the Education of Young Children (MDAEYC)</t>
  </si>
  <si>
    <t xml:space="preserve">state (Maryland)</t>
  </si>
  <si>
    <t xml:space="preserve">Represents 1,700+ Maryland early childhood educators and families (first-pass snippet)</t>
  </si>
  <si>
    <t xml:space="preserve">Maryland's NAEYC state affiliate, with local chapters</t>
  </si>
  <si>
    <t xml:space="preserve">Classroom Pack + talk-along board books; workshop kits for chapter PD nights</t>
  </si>
  <si>
    <t xml:space="preserve">exhibit/sponsor at state events, newsletter ad, member discount, guest article</t>
  </si>
  <si>
    <t xml:space="preserve">Not published. Email info@mdaeyc.org.</t>
  </si>
  <si>
    <t xml:space="preserve">Not found. Ask about 2027 conference and events.</t>
  </si>
  <si>
    <t xml:space="preserve">https://mdaeyc.org/</t>
  </si>
  <si>
    <t xml:space="preserve">[Early Childhood] Home-state partner. Keep outreach statewide and generic. Do not reference Montgomery County public-school programs, and skip any chapter event hosted at or with MCPS.</t>
  </si>
  <si>
    <t xml:space="preserve">Email info@mdaeyc.org about 2027 conference vendor space, newsletter ads and a member discount; keep the pitch statewide.</t>
  </si>
  <si>
    <t xml:space="preserve">Maryland Library Association (MLA | DLA joint conference)</t>
  </si>
  <si>
    <t xml:space="preserve">state (Maryland, joint with Delaware)</t>
  </si>
  <si>
    <t xml:space="preserve">Public, school and academic library staff in MD/DE, including children's and youth services librarians</t>
  </si>
  <si>
    <t xml:space="preserve">State library association that runs the annual MLA|DLA conference and exhibit hall</t>
  </si>
  <si>
    <t xml:space="preserve">Library-binding picture books + host-it-yourself workshop kits for library family programs</t>
  </si>
  <si>
    <t xml:space="preserve">exhibit, sponsor</t>
  </si>
  <si>
    <t xml:space="preserve">Exhibitor registration page at mdlib.org/annual-conference/exhibitors. Rates not in search results.</t>
  </si>
  <si>
    <t xml:space="preserve">2026 conference was May 6–8, 2026, Hyatt Regency Chesapeake Bay, Cambridge MD. 2027 dates not yet published; it is usually held in May.</t>
  </si>
  <si>
    <t xml:space="preserve">https://www.mdlib.org</t>
  </si>
  <si>
    <t xml:space="preserve">[K–12] The workshop kits fit public-library storytime and family programs. County library systems, including Montgomery County Public Libraries (a county library, not MCPS or DHHS), buy through this community. 'Resource listing' was not confirmed and has been removed from the reach methods.</t>
  </si>
  <si>
    <t xml:space="preserve">Ask to be added to the 2027 exhibitor list at mdlib.org/annual-conference/exhibitors (the conference is usually in May).</t>
  </si>
  <si>
    <t xml:space="preserve">Maryland State Family Child Care Association (MSFCCA)</t>
  </si>
  <si>
    <t xml:space="preserve">Maryland family child care providers statewide, with county associations</t>
  </si>
  <si>
    <t xml:space="preserve">Maryland's family child care association; annual conference in Ocean City</t>
  </si>
  <si>
    <t xml:space="preserve">Family bundles 0-5; board books; play guide; card deck</t>
  </si>
  <si>
    <t xml:space="preserve">exhibit (vendor table), sponsor, member discount, newsletter ad</t>
  </si>
  <si>
    <t xml:space="preserve">Not published. Contact via msfcca.org.</t>
  </si>
  <si>
    <t xml:space="preserve">33rd Annual Conference, Oct 9-10, 2026, Princess Royale Oceanfront Hotel, Ocean City MD (about 11 days out). 2027 TBA.</t>
  </si>
  <si>
    <t xml:space="preserve">https://www.msfcca.org/annualconference</t>
  </si>
  <si>
    <t xml:space="preserve">[Early Childhood] Home-state, small-provider audience, likely a low-cost table. Vendor space for Oct 2026 is probably closed. Ask about a program ad or door-prize donation now, and book a table for 2027.</t>
  </si>
  <si>
    <t xml:space="preserve">Contact now, before the Oct 9–10, 2026 Ocean City conference: offer a program ad or door-prize donation, and reserve a 2027 vendor table.</t>
  </si>
  <si>
    <t xml:space="preserve">Parents as Teachers National Center - International Conference</t>
  </si>
  <si>
    <t xml:space="preserve">network / conference</t>
  </si>
  <si>
    <t xml:space="preserve">national / international</t>
  </si>
  <si>
    <t xml:space="preserve">About 2,500 home-visiting professionals expected at the 2026 conference; large affiliate network</t>
  </si>
  <si>
    <t xml:space="preserve">Evidence-based home-visiting model network (parent educators, not a nurse model)</t>
  </si>
  <si>
    <t xml:space="preserve">Talk-along board books; family bundle 0-5; card deck (parent-educator handouts)</t>
  </si>
  <si>
    <t xml:space="preserve">exhibit, sponsor, partner/affiliate (affiliate outreach)</t>
  </si>
  <si>
    <t xml:space="preserve">Not published. See parentsasteachersconference.org.</t>
  </si>
  <si>
    <t xml:space="preserve">2026 International Conference Oct 5-8, 2026, Portland OR. This is NEXT WEEK (the first pass wrongly said 'held'), so it is too late to exhibit. 2027 TBA.</t>
  </si>
  <si>
    <t xml:space="preserve">https://parentsasteachers.org/upcoming-events/</t>
  </si>
  <si>
    <t xml:space="preserve">[Early Childhood] Parent educators hand materials to families at home, a direct fit for the talk/touch/play message. Target 2027 exhibit/sponsor and state PAT affiliate offices.</t>
  </si>
  <si>
    <t xml:space="preserve">Ask for 2027 International Conference exhibitor/sponsor info (Oct 5–8, 2026 is too close) and how to reach state PAT affiliate offices.</t>
  </si>
  <si>
    <t xml:space="preserve">State &amp; Regional Head Start Associations (NHSA network)</t>
  </si>
  <si>
    <t xml:space="preserve">national (state associations + regional associations aligned to Office of Head Start regions)</t>
  </si>
  <si>
    <t xml:space="preserve">Nearly every state plus regional associations</t>
  </si>
  <si>
    <t xml:space="preserve">State and regional Head Start associations that run training conferences, many with exhibit halls</t>
  </si>
  <si>
    <t xml:space="preserve">Classroom Pack; board books; parent family bundles</t>
  </si>
  <si>
    <t xml:space="preserve">exhibit at state/regional conferences, sponsor</t>
  </si>
  <si>
    <t xml:space="preserve">Varies. Regional exhibit fees are usually lower than national (estimate).</t>
  </si>
  <si>
    <t xml:space="preserve">Rolling. Check each state or regional site.</t>
  </si>
  <si>
    <t xml:space="preserve">https://nhsa.org/our-work/state-regional-associations/</t>
  </si>
  <si>
    <t xml:space="preserve">[Early Childhood] HOW TO FIND ALL: NHSA's State &amp; Regional Associations page. Region III (MD/DC/VA/PA/DE/WV) is the home region; the Virginia Head Start Association (headstartva.org) runs an annual training conference. Region IV's association is known for large conferences. Exclude Montgomery County (MD) Head Start from any member-list outreach.</t>
  </si>
  <si>
    <t xml:space="preserve">From NHSA's State &amp; Regional page, list the Region III associations (e.g., Virginia Head Start Association) and request 2027 exhibitor info; never solicit Montgomery County Head Start.</t>
  </si>
  <si>
    <t xml:space="preserve">1000 Books Before Kindergarten Foundation</t>
  </si>
  <si>
    <t xml:space="preserve">network / advocacy group</t>
  </si>
  <si>
    <t xml:space="preserve">national (US and Canada)</t>
  </si>
  <si>
    <t xml:space="preserve">Hundreds of libraries and other organizations run the 1000 Books Before Kindergarten challenge (per the foundation)</t>
  </si>
  <si>
    <t xml:space="preserve">Nevada 501(c)(3), founded in 2013, that promotes reading with newborns, infants and toddlers. It has corporate partners: Upstart (posters, bookmarks, reading records, incentives) and WAYB, a car-seat maker.</t>
  </si>
  <si>
    <t xml:space="preserve">Talk-along board books; a co-branded printable reading log or incentive using the brand's own art</t>
  </si>
  <si>
    <t xml:space="preserve">partner program (corporate partnership inquiry), resource listing</t>
  </si>
  <si>
    <t xml:space="preserve">Not verified (partnership terms unknown)</t>
  </si>
  <si>
    <t xml:space="preserve">Rolling</t>
  </si>
  <si>
    <t xml:space="preserve">https://1000booksbeforekindergarten.org</t>
  </si>
  <si>
    <t xml:space="preserve">[Parents] New addition. Confirmed from earlier search results citing the foundation's own partnership announcements (Upstart, WAYB), which show it accepts for-profit partners. '1000 Books Before Kindergarten' is a registered trademark: use it only with written permission and never in ads. It overlaps the library list, so dedupe there.</t>
  </si>
  <si>
    <t xml:space="preserve">Send a corporate partnership inquiry proposing a co-branded reading log; get written permission before using the trademarked name.</t>
  </si>
  <si>
    <t xml:space="preserve">American Association of School Librarians (AASL)</t>
  </si>
  <si>
    <t xml:space="preserve">National school librarian association (ALA division); publishes the Knowledge Quest journal</t>
  </si>
  <si>
    <t xml:space="preserve">National school librarian association. Holds a national conference every two years.</t>
  </si>
  <si>
    <t xml:space="preserve">Library-binding picture books + classroom pack</t>
  </si>
  <si>
    <t xml:space="preserve">exhibit, newsletter ad (AASL advertising page)</t>
  </si>
  <si>
    <t xml:space="preserve">2027 exhibit prospectus not found. Ad options are at ala.org/aasl/pubs/advertising (rates not in search results).</t>
  </si>
  <si>
    <t xml:space="preserve">AASL 2027 National Conference, Oct 14–16, 2027, Portland OR</t>
  </si>
  <si>
    <t xml:space="preserve">https://www.ala.org/aasl</t>
  </si>
  <si>
    <t xml:space="preserve">[K–12] The next national conference is a year away, which leaves time to budget. A journal or e-news ad is the faceless option.</t>
  </si>
  <si>
    <t xml:space="preserve">Request ad rates at ala.org/aasl/pubs/advertising and budget for the Portland conference, Oct 14–16, 2027.</t>
  </si>
  <si>
    <t xml:space="preserve">American Montessori Society (AMS) - The Montessori Event + Montessori Life</t>
  </si>
  <si>
    <t xml:space="preserve">association / conference / publication</t>
  </si>
  <si>
    <t xml:space="preserve">Largest US Montessori membership association; The Montessori Event has an exhibit hall; publishes Montessori Life</t>
  </si>
  <si>
    <t xml:space="preserve">US Montessori membership and accrediting association</t>
  </si>
  <si>
    <t xml:space="preserve">Card deck; play guide; library-bound picture books; Classroom Pack</t>
  </si>
  <si>
    <t xml:space="preserve">exhibit, sponsor, newsletter ad (Montessori Life ad)</t>
  </si>
  <si>
    <t xml:space="preserve">Not published. Request the 2027 exhibitor prospectus and Montessori Life media kit.</t>
  </si>
  <si>
    <t xml:space="preserve">The Montessori Event 2027, Mar 11-14, 2027, McCormick Place, Chicago IL</t>
  </si>
  <si>
    <t xml:space="preserve">https://amshq.org/event/the-montessori-event-2027/</t>
  </si>
  <si>
    <t xml:space="preserve">[Early Childhood + K–12] Montessori favors realistic, hands-on materials, so keep product visuals realistic and non-fantasy for this audience. || From the K–12 list: The exhibit hall features Montessori materials, furniture and books. Its hands-on, paper-and-materials culture fits the brand.</t>
  </si>
  <si>
    <t xml:space="preserve">Request The Montessori Event 2027 (Chicago, Mar 11–14) exhibitor prospectus and the Montessori Life media kit.</t>
  </si>
  <si>
    <t xml:space="preserve">Association for Early Learning Leaders (AELL, formerly NACCP)</t>
  </si>
  <si>
    <t xml:space="preserve">Child care center directors and owners</t>
  </si>
  <si>
    <t xml:space="preserve">National association for early learning program administrators</t>
  </si>
  <si>
    <t xml:space="preserve">Classroom Pack site licenses; fundraiser program; workshop kits for staff PD</t>
  </si>
  <si>
    <t xml:space="preserve">exhibit, sponsor, newsletter ad (year-round advertising)</t>
  </si>
  <si>
    <t xml:space="preserve">Booth rate is in the prospectus (not shown). A booth includes 2 registrations; an extra exhibitor registration is $349. Contact Aryam Andom, 512-316-3817.</t>
  </si>
  <si>
    <t xml:space="preserve">43rd Annual National Conference, Apr 7-10, 2027, Nashville TN</t>
  </si>
  <si>
    <t xml:space="preserve">https://www.earlylearningleaders.org/vendor/conference-exhibits-and-sponsorships/</t>
  </si>
  <si>
    <t xml:space="preserve">[Early Childhood] Directors are the buyers for site licenses. Year-round ads: earlylearningleaders.org/vendor/advertising-opportunities/.</t>
  </si>
  <si>
    <t xml:space="preserve">Call Aryam Andom (512-316-3817) for the Apr 7–10, 2027 Nashville prospectus and year-round ad rates.</t>
  </si>
  <si>
    <t xml:space="preserve">Association for Library Service to Children (ALSC)</t>
  </si>
  <si>
    <t xml:space="preserve">Children's librarians; the National Institute has about 300 attendees</t>
  </si>
  <si>
    <t xml:space="preserve">ALA division for library service to children</t>
  </si>
  <si>
    <t xml:space="preserve">Talk-along board books + library workshop kits</t>
  </si>
  <si>
    <t xml:space="preserve">sponsor, exhibit (National Institute)</t>
  </si>
  <si>
    <t xml:space="preserve">Corporate sponsorship tiers on request. Contact Sarah Polen, spolen@ala.org, 312-280-4026.</t>
  </si>
  <si>
    <t xml:space="preserve">National Institute exhibitor information is due 'later in 2026.' One listing places the next Institute in Buffalo NY; dates not confirmed.</t>
  </si>
  <si>
    <t xml:space="preserve">https://www.ala.org/alsc</t>
  </si>
  <si>
    <t xml:space="preserve">[K–12] The earlier claim of 'affordable sponsorships' was not supported, since prices are on request. 'Resource listing' was not confirmed and has been removed. The focus on early literacy fits the brand.</t>
  </si>
  <si>
    <t xml:space="preserve">Email Sarah Polen (spolen@ala.org) for sponsorship tiers and National Institute exhibitor information.</t>
  </si>
  <si>
    <t xml:space="preserve">Association for Nature-Based Education (ANBE, formerly ERAFANS)</t>
  </si>
  <si>
    <t xml:space="preserve">national (based in Glen Arm, MD)</t>
  </si>
  <si>
    <t xml:space="preserve">Serves thousands of nature-based educators across the US (first-pass snippet)</t>
  </si>
  <si>
    <t xml:space="preserve">Nonprofit for forest/nature schools, nature preschools and farm schools; runs teacher trainings and retreats</t>
  </si>
  <si>
    <t xml:space="preserve">Play guide; card deck; workshop kits</t>
  </si>
  <si>
    <t xml:space="preserve">member discount, sponsor (trainings), resource listing</t>
  </si>
  <si>
    <t xml:space="preserve">Not published</t>
  </si>
  <si>
    <t xml:space="preserve">Rolling live trainings and retreats (spring 2026 events held)</t>
  </si>
  <si>
    <t xml:space="preserve">https://www.erafans.org/</t>
  </si>
  <si>
    <t xml:space="preserve">[Early Childhood] Maryland-based, a natural local partner. After the rebrand the org may use a new primary domain; confirm erafans.org still resolves to the current site before printing it.</t>
  </si>
  <si>
    <t xml:space="preserve">Confirm the post-rebrand domain (erafans.org), then email a member-discount and resource-listing inquiry.</t>
  </si>
  <si>
    <t xml:space="preserve">ClassWallet (Arizona ESA Marketplace; also NC ESA+)</t>
  </si>
  <si>
    <t xml:space="preserve">directory</t>
  </si>
  <si>
    <t xml:space="preserve">multi-state (US)</t>
  </si>
  <si>
    <t xml:space="preserve">Arizona Empowerment Scholarship Account families (and other ClassWallet ESA states), who shop pre-approved vendors in the ClassWallet Marketplace</t>
  </si>
  <si>
    <t xml:space="preserve">Payment and marketplace platform for state ESA programs.</t>
  </si>
  <si>
    <t xml:space="preserve">Books, play guide, bundles, card deck, course (under 'curriculum &amp; instructional materials')</t>
  </si>
  <si>
    <t xml:space="preserve">vendor directory (ESA vendor registration with ClassWallet)</t>
  </si>
  <si>
    <t xml:space="preserve">Not verified (registration believed free)</t>
  </si>
  <si>
    <t xml:space="preserve">Rolling (vendors register year-round)</t>
  </si>
  <si>
    <t xml:space="preserve">https://classwallet.com</t>
  </si>
  <si>
    <t xml:space="preserve">[Parents] New addition. Confirmed from earlier search results citing azed.gov's ClassWallet page and classwallet.com/arizona-esa: vendors register and verify credentials, and approved categories include curriculum and instructional materials. May duplicate a K-12 or procurement list, so dedupe there.</t>
  </si>
  <si>
    <t xml:space="preserve">Register as an Arizona ESA vendor on ClassWallet under curriculum &amp; instructional materials; follow eligible-expense rules exactly.</t>
  </si>
  <si>
    <t xml:space="preserve">Exchange Press (Exchange magazine, ExchangeEveryDay newsletter, Exchange Leadership hub)</t>
  </si>
  <si>
    <t xml:space="preserve">publication</t>
  </si>
  <si>
    <t xml:space="preserve">international</t>
  </si>
  <si>
    <t xml:space="preserve">Long-running leadership magazine for ECE directors (since 1978) plus a widely read daily e-newsletter</t>
  </si>
  <si>
    <t xml:space="preserve">Publisher of Exchange magazine, books and training for early childhood leaders</t>
  </si>
  <si>
    <t xml:space="preserve">Classroom Pack site licenses; research briefs</t>
  </si>
  <si>
    <t xml:space="preserve">newsletter ad (magazine and ExchangeEveryDay), guest article</t>
  </si>
  <si>
    <t xml:space="preserve">Not published. Request the media kit: 800-221-2864, info@ChildCareExchange.com.</t>
  </si>
  <si>
    <t xml:space="preserve">Rolling editorial calendar</t>
  </si>
  <si>
    <t xml:space="preserve">https://exchangepress.com/</t>
  </si>
  <si>
    <t xml:space="preserve">[Early Childhood] Fit raised from 3: print and newsletter ads plus written practitioner articles are fully faceless and reach the directors who buy site licenses.</t>
  </si>
  <si>
    <t xml:space="preserve">Request the media kit (info@ChildCareExchange.com, 800-221-2864) and pitch a written practitioner article.</t>
  </si>
  <si>
    <t xml:space="preserve">Great Homeschool Conventions</t>
  </si>
  <si>
    <t xml:space="preserve">conference</t>
  </si>
  <si>
    <t xml:space="preserve">national (US, five regional conventions)</t>
  </si>
  <si>
    <t xml:space="preserve">Five 2027 conventions, in the Southeast (SC), Missouri, Ohio, California and Texas, each with a large exhibit hall (attendance per city not captured)</t>
  </si>
  <si>
    <t xml:space="preserve">Homeschool convention series run by USA Home Education Association Inc. (USAHEA/GHC).</t>
  </si>
  <si>
    <t xml:space="preserve">Picture books, board books, 100-activity play guide, card deck, 5–12 bundle, written course</t>
  </si>
  <si>
    <t xml:space="preserve">exhibit (sponsorship and program ads not verified)</t>
  </si>
  <si>
    <t xml:space="preserve">Not published; ask through the exhibitor contact at greathomeschoolconventions.com/exhibitors. An inline booth is 10x10 in SC/OH/CA and 8x10 in MO/TX and includes a table, chair and sign; an endcap is two inline booths. Est. $1,000–$3,000 per booth per city (not verified).</t>
  </si>
  <si>
    <t xml:space="preserve">2027 season in five cities; exact dates not captured (historically Feb–Jun).</t>
  </si>
  <si>
    <t xml:space="preserve">https://greathomeschoolconventions.com</t>
  </si>
  <si>
    <t xml:space="preserve">[Parents] Confirmed from earlier search results citing the official Exhibitors, Rules and Regulations and state-update pages. Lowered from 5 because each city needs a staffed booth, travel and stock. Test a single city first (Ohio or SC are closest to Maryland).</t>
  </si>
  <si>
    <t xml:space="preserve">Request 2027 booth pricing via greathomeschoolconventions.com/exhibitors and test one city (Ohio or SC) with a hired rep.</t>
  </si>
  <si>
    <t xml:space="preserve">Junior Library Guild (JLG)</t>
  </si>
  <si>
    <t xml:space="preserve">Subscribing school and public libraries nationwide; 70+ 'Gold Standard' selection categories</t>
  </si>
  <si>
    <t xml:space="preserve">Library book-selection service that buys selected new titles for member libraries. Part of Media Source Inc. with School Library Journal, Library Journal and The Horn Book.</t>
  </si>
  <si>
    <t xml:space="preserve">Talk-along board books and picture books</t>
  </si>
  <si>
    <t xml:space="preserve">resource listing (publisher submission for JLG selection)</t>
  </si>
  <si>
    <t xml:space="preserve">Free to submit, with no guarantee of selection. Book club and book fair rights are required.</t>
  </si>
  <si>
    <t xml:space="preserve">Rolling. Submit 4–6 months before publication: at least 3 months before the pub date and 1 month before the first print run. Submissions go through the MSI portal, which also takes SLJ and Horn Book review copies.</t>
  </si>
  <si>
    <t xml:space="preserve">https://www.juniorlibraryguild.com/publishers</t>
  </si>
  <si>
    <t xml:space="preserve">[K–12] ADDED during this check. A JLG selection is a strong signal to school librarians and can bring a bulk order. Set the next title's release date to allow for the lead time.</t>
  </si>
  <si>
    <t xml:space="preserve">Submit the next title through the MSI portal 4–6 months before its publication date.</t>
  </si>
  <si>
    <t xml:space="preserve">Local Child Care Resource &amp; Referral (CCR&amp;R) agencies network</t>
  </si>
  <si>
    <t xml:space="preserve">national (about 400 local agencies across all 50 states + DC)</t>
  </si>
  <si>
    <t xml:space="preserve">Each agency serves thousands of licensed providers and families locally</t>
  </si>
  <si>
    <t xml:space="preserve">Local agencies that train providers and refer families to child care (called Early Learning Coalitions in Florida, for example)</t>
  </si>
  <si>
    <t xml:space="preserve">Host-it-yourself workshop kits; family bundles as provider handouts; research briefs</t>
  </si>
  <si>
    <t xml:space="preserve">mailed/emailed outreach, resource listing, partner/affiliate (workshop-kit partnership)</t>
  </si>
  <si>
    <t xml:space="preserve">Free to contact. Kit sales and partnerships are negotiated.</t>
  </si>
  <si>
    <t xml:space="preserve">https://www.childcareaware.org/resources/ccrr-search/</t>
  </si>
  <si>
    <t xml:space="preserve">[Early Childhood] HOW TO FIND ALL: CCAoA's CCR&amp;R search by ZIP (if the path has moved, try /resources/ccrr-search-form/) and the State-by-State Resource Map (childcareaware.org/resources/state-by-state-resource-map/). Some CCR&amp;Rs are county government units; skip the one run by Montgomery County (MD) DHHS.</t>
  </si>
  <si>
    <t xml:space="preserve">Use CCAoA's CCR&amp;R ZIP search to list 20 agencies (skip the Montgomery County DHHS unit) and mail a workshop-kit offer.</t>
  </si>
  <si>
    <t xml:space="preserve">Mackin Educational Resources (Publisher Showcase)</t>
  </si>
  <si>
    <t xml:space="preserve">Works with 60,000+ schools. Offers 4.2 million titles from 18,000+ publishers. Publisher Showcase pages reach 200,000+ Mackin customers.</t>
  </si>
  <si>
    <t xml:space="preserve">Major K–12 library book distributor. Launched MackinPublic for public libraries in Oct 2025 after Baker &amp; Taylor closed.</t>
  </si>
  <si>
    <t xml:space="preserve">Library-binding picture books + talk-along board books</t>
  </si>
  <si>
    <t xml:space="preserve">vendor directory (catalog availability via IngramSpark distribution; paid Publisher Showcase landing page)</t>
  </si>
  <si>
    <t xml:space="preserve">Publisher Showcase is an annual fee; the amount is not published. Catalog availability comes through IngramSpark, which lists Mackin as a distribution partner.</t>
  </si>
  <si>
    <t xml:space="preserve">Ongoing</t>
  </si>
  <si>
    <t xml:space="preserve">https://home.mackin.com/publisher-showcase/</t>
  </si>
  <si>
    <t xml:space="preserve">[K–12] ADDED during this check. Year-round and faceless. School librarians place orders here, so a Showcase page puts the titles where purchase orders are written. Showcase members also get Mackin's TRENDS K–12 purchasing report.</t>
  </si>
  <si>
    <t xml:space="preserve">Confirm IngramSpark distribution reaches Mackin, then request the Publisher Showcase annual fee.</t>
  </si>
  <si>
    <t xml:space="preserve">NAEYC (National Association for the Education of Young Children) - Annual Conference &amp; Expo + publication advertising</t>
  </si>
  <si>
    <t xml:space="preserve">Largest US early-childhood association (about 60,000 members historically); the annual expo draws thousands of ECE educators and directors; also publishes Young Children and Teaching Young Children</t>
  </si>
  <si>
    <t xml:space="preserve">National professional association for birth-to-8 educators. 2026 is its centennial year.</t>
  </si>
  <si>
    <t xml:space="preserve">PreK-5 Screen-Free Classroom Pack + site license; talk-along board books; card deck</t>
  </si>
  <si>
    <t xml:space="preserve">exhibit, sponsor, newsletter ad (Young Children / Teaching Young Children print and digital ads, conference program/app ads)</t>
  </si>
  <si>
    <t xml:space="preserve">Not published. Request the Exhibitor Prospectus and media kit via naeyc.org/events/annual/exhibiting-and-advertising. Contacts from the first pass: Kathleen Lawrence (kathleen_lawrence@afassanoco.com, the outside exhibit-sales firm), Julia Minano (jminano@naeyc.org). Budget several thousand dollars for a 10x10 at a national expo (estimate, not a quote).</t>
  </si>
  <si>
    <t xml:space="preserve">Dec 5-7, 2026, Walter E. Washington Convention Center, Washington DC (per first-pass snippet; not re-opened). Dec 4-7, 2027, Chicago IL. No Professional Learning Institute in 2026.</t>
  </si>
  <si>
    <t xml:space="preserve">https://www.naeyc.org/events/annual/exhibiting-and-advertising</t>
  </si>
  <si>
    <t xml:space="preserve">[Early Childhood] Both dates run Saturday to Monday or Tuesday, a change from NAEYC's usual midweek format. Confirm them before committing. The DC show is about 10 weeks out, so a booth may be sold out; a program or app ad, or Chicago 2027, is more realistic. Magazine ads are fully faceless. A booth can be run by hired staff. Keep messaging positive ('talk, touch, play, paper first'). Do not target MCPS staff at the show.</t>
  </si>
  <si>
    <t xml:space="preserve">Request the exhibitor prospectus and media kit; book a program/app or magazine ad for Dec 2026 and target Chicago (Dec 2027) for any booth.</t>
  </si>
  <si>
    <t xml:space="preserve">NAIS – National Association of Independent Schools (Thrive Annual Conference)</t>
  </si>
  <si>
    <t xml:space="preserve">About 1,600 member independent schools; thousands attend Thrive</t>
  </si>
  <si>
    <t xml:space="preserve">National independent-school association; publishes Independent School magazine</t>
  </si>
  <si>
    <t xml:space="preserve">exhibit ('The Quad'), sponsor</t>
  </si>
  <si>
    <t xml:space="preserve">Booth costs vary by city and the exhibitor kit is pending. Contact sponsorship@nais.org, 202-973-9700.</t>
  </si>
  <si>
    <t xml:space="preserve">NAIS Thrive 2027, March 3–5, 2027, Baltimore MD. Registration opens Oct 2026 (super early bird Oct 15). NAIS Gather, Dec 2–5, 2026, Boston, also has exhibits.</t>
  </si>
  <si>
    <t xml:space="preserve">https://www.nais.org</t>
  </si>
  <si>
    <t xml:space="preserve">[K–12] Held in Baltimore, close to the founder. Magazine advertising was not confirmed in search results, so ask about it.</t>
  </si>
  <si>
    <t xml:space="preserve">Email sponsorship@nais.org for the NAIS Thrive 2027 (Baltimore, Mar 3–5) exhibitor kit before super-early-bird Oct 15; ask about Gather (Dec 2–5, 2026).</t>
  </si>
  <si>
    <t xml:space="preserve">National Association of Elementary School Principals (NAESP)</t>
  </si>
  <si>
    <t xml:space="preserve">National association of PreK–8 principals</t>
  </si>
  <si>
    <t xml:space="preserve">National voice for PreK–8 principals. Runs the National School Leaders Conference (formerly the Pre-K–8 Principals Conference) with an exhibit hall.</t>
  </si>
  <si>
    <t xml:space="preserve">PreK–5 classroom pack site licenses + research briefs + fundraiser program</t>
  </si>
  <si>
    <t xml:space="preserve">2027 booth rates not published; the only prospectus found dates from 2023. Contact Deborah Young, Conferences &amp; Exhibits, 703-518-6296.</t>
  </si>
  <si>
    <t xml:space="preserve">2027 National School Leaders Conference, July 22–24, 2027, Colorado Convention Center, Denver</t>
  </si>
  <si>
    <t xml:space="preserve">https://www.naesp.org</t>
  </si>
  <si>
    <t xml:space="preserve">[K–12] Principal magazine advertising and guest articles were not confirmed, so ask about them before planning around them. A national booth is costly and in person.</t>
  </si>
  <si>
    <t xml:space="preserve">Call Deborah Young (703-518-6296) for 2027 Denver booth rates; ask whether Principal magazine takes ads.</t>
  </si>
  <si>
    <t xml:space="preserve">National Head Start Association (NHSA) - National Head Start Conference &amp; Expo</t>
  </si>
  <si>
    <t xml:space="preserve">National Head Start/Early Head Start network; thousands of attendees and a large expo</t>
  </si>
  <si>
    <t xml:space="preserve">National voice of Head Start programs, staff and families</t>
  </si>
  <si>
    <t xml:space="preserve">Classroom Pack site licenses; talk-along board books (library binding); family bundles for parent engagement</t>
  </si>
  <si>
    <t xml:space="preserve">Not published. Apply, receive an assigned booth, then an emailed invoice; request the prospectus via nhsa.org.</t>
  </si>
  <si>
    <t xml:space="preserve">2027 National Head Start Conference &amp; Expo, May 3-6, 2027, David L. Lawrence Convention Center, Pittsburgh PA</t>
  </si>
  <si>
    <t xml:space="preserve">https://nhsa.org/conference/national-head-start-conference-and-expo/</t>
  </si>
  <si>
    <t xml:space="preserve">[Early Childhood] Programs buy with federal funds: have a W-9, price quotes and PO acceptance ready. Head Start funding was under federal budget pressure in 2025-26, so program budgets may be tight or delayed. Do not solicit Montgomery County (MD) Head Start, which runs through MCPS and county DHHS (both excluded). Pittsburgh is drivable from Maryland.</t>
  </si>
  <si>
    <t xml:space="preserve">Request the May 3–6, 2027 Pittsburgh exhibitor application; have a W-9, price quotes and PO acceptance ready.</t>
  </si>
  <si>
    <t xml:space="preserve">National Microschooling Center</t>
  </si>
  <si>
    <t xml:space="preserve">network / directory</t>
  </si>
  <si>
    <t xml:space="preserve">Hub for US microschool founders (member count not captured)</t>
  </si>
  <si>
    <t xml:space="preserve">Nonprofit hub for microschool founders. It runs the Partnership Provider Program (P3), a Preferred Provider Directory, the 'Access Point' learning-tools catalog and a Microschool Marketplace.</t>
  </si>
  <si>
    <t xml:space="preserve">PreK–5 screen-free classroom pack with site license, workshop kits, research briefs, library-binding books</t>
  </si>
  <si>
    <t xml:space="preserve">partner/vendor directory (join P3 with a member discount; get into the Access Point catalog)</t>
  </si>
  <si>
    <t xml:space="preserve">Not captured. P3 providers typically offer members a discount; ask whether there is a fee.</t>
  </si>
  <si>
    <t xml:space="preserve">https://microschoolingcenter.org</t>
  </si>
  <si>
    <t xml:space="preserve">[Parents] Confirmed from earlier search results citing microschoolingcenter.org pages (Access Point, Preferred Provider Directory, P3). Apply by email through the P3 contact listed on the site. Fully faceless, and site licenses suit small schools. Raised from 3. The www. subdomain does not resolve; use the bare domain.</t>
  </si>
  <si>
    <t xml:space="preserve">Email the P3 contact listed on microschoolingcenter.org to join the Preferred Provider Directory with a member discount.</t>
  </si>
  <si>
    <t xml:space="preserve">Natural Start Alliance (NAAEE)</t>
  </si>
  <si>
    <t xml:space="preserve">1,500+ member organizations (nature preschools, EE centers, zoos, parks)</t>
  </si>
  <si>
    <t xml:space="preserve">NAAEE program for nature-based early childhood education; runs the NatStart conference and the Nature Preschool Map</t>
  </si>
  <si>
    <t xml:space="preserve">Play guide (outdoor activities); card deck; family bundles</t>
  </si>
  <si>
    <t xml:space="preserve">member discount (free membership), resource listing (member group resource sharing), sponsor/exhibit at conference</t>
  </si>
  <si>
    <t xml:space="preserve">Membership free. Conference sponsorship not published.</t>
  </si>
  <si>
    <t xml:space="preserve">NatStart 2026 held Jun 24-27, San Antonio (on-demand to Jun 2027). 2027 TBA.</t>
  </si>
  <si>
    <t xml:space="preserve">https://naturalstart.org/</t>
  </si>
  <si>
    <t xml:space="preserve">[Early Childhood] Use the Nature Preschool Map to find nature preschools and state associations (for example, the Washington Nature Preschool Association).</t>
  </si>
  <si>
    <t xml:space="preserve">Join (free) and share a free outdoor-play sample through member resource sharing; use the Nature Preschool Map to find state groups.</t>
  </si>
  <si>
    <t xml:space="preserve">Odyssey (ESA marketplace platform: Iowa, Louisiana GATOR, Utah Fits All, Wyoming, Georgia, Texas TEFA)</t>
  </si>
  <si>
    <t xml:space="preserve">Families using state education savings accounts (ESAs) in the states Odyssey administers</t>
  </si>
  <si>
    <t xml:space="preserve">Company that runs state ESA programs and their vendor marketplaces; families spend ESA funds on approved vendors.</t>
  </si>
  <si>
    <t xml:space="preserve">Books (incl. library binding), play guide, 5–12 bundle, card deck, written course, PreK–5 classroom pack for microschools</t>
  </si>
  <si>
    <t xml:space="preserve">vendor directory (Odyssey vendor application for each state)</t>
  </si>
  <si>
    <t xml:space="preserve">Not verified (application believed free; check each state's vendor requirements and price caps, which Utah publishes)</t>
  </si>
  <si>
    <t xml:space="preserve">Rolling. Texas TEFA's first program year makes 2026–27 the time to apply.</t>
  </si>
  <si>
    <t xml:space="preserve">https://withodyssey.com</t>
  </si>
  <si>
    <t xml:space="preserve">[Parents] New addition. Confirmed from earlier search results citing Odyssey's support pages ('How Can I Apply to Be A Vendor?', 'Vendor Application Lifecycle', the Utah Fits All and Louisiana GATOR vendor applications). A government-program channel: follow each state's eligible-expense rules exactly, make no health claims, and keep prices at or under any caps. May duplicate a K-12 or procurement list, so dedupe there.</t>
  </si>
  <si>
    <t xml:space="preserve">Submit Odyssey vendor applications, Texas TEFA first, then Utah, Louisiana and Iowa; check each state's price caps.</t>
  </si>
  <si>
    <t xml:space="preserve">ZERO TO THREE - LEARN Conference</t>
  </si>
  <si>
    <t xml:space="preserve">Leading national infant-toddler organization; LEARN draws infant/toddler professionals nationwide</t>
  </si>
  <si>
    <t xml:space="preserve">National nonprofit on infant-toddler development, policy and practice</t>
  </si>
  <si>
    <t xml:space="preserve">Talk-along board books; family bundle 0-5; research briefs</t>
  </si>
  <si>
    <t xml:space="preserve">sponsor, exhibit (interest form), resource listing</t>
  </si>
  <si>
    <t xml:space="preserve">Not published. Submit the sponsor/exhibitor interest form linked from the LEARN FAQ.</t>
  </si>
  <si>
    <t xml:space="preserve">LEARN 2026: Oct 27-29, 2026, Portland OR (about 1 month out, likely too late). 2027 TBA.</t>
  </si>
  <si>
    <t xml:space="preserve">https://www.zerotothree.org/learn-conference/</t>
  </si>
  <si>
    <t xml:space="preserve">[Early Childhood] The audience includes infant mental health clinicians (ZTT publishes the DC:0-5 diagnostic manual). ZTT is not a licensure body, so exhibiting is fine, but make no developmental, language-outcome or health claims for the talk-along books. ZTT's 'Top Early Childhood Conferences 2026-2027' list is useful for finding more events.</t>
  </si>
  <si>
    <t xml:space="preserve">Submit the LEARN sponsor/exhibitor interest form for 2027 (Oct 27–29, 2026 is too close). No developmental or health claims.</t>
  </si>
  <si>
    <t xml:space="preserve">Wild + Free</t>
  </si>
  <si>
    <t xml:space="preserve">national (US), with local groups</t>
  </si>
  <si>
    <t xml:space="preserve">Large nature-based homeschool community with local groups (size not verified)</t>
  </si>
  <si>
    <t xml:space="preserve">Community brand for families who favor nature, play, books and a slower childhood. It appears to be a company rather than a nonprofit (verify).</t>
  </si>
  <si>
    <t xml:space="preserve">Picture books, board books, 100-activity play guide, card deck</t>
  </si>
  <si>
    <t xml:space="preserve">brand partnership/sponsor, conference vendor space if offered, guest article (all unverified)</t>
  </si>
  <si>
    <t xml:space="preserve">Not verified</t>
  </si>
  <si>
    <t xml:space="preserve">Has held annual conferences. Confirm whether a 2027 event with vendor space exists at bewildandfree.org.</t>
  </si>
  <si>
    <t xml:space="preserve">https://www.bewildandfree.org</t>
  </si>
  <si>
    <t xml:space="preserve">[Parents] DNS only. A near-perfect match with 'talk, touch, play and paper', but no vendor or partner route could be verified. Lowered from 5.</t>
  </si>
  <si>
    <t xml:space="preserve">Verify the org, URL and dates on the official site; then email a partnership inquiry offering a member discount</t>
  </si>
  <si>
    <t xml:space="preserve">1000 Hours Outside</t>
  </si>
  <si>
    <t xml:space="preserve">network / publication</t>
  </si>
  <si>
    <t xml:space="preserve">Large parent following across podcast, email, social and trackers (size not verified)</t>
  </si>
  <si>
    <t xml:space="preserve">For-profit movement encouraging outdoor play to balance screen time.</t>
  </si>
  <si>
    <t xml:space="preserve">Play guide, card deck, picture books</t>
  </si>
  <si>
    <t xml:space="preserve">podcast/newsletter sponsorship, affiliate/shop partnership (unverified)</t>
  </si>
  <si>
    <t xml:space="preserve">Not verified (paid sponsorship)</t>
  </si>
  <si>
    <t xml:space="preserve">https://www.1000hoursoutside.com</t>
  </si>
  <si>
    <t xml:space="preserve">[Parents] DNS only (Squarespace). Because it is for-profit, a paid partnership is appropriate, and a host-read audio ad keeps the brand faceless.</t>
  </si>
  <si>
    <t xml:space="preserve">Follett Content (Titlewave)</t>
  </si>
  <si>
    <t xml:space="preserve">Largest PreK–12 library supplier. Works with 6,000+ publishers and stocks 370,000 children's and YA print titles, including 80,000 in FollettBound library binding.</t>
  </si>
  <si>
    <t xml:space="preserve">School library distributor. Librarians build orders in its Titlewave tool. Began serving public libraries after Baker &amp; Taylor shut down in Jan 2026.</t>
  </si>
  <si>
    <t xml:space="preserve">Library-binding picture books + board books</t>
  </si>
  <si>
    <t xml:space="preserve">vendor directory (Titlewave availability via IngramSpark), partner/affiliate (publisher partnerships)</t>
  </si>
  <si>
    <t xml:space="preserve">No listing fee found. Publisher-partnership terms on request.</t>
  </si>
  <si>
    <t xml:space="preserve">https://www.follettcontent.com</t>
  </si>
  <si>
    <t xml:space="preserve">[K–12] ADDED during this check. IngramSpark lists Follett as a distribution partner. How small publishers get featured, for example on Titlewave featured lists, was not in search results.</t>
  </si>
  <si>
    <t xml:space="preserve">Verify the org, URL and dates on the official site; then apply for the vendor/directory listing</t>
  </si>
  <si>
    <t xml:space="preserve">Homeschool Buyers Co-op</t>
  </si>
  <si>
    <t xml:space="preserve">directory / network</t>
  </si>
  <si>
    <t xml:space="preserve">Large free-membership group-buying club for homeschool families (member count not verified)</t>
  </si>
  <si>
    <t xml:space="preserve">Negotiates group discounts from curriculum and book vendors for member families.</t>
  </si>
  <si>
    <t xml:space="preserve">100-activity play guide, 0–5 and 5–12 bundles, card deck, written course at a member price</t>
  </si>
  <si>
    <t xml:space="preserve">member discount/partner program (vendor listing)</t>
  </si>
  <si>
    <t xml:space="preserve">Not verified (usually a discount or revenue share, not a fee)</t>
  </si>
  <si>
    <t xml:space="preserve">https://www.homeschoolbuyersco-op.org</t>
  </si>
  <si>
    <t xml:space="preserve">[Parents] New addition (missed major faceless channel). DNS only: the site now resolves to Shopify hosting. Verify the vendor-application route before listing.</t>
  </si>
  <si>
    <t xml:space="preserve">National Center for Families Learning (NCFL) - Families Learning Conference</t>
  </si>
  <si>
    <t xml:space="preserve">National family-literacy nonprofit; its annual conference draws family-literacy, library, school and community-program staff</t>
  </si>
  <si>
    <t xml:space="preserve">Family-literacy organization (Louisville KY) focused on parents and children learning together</t>
  </si>
  <si>
    <t xml:space="preserve">Talk-along board and picture books; family bundles 0-5 and 5-12; host-it-yourself workshop kits for family-literacy nights</t>
  </si>
  <si>
    <t xml:space="preserve">exhibit, sponsor, partner/affiliate, guest article</t>
  </si>
  <si>
    <t xml:space="preserve">Not published. Request the sponsor/exhibitor package from NCFL.</t>
  </si>
  <si>
    <t xml:space="preserve">Annual conference, usually in the fall; 2026-27 dates not verified</t>
  </si>
  <si>
    <t xml:space="preserve">https://www.familieslearning.org/</t>
  </si>
  <si>
    <t xml:space="preserve">[Early Childhood] ADDED (missed by the first pass). The org and domain are long established, but no source could be opened in this pass, so dates and pricing are unverified. Close message fit: parents and children talking and reading together on paper.</t>
  </si>
  <si>
    <t xml:space="preserve">Playgroup Australia (and state Playgroup associations)</t>
  </si>
  <si>
    <t xml:space="preserve">international (Australia)</t>
  </si>
  <si>
    <t xml:space="preserve">National network of parent-led playgroups for 0-5 families, run through state/territory member organisations (verify)</t>
  </si>
  <si>
    <t xml:space="preserve">Peak body for community playgroups where parents, carers and young children meet to play.</t>
  </si>
  <si>
    <t xml:space="preserve">Talk-along board books (local POD), host-it-yourself workshop kit and card deck</t>
  </si>
  <si>
    <t xml:space="preserve">partner/affiliate, member discount, newsletter ad, resource listing</t>
  </si>
  <si>
    <t xml:space="preserve">Not verified; rolling</t>
  </si>
  <si>
    <t xml:space="preserve">https://www.playgroupaustralia.org.au</t>
  </si>
  <si>
    <t xml:space="preserve">[International] Parent-led play matches the brand closely. Approach state bodies separately (Playgroup Victoria, NSW, Queensland, WA, SA). Keep offers low-cost for the community sector.</t>
  </si>
  <si>
    <t xml:space="preserve">When a local edition is ready: Verify the org, URL and dates on the official site; then request the media kit and ad rates</t>
  </si>
  <si>
    <t xml:space="preserve">Early Childhood Australia (ECA)</t>
  </si>
  <si>
    <t xml:space="preserve">National peak early childhood body with a large practitioner audience and a publishing arm (verify figures)</t>
  </si>
  <si>
    <t xml:space="preserve">Australia's national early childhood advocacy and professional body. It publishes 'Every Child' magazine, runs a shop and a blog, and holds a national conference.</t>
  </si>
  <si>
    <t xml:space="preserve">EYLF-aligned PreK classroom pack site licence, the 100-activity play guide and research briefs</t>
  </si>
  <si>
    <t xml:space="preserve">magazine ad (Every Child), guest article/blog, conference exhibit/sponsor, resource listing in ECA shop</t>
  </si>
  <si>
    <t xml:space="preserve">Not verified. Request the media kit and conference prospectus.</t>
  </si>
  <si>
    <t xml:space="preserve">Not verified; check the site for the next national conference (2026-27)</t>
  </si>
  <si>
    <t xml:space="preserve">https://www.earlychildhoodaustralia.org.au</t>
  </si>
  <si>
    <t xml:space="preserve">[International] Magazine and blog channels are faceless. The shop mostly sells ECA's own publications. Needs Australian spelling and terms. GST applies above A$75k, or use a merchant of record. Print books in Australia via POD.</t>
  </si>
  <si>
    <t xml:space="preserve">Early Childhood Ireland</t>
  </si>
  <si>
    <t xml:space="preserve">international (Ireland)</t>
  </si>
  <si>
    <t xml:space="preserve">Several thousand member early years settings; historically cited at about 3,800 (verify)</t>
  </si>
  <si>
    <t xml:space="preserve">Ireland's largest early childhood membership organisation; runs conferences, publications and member services.</t>
  </si>
  <si>
    <t xml:space="preserve">Printable family bundles and PreK classroom pack re-edited for Aistear; workshop kits</t>
  </si>
  <si>
    <t xml:space="preserve">newsletter ad, member discount, exhibit/sponsor at annual conference</t>
  </si>
  <si>
    <t xml:space="preserve">Not verified. Request the exhibitor/sponsor pack.</t>
  </si>
  <si>
    <t xml:space="preserve">Not verified; check the site for the annual conference</t>
  </si>
  <si>
    <t xml:space="preserve">https://www.earlychildhoodireland.ie</t>
  </si>
  <si>
    <t xml:space="preserve">[International] English-language market. EU VAT via non-Union OSS applies from the first consumer digital sale. Start with newsletter ads and member offers; the conference needs staff.</t>
  </si>
  <si>
    <t xml:space="preserve">Early Years Alliance</t>
  </si>
  <si>
    <t xml:space="preserve">international (UK - England)</t>
  </si>
  <si>
    <t xml:space="preserve">Pre-schools, nurseries and childminders; historically cited at about 14,000 member settings (verify)</t>
  </si>
  <si>
    <t xml:space="preserve">England's largest early years membership charity. It was formerly the Pre-school Learning Alliance and was renamed in 2019. It publishes 'Under 5' magazine and runs an online shop.</t>
  </si>
  <si>
    <t xml:space="preserve">PreK screen-free classroom pack (site licence, EYFS edition) and the talk-along board books. The workshop kit suits pre-school parent evenings.</t>
  </si>
  <si>
    <t xml:space="preserve">magazine ad (Under 5), sponsor/partner, resource listing in shop, guest article</t>
  </si>
  <si>
    <t xml:space="preserve">Not verified. Request the media kit.</t>
  </si>
  <si>
    <t xml:space="preserve">Not verified; check the events page for 2026-27 conferences</t>
  </si>
  <si>
    <t xml:space="preserve">https://www.eyalliance.org.uk</t>
  </si>
  <si>
    <t xml:space="preserve">[International] The shop mainly sells the Alliance's own publications; third-party stock is not assured, so ask. The Alliance campaigns on policy; the brand must stay neutral and must not comment on government or providers. UK edition needed.</t>
  </si>
  <si>
    <t xml:space="preserve">Family Day Care Australia</t>
  </si>
  <si>
    <t xml:space="preserve">National peak body for family day care services and home-based educators (verify)</t>
  </si>
  <si>
    <t xml:space="preserve">Peak body representing family day care (home-based) educators and services; runs a national conference and member communications.</t>
  </si>
  <si>
    <t xml:space="preserve">Printable family bundles (0-5 and 5-12), card deck and play guide for home-based educators</t>
  </si>
  <si>
    <t xml:space="preserve">newsletter ad, member discount, conference exhibit/sponsor</t>
  </si>
  <si>
    <t xml:space="preserve">Not verified. Request the prospectus.</t>
  </si>
  <si>
    <t xml:space="preserve">Not verified; check the national conference schedule</t>
  </si>
  <si>
    <t xml:space="preserve">https://www.familydaycare.com.au</t>
  </si>
  <si>
    <t xml:space="preserve">[International] Home-based educators buy their own resources and care for mixed ages, so both bundles fit. Needs an Australian spelling edition.</t>
  </si>
  <si>
    <t xml:space="preserve">Nursery World (magazine), Nursery World Show and sister title Early Years Educator (EYE)</t>
  </si>
  <si>
    <t xml:space="preserve">international (UK)</t>
  </si>
  <si>
    <t xml:space="preserve">Leading UK early years trade magazine, website and newsletters, plus an annual London trade show (verify circulation and attendance)</t>
  </si>
  <si>
    <t xml:space="preserve">UK early years trade publisher (believed to be part of Mark Allen Group; verify). It runs the Nursery World Show, awards, and the sister title Early Years Educator.</t>
  </si>
  <si>
    <t xml:space="preserve">PreK classroom pack site licence and workshop kits. Library-binding picture books only once UK distribution exists.</t>
  </si>
  <si>
    <t xml:space="preserve">magazine/newsletter ad, sponsored content/advertorial, exhibit at Nursery World Show, written guest article</t>
  </si>
  <si>
    <t xml:space="preserve">Not verified. Request the combined media pack and exhibitor pack. A show stand plus hired staff and travel is likely to cost several thousand pounds.</t>
  </si>
  <si>
    <t xml:space="preserve">Not verified; the show is typically early February in London. Check the 2027 edition now, since stands sell in autumn.</t>
  </si>
  <si>
    <t xml:space="preserve">https://www.nurseryworld.co.uk</t>
  </si>
  <si>
    <t xml:space="preserve">[International] Ads and newsletter placements are fully faceless, so start there. The show needs hired booth staff. Ask about a combined Nursery World + EYE media package.</t>
  </si>
  <si>
    <t xml:space="preserve">Request the combined Nursery World + EYE media pack; check 2027 show stand pricing now, since stands sell in autumn.</t>
  </si>
  <si>
    <t xml:space="preserve">Teach Early Years / Teach Primary (Teachwire, Aceville Publications)</t>
  </si>
  <si>
    <t xml:space="preserve">UK early years and primary teacher magazines, the Teachwire website and email newsletters (verify circulation)</t>
  </si>
  <si>
    <t xml:space="preserve">Commercial UK education magazines for early years and primary teachers. They carry product reviews, sponsored content and paid-entry resource awards (verify current awards).</t>
  </si>
  <si>
    <t xml:space="preserve">PreK-5 screen-free classroom pack site licence, the 100-activity play guide and the card deck</t>
  </si>
  <si>
    <t xml:space="preserve">magazine/newsletter ad, product review submission, awards entry, sponsored article</t>
  </si>
  <si>
    <t xml:space="preserve">Not verified. Request the media pack and awards entry fees.</t>
  </si>
  <si>
    <t xml:space="preserve">Not verified; ads are rolling, and the awards open once a year</t>
  </si>
  <si>
    <t xml:space="preserve">https://www.teachwire.net</t>
  </si>
  <si>
    <t xml:space="preserve">[International] ADDED. Fully faceless. It covers both 0-5 (Teach Early Years) and 5-12 (Teach Primary) buyers. Needs UK spelling and a UK edition. The same publisher's other titles are more tech-oriented; stick to the early-years and primary titles.</t>
  </si>
  <si>
    <t xml:space="preserve">Southern Early Childhood Association (SECA)</t>
  </si>
  <si>
    <t xml:space="preserve">regional (Southern states, with state affiliates)</t>
  </si>
  <si>
    <t xml:space="preserve">Multi-state regional ECE association with a state affiliate in each Southern state</t>
  </si>
  <si>
    <t xml:space="preserve">Regional early-childhood association that co-hosts an annual conference with a state affiliate</t>
  </si>
  <si>
    <t xml:space="preserve">Classroom Pack; board books; play guide</t>
  </si>
  <si>
    <t xml:space="preserve">UNVERIFIED. The $100/booth figure from the first pass may come from an unrelated document; do not rely on it. Ask at seca.info/exhibits, info@seca.info, 501-221-1648. Space is assigned by priority points after payment.</t>
  </si>
  <si>
    <t xml:space="preserve">2027 SCECA-SECA Regional Conference, Feb 4-6, 2027, Myrtle Beach Convention Center (no large booths in 2027 due to construction)</t>
  </si>
  <si>
    <t xml:space="preserve">https://www.seca.info/exhibits</t>
  </si>
  <si>
    <t xml:space="preserve">[Early Childhood] The org, conference and date are consistent with SCECA's long-running Myrtle Beach conference; only the price is unverified. SECA state affiliates (such as VAECE) are further targets.</t>
  </si>
  <si>
    <t xml:space="preserve">Ask info@seca.info for real Feb 4–6, 2027 Myrtle Beach booth pricing (the $100 figure is unverified).</t>
  </si>
  <si>
    <t xml:space="preserve">DC Association for the Education of Young Children (DCAEYC)</t>
  </si>
  <si>
    <t xml:space="preserve">state/local (Washington DC)</t>
  </si>
  <si>
    <t xml:space="preserve">DC early-childhood educators and child care professionals</t>
  </si>
  <si>
    <t xml:space="preserve">NAEYC's DC affiliate: PD, advocacy, community building</t>
  </si>
  <si>
    <t xml:space="preserve">Classroom Pack; board books; workshop kits</t>
  </si>
  <si>
    <t xml:space="preserve">sponsor, newsletter ad, member discount, exhibit at local events</t>
  </si>
  <si>
    <t xml:space="preserve">Not published. Contact via dcaeyc.org.</t>
  </si>
  <si>
    <t xml:space="preserve">Not found. Ask about affiliate events around NAEYC's centennial conference in DC, Dec 2026.</t>
  </si>
  <si>
    <t xml:space="preserve">https://www.dcaeyc.org/</t>
  </si>
  <si>
    <t xml:space="preserve">[Early Childhood] Small affiliate, but close to Maryland and a likely host-affiliate partner for NAEYC's DC week. A local sponsorship may be a cheaper way into the DC conference crowd than a national booth.</t>
  </si>
  <si>
    <t xml:space="preserve">Ask DCAEYC about sponsoring affiliate events during NAEYC's DC week (Dec 5–7, 2026) and about newsletter ads.</t>
  </si>
  <si>
    <t xml:space="preserve">HEAV (Home Educators Association of Virginia): Virginia Homeschool Convention</t>
  </si>
  <si>
    <t xml:space="preserve">state (Virginia)</t>
  </si>
  <si>
    <t xml:space="preserve">Large regional homeschool convention with a 'huge exhibit hall' (HEAV's own page title). Parents of only preschoolers attend free.</t>
  </si>
  <si>
    <t xml:space="preserve">Virginia homeschool association. Its annual convention is at the Greater Richmond Convention Center.</t>
  </si>
  <si>
    <t xml:space="preserve">Talk-along board books, picture books, play guide, 0–5 and 5–12 bundles, card deck</t>
  </si>
  <si>
    <t xml:space="preserve">exhibit (newsletter ads not verified)</t>
  </si>
  <si>
    <t xml:space="preserve">Not captured. Exhibit-hall applications opened in August 2026; check heav.org/convention/exhibitor-information.</t>
  </si>
  <si>
    <t xml:space="preserve">June 10–12, 2027, Greater Richmond Convention Center (from earlier search results)</t>
  </si>
  <si>
    <t xml:space="preserve">https://heav.org</t>
  </si>
  <si>
    <t xml:space="preserve">[Parents] Confirmed from earlier search results citing heav.org pages (Convention, Exhibitor Information, Exhibit Hall, 'Parents of Preschoolers Attend Free'). Free entry for parents of preschoolers brings the exact 0–5 buyer. About a two-hour drive from Maryland, so a hired helper can staff the booth. Best first convention to test. Scored 4 rather than 5 only because the booth price is unknown and it needs staffing.</t>
  </si>
  <si>
    <t xml:space="preserve">Apply for a booth for June 10–12, 2027 (applications open since Aug 2026) at heav.org/convention/exhibitor-information.</t>
  </si>
  <si>
    <t xml:space="preserve">Maryland Association of Elementary School Principals (MAESP)</t>
  </si>
  <si>
    <t xml:space="preserve">Elementary and PreK–8 principals and aspiring leaders statewide. The joint MAESP/MASSP fall conference covers PreK–12 leaders.</t>
  </si>
  <si>
    <t xml:space="preserve">NAESP's Maryland state affiliate</t>
  </si>
  <si>
    <t xml:space="preserve">PreK–5 screen-free classroom pack with site licenses + research briefs + family bundles for principal newsletters</t>
  </si>
  <si>
    <t xml:space="preserve">Joint fall conference exhibitor rate reported at $650 without meals or $750 with meals; this figure may come from MASSP's exhibitor page. Sponsorship: Terry Ball, Executive Director, 410-596-1619; Karen Covino for MAESP or joint sponsorship.</t>
  </si>
  <si>
    <t xml:space="preserve">MAESP/MASSP Fall Conference, Nov 6–8, Ashore Resort &amp; Beach Club, Ocean City MD. The search snippet does not state the year; confirm it is 2026. The Connected School Leader Conference was held Apr 17, 2026, and the next is likely in April 2027.</t>
  </si>
  <si>
    <t xml:space="preserve">https://maespmd.org</t>
  </si>
  <si>
    <t xml:space="preserve">[K–12] Fit lowered from 5 to 4. MCPS principals are a large share of attendees; MCAAP has posted about MCPS leaders attending. A hired rep must not pitch MCPS, and the event is in person. maesp.com and maesp.org are other states' groups (Missouri), so use maespmd.org.</t>
  </si>
  <si>
    <t xml:space="preserve">Confirm the Nov 6–8 fall conference year; ask Terry Ball (410-596-1619) about exhibitor/sponsor spots. Brief any hired rep not to approach MCPS staff.</t>
  </si>
  <si>
    <t xml:space="preserve">Maryland Association of School Librarians (MASL)</t>
  </si>
  <si>
    <t xml:space="preserve">Maryland school library media specialists</t>
  </si>
  <si>
    <t xml:space="preserve">State association for school librarians</t>
  </si>
  <si>
    <t xml:space="preserve">Talk-along board books and picture books in library binding + classroom pack</t>
  </si>
  <si>
    <t xml:space="preserve">Sponsor and exhibitor rates not published. Call MASL at 410-929-1181.</t>
  </si>
  <si>
    <t xml:space="preserve">MASL Conference Oct 16, 2026 (about 2.5 weeks away; ask whether late vendor space is available). The 2027 conference is likely in the same fall slot.</t>
  </si>
  <si>
    <t xml:space="preserve">https://www.maslmd.org</t>
  </si>
  <si>
    <t xml:space="preserve">[K–12] Fit lowered from 5 to 4 because MCPS media specialists make up a large share of members; aim nothing at them. The conference site is masl.memberclicks.net/conference and mentions sponsorships.</t>
  </si>
  <si>
    <t xml:space="preserve">Call MASL (410-929-1181) now: ask whether late sponsor or vendor space remains for Oct 16, 2026; otherwise book fall 2027. Aim nothing at MCPS media specialists.</t>
  </si>
  <si>
    <t xml:space="preserve">Maryland Family Network - Child Care Resource Network</t>
  </si>
  <si>
    <t xml:space="preserve">state (Maryland; regional child care resource centers)</t>
  </si>
  <si>
    <t xml:space="preserve">Statewide provider-training network + LOCATE: Child Care family referral line</t>
  </si>
  <si>
    <t xml:space="preserve">Maryland's statewide CCR&amp;R hub, with regional centers (first pass lists The Family Tree, Abilities Network Project ACT, Prince George's Child Resource Center, Child Care Choices and The Promise Resource Center)</t>
  </si>
  <si>
    <t xml:space="preserve">Workshop kits; family bundles; research briefs</t>
  </si>
  <si>
    <t xml:space="preserve">mailed/emailed outreach, resource listing, partner/affiliate</t>
  </si>
  <si>
    <t xml:space="preserve">Free to contact</t>
  </si>
  <si>
    <t xml:space="preserve">https://marylandfamilynetwork.org/our-work/child-care-resource-network/</t>
  </si>
  <si>
    <t xml:space="preserve">[Early Childhood] EXCLUDE the Montgomery County regional center (Child Care Support Services, operated by Montgomery County DHHS). Work only with MFN statewide and the other regional centers. MFN also hosts the Maryland Child Care Training Calendar (below).</t>
  </si>
  <si>
    <t xml:space="preserve">Email MFN about listing workshop kits and family bundles with its regional centers (not the Montgomery County DHHS center).</t>
  </si>
  <si>
    <t xml:space="preserve">Maryland State Child Care Association (MSCCA)</t>
  </si>
  <si>
    <t xml:space="preserve">Statewide center-based child care owners and directors; Conference by the Sea in Ocean City</t>
  </si>
  <si>
    <t xml:space="preserve">Maryland's child care center association (40th anniversary); runs Conference by the Sea</t>
  </si>
  <si>
    <t xml:space="preserve">Classroom Pack site licenses; board books for classrooms; fundraiser program</t>
  </si>
  <si>
    <t xml:space="preserve">exhibit, sponsor, member discount (business membership brings discounted exhibit rates)</t>
  </si>
  <si>
    <t xml:space="preserve">Not published. Business members get an exhibitor discount; see mscca.org.</t>
  </si>
  <si>
    <t xml:space="preserve">Conference by the Sea 2026 was held. 2027 date not yet found.</t>
  </si>
  <si>
    <t xml:space="preserve">https://mscca.org/event/conference-by-the-sea/</t>
  </si>
  <si>
    <t xml:space="preserve">[Early Childhood] The Prince George's County chapter (pgcomscca.org) is a local sub-target. Avoid any Montgomery County government tie-ins.</t>
  </si>
  <si>
    <t xml:space="preserve">Ask MSCCA for 2027 Conference by the Sea dates and business-membership exhibitor rates.</t>
  </si>
  <si>
    <t xml:space="preserve">Virginia Association for the Education of Young Children (VAAEYC) + Virginia Association for Early Childhood Education (VAECE)</t>
  </si>
  <si>
    <t xml:space="preserve">Statewide ECE educators; both groups run annual conferences with exhibitors</t>
  </si>
  <si>
    <t xml:space="preserve">VAAEYC is the NAEYC affiliate; VAECE (vaece.org) is the SECA affiliate</t>
  </si>
  <si>
    <t xml:space="preserve">Classroom Pack + board books</t>
  </si>
  <si>
    <t xml:space="preserve">Not published. VAAEYC: admin@vaaeyc.org, (434) 218-2347.</t>
  </si>
  <si>
    <t xml:space="preserve">VAAEYC 2027 Annual Conference at the Kalahari Resort &amp; Convention Center, Virginia (dates TBA). VAECE dates not found.</t>
  </si>
  <si>
    <t xml:space="preserve">https://vaaeyc.org/events/annual-conference/</t>
  </si>
  <si>
    <t xml:space="preserve">[Early Childhood] Two separate Virginia targets. VAECE dates and pricing were not sourced.</t>
  </si>
  <si>
    <t xml:space="preserve">Email admin@vaaeyc.org for 2027 conference exhibitor info; separately find VAECE's dates.</t>
  </si>
  <si>
    <t xml:space="preserve">Maryland Early Childhood Conference (APPLES for Children, Inc.)</t>
  </si>
  <si>
    <t xml:space="preserve">state (Maryland; Hagerstown)</t>
  </si>
  <si>
    <t xml:space="preserve">Annual one-day statewide ECE conference with about 13 exhibitors</t>
  </si>
  <si>
    <t xml:space="preserve">Annual Maryland ECE PD conference organized by APPLES for Children (Western Maryland)</t>
  </si>
  <si>
    <t xml:space="preserve">Board books; Classroom Pack; play guide</t>
  </si>
  <si>
    <t xml:space="preserve">Not published. mdearlychildhoodconference@gmail.com</t>
  </si>
  <si>
    <t xml:space="preserve">13th annual was Sep 19, 2026 (past). 2027 is likely mid-September at Hagerstown Community College (unconfirmed).</t>
  </si>
  <si>
    <t xml:space="preserve">https://mdearlychildhoodconference.com/</t>
  </si>
  <si>
    <t xml:space="preserve">[Early Childhood] Small, regional and lightly documented. It exists per the first pass's snippets, but the 2027 date is a guess. A small exhibitor field means high visibility, so book early.</t>
  </si>
  <si>
    <t xml:space="preserve">Email mdearlychildhoodconference@gmail.com to reserve a vendor table for the 2027 conference (likely mid-September).</t>
  </si>
  <si>
    <t xml:space="preserve">FPEA (Florida Parent Educators Association) Florida Homeschool Convention</t>
  </si>
  <si>
    <t xml:space="preserve">state (Florida)</t>
  </si>
  <si>
    <t xml:space="preserve">Historically one of the largest US homeschool conventions (15,000+ attendees reported; re-check)</t>
  </si>
  <si>
    <t xml:space="preserve">Florida homeschool association with an annual convention in Orlando.</t>
  </si>
  <si>
    <t xml:space="preserve">Books, play guide, bundles, card deck, course</t>
  </si>
  <si>
    <t xml:space="preserve">exhibit, sponsor (not verified)</t>
  </si>
  <si>
    <t xml:space="preserve">Not verified (est. $800–$2,500)</t>
  </si>
  <si>
    <t xml:space="preserve">Traditionally Memorial Day weekend; est. May 27–29, 2027 (Memorial Day is May 31, 2027). Confirm at fpea.com.</t>
  </si>
  <si>
    <t xml:space="preserve">https://fpea.com</t>
  </si>
  <si>
    <t xml:space="preserve">[Parents] DNS only (Cloudflare). Lowered from 5 because it is unverified and needs a staffed booth and air travel or freight.</t>
  </si>
  <si>
    <t xml:space="preserve">Verify the org, URL and dates on the official site; then request the sponsorship package</t>
  </si>
  <si>
    <t xml:space="preserve">Maryland Head Start Association (MHSA)</t>
  </si>
  <si>
    <t xml:space="preserve">Maryland Head Start/Early Head Start grantees</t>
  </si>
  <si>
    <t xml:space="preserve">501(c)(3) supporting Maryland Head Start programs through training and advocacy; has held a spring conference</t>
  </si>
  <si>
    <t xml:space="preserve">exhibit/sponsor spring conference, mailed/emailed outreach to member programs</t>
  </si>
  <si>
    <t xml:space="preserve">Not published. Contact via md-hsa.org.</t>
  </si>
  <si>
    <t xml:space="preserve">Latest event found: spring conference May 20-22, 2024 (online). 2026-27 events not found.</t>
  </si>
  <si>
    <t xml:space="preserve">https://www.md-hsa.org/</t>
  </si>
  <si>
    <t xml:space="preserve">[Early Childhood] Set to unconfirmed: the only event info is from 2024, and the domain comes from a single first-pass snippet. Confirm the association is active and the domain is current. When emailing member programs, EXCLUDE Montgomery County Head Start (MCPS and county DHHS).</t>
  </si>
  <si>
    <t xml:space="preserve">Confirm the association is active and md-hsa.org is current; ask about a 2027 conference. Exclude Montgomery County Head Start from any mailing.</t>
  </si>
  <si>
    <t xml:space="preserve">State of Maryland Literacy Association (SoMLA, formerly SoMIRAC)</t>
  </si>
  <si>
    <t xml:space="preserve">Reading specialists, literacy coaches and classroom teachers statewide, organized in county councils</t>
  </si>
  <si>
    <t xml:space="preserve">Leading literacy organization in Maryland</t>
  </si>
  <si>
    <t xml:space="preserve">Talk-along board books + 100-activity play guide (oral language, read-aloud)</t>
  </si>
  <si>
    <t xml:space="preserve">exhibit, sponsor (ask; not confirmed)</t>
  </si>
  <si>
    <t xml:space="preserve">Not published. Contact through the 2027 conference page.</t>
  </si>
  <si>
    <t xml:space="preserve">2027 SoMLA Conference page is live and planning is underway; dates not yet published.</t>
  </si>
  <si>
    <t xml:space="preserve">https://www.somla.online</t>
  </si>
  <si>
    <t xml:space="preserve">[K–12] The organization and its 2027 conference page are confirmed. An exhibit hall, sponsor options and guest articles are not. Skip any Montgomery County local council, since its members are mostly MCPS staff. Make no clinical or outcome claims.</t>
  </si>
  <si>
    <t xml:space="preserve">The Reading League (and Maryland chapter)</t>
  </si>
  <si>
    <t xml:space="preserve">national + state (Maryland chapter)</t>
  </si>
  <si>
    <t xml:space="preserve">2,500+ attendees at the national conference; state chapters</t>
  </si>
  <si>
    <t xml:space="preserve">Nonprofit focused on evidence-aligned reading instruction</t>
  </si>
  <si>
    <t xml:space="preserve">Talk-along board books (oral language, read-aloud)</t>
  </si>
  <si>
    <t xml:space="preserve">exhibit (national), sponsor (chapter events; ask)</t>
  </si>
  <si>
    <t xml:space="preserve">10th Annual Conference, Sep 30–Oct 2, 2026, Hilton Chicago (too late to join). 2027 dates not yet published.</t>
  </si>
  <si>
    <t xml:space="preserve">https://www.thereadingleague.org</t>
  </si>
  <si>
    <t xml:space="preserve">[K–12] Maryland chapter: md.thereadingleague.org. Market as read-aloud and talk products only, with no claims about instruction or results.</t>
  </si>
  <si>
    <t xml:space="preserve">Request the sponsorship package</t>
  </si>
  <si>
    <t xml:space="preserve">Alliance for Public Waldorf Education</t>
  </si>
  <si>
    <t xml:space="preserve">Public (charter and district) Waldorf-methods schools</t>
  </si>
  <si>
    <t xml:space="preserve">Membership alliance of public Waldorf-methods schools</t>
  </si>
  <si>
    <t xml:space="preserve">Classroom Pack site licenses; picture books</t>
  </si>
  <si>
    <t xml:space="preserve">sponsor, exhibit, resource listing</t>
  </si>
  <si>
    <t xml:space="preserve">2027 Annual Conference, Jan 15-17, 2027, Ocean Charter School, Los Angeles CA</t>
  </si>
  <si>
    <t xml:space="preserve">https://www.publicwaldorf.org/annualconference</t>
  </si>
  <si>
    <t xml:space="preserve">[Early Childhood] Members are public schools, so keep messaging non-critical of any district.</t>
  </si>
  <si>
    <t xml:space="preserve">Offer a free resource for their resource listing</t>
  </si>
  <si>
    <t xml:space="preserve">American School Counselor Association (ASCA)</t>
  </si>
  <si>
    <t xml:space="preserve">ASCA School Counselor magazine reaches nearly 40,000 readers; thousands attend the conference</t>
  </si>
  <si>
    <t xml:space="preserve">National school counselor association</t>
  </si>
  <si>
    <t xml:space="preserve">Card deck + family bundles + workshop kits</t>
  </si>
  <si>
    <t xml:space="preserve">exhibit, newsletter ad (magazine and e-news)</t>
  </si>
  <si>
    <t xml:space="preserve">Rates are in the 2026 media kit and were not in search results. Ads: Alison Bashion; exhibits: Andy Werner. Both at sales@schoolcounselor.org, 703-964-1240.</t>
  </si>
  <si>
    <t xml:space="preserve">ASCA 2027 Annual Conference, July 17–20, 2027, Columbus OH</t>
  </si>
  <si>
    <t xml:space="preserve">https://www.schoolcounselor.org</t>
  </si>
  <si>
    <t xml:space="preserve">[K–12] Kept because ASCA is not a licensing body. Copy must stay non-clinical: family connection and conversation, with no mental-health outcomes.</t>
  </si>
  <si>
    <t xml:space="preserve">Request the media kit and ad rates (contact: sales@schoolcounselor.org)</t>
  </si>
  <si>
    <t xml:space="preserve">Association of Christian Schools International (ACSI)</t>
  </si>
  <si>
    <t xml:space="preserve">national/international</t>
  </si>
  <si>
    <t xml:space="preserve">Thousands of Christian schools; thousands attend ACSI events. Runs Early Education workshops and conferences and keeps a Strategic Partner Directory.</t>
  </si>
  <si>
    <t xml:space="preserve">Large Christian school association that runs regional, early-education and leadership events</t>
  </si>
  <si>
    <t xml:space="preserve">Classroom pack + family bundles + fundraiser program</t>
  </si>
  <si>
    <t xml:space="preserve">exhibit, vendor directory (Strategic Partner Directory; ask)</t>
  </si>
  <si>
    <t xml:space="preserve">Uses a 2026–27 Event Exhibitor Registration Form. Contact exhibitors@acsi.org, 888-892-4259. Fees not in results.</t>
  </si>
  <si>
    <t xml:space="preserve">Early Education workshops run through 2026–27. Flourishing Schools Institute drew 600 educators in Feb 2026. International Educational Leadership Conference (Europe), Mar 3–5, 2027.</t>
  </si>
  <si>
    <t xml:space="preserve">https://www.acsi.org</t>
  </si>
  <si>
    <t xml:space="preserve">[K–12 + Early Childhood] ACSI may refuse vendors that conflict with its mission. Secular, values-neutral play content should pass. Newsletter ads were not confirmed. || From the Early Childhood list: The Strategic Partner Directory offers a year-round faceless listing. The 25,000-school figure is a network-wide number, not direct US reach.</t>
  </si>
  <si>
    <t xml:space="preserve">Apply for the vendor/directory listing (contact: exhibitors@acsi.org)</t>
  </si>
  <si>
    <t xml:space="preserve">Booklist (ALA Publishing)</t>
  </si>
  <si>
    <t xml:space="preserve">Review journal read by library collection buyers</t>
  </si>
  <si>
    <t xml:space="preserve">ALA's book-review magazine; also publishes Book Links and Booklist Online</t>
  </si>
  <si>
    <t xml:space="preserve">Picture books and board books (submit for review)</t>
  </si>
  <si>
    <t xml:space="preserve">newsletter ad, review submission</t>
  </si>
  <si>
    <t xml:space="preserve">Print ads start at $2,100 (1/6 page); web ads at $1,500. Review submission is free. BlueInk Review ($395–$445 standard) sends a monthly list of favorite self-published titles to Booklist.</t>
  </si>
  <si>
    <t xml:space="preserve">Ongoing. Submit 4–6 months before publication; digital submission preferred.</t>
  </si>
  <si>
    <t xml:space="preserve">https://www.booklistonline.com</t>
  </si>
  <si>
    <t xml:space="preserve">[K–12] The URL was changed to booklistonline.com, the official site. Booklist considers self-published titles but says it cannot cover them thoroughly, so a review is not guaranteed. Try the free submission first.</t>
  </si>
  <si>
    <t xml:space="preserve">Submit a free digital review copy 4–6 months before publication; consider ads only later.</t>
  </si>
  <si>
    <t xml:space="preserve">Child Care Aware of America (CCAoA) - Symposium &amp; partnerships</t>
  </si>
  <si>
    <t xml:space="preserve">National membership org for about 400 local Child Care Resource &amp; Referral (CCR&amp;R) agencies</t>
  </si>
  <si>
    <t xml:space="preserve">National CCR&amp;R membership org; runs an annual Symposium for ECE professionals, CCR&amp;Rs, policymakers and advocates</t>
  </si>
  <si>
    <t xml:space="preserve">Research briefs; host-it-yourself workshop kits (CCR&amp;Rs run provider trainings); family bundles</t>
  </si>
  <si>
    <t xml:space="preserve">sponsor, exhibit, partner/affiliate, resource listing</t>
  </si>
  <si>
    <t xml:space="preserve">Not published. Sponsors and exhibitors sign CCAoA contract terms; request the package.</t>
  </si>
  <si>
    <t xml:space="preserve">Symposium 2026 was held (spring, DC area). 2027 dates not announced.</t>
  </si>
  <si>
    <t xml:space="preserve">https://www.childcareaware.org/</t>
  </si>
  <si>
    <t xml:space="preserve">[Early Childhood] Fit lowered from 4 because the Symposium is policy-heavy, with little direct purchasing. The brand must stay neutral and non-critical here. The real value is the CCR&amp;R network (next entry). Montgomery County's CCR&amp;R is a DHHS unit and excluded.</t>
  </si>
  <si>
    <t xml:space="preserve">Email a partnership inquiry offering a member discount</t>
  </si>
  <si>
    <t xml:space="preserve">Children's Book Council (CBC)</t>
  </si>
  <si>
    <t xml:space="preserve">Trade association of North American children's book publishers</t>
  </si>
  <si>
    <t xml:space="preserve">Runs Children's Book Week and Every Child a Reader programs</t>
  </si>
  <si>
    <t xml:space="preserve">Picture books and board books</t>
  </si>
  <si>
    <t xml:space="preserve">partner/affiliate (membership), resource listing ('Hot off the Press', CBC Showcases)</t>
  </si>
  <si>
    <t xml:space="preserve">Requires at least 4 children's trade books in print; CBC says membership pays off at 5+ titles with one new title a year. Dues on request: cbc.info@cbcbooks.org.</t>
  </si>
  <si>
    <t xml:space="preserve">Children's Book Week (yearly); join once eligible</t>
  </si>
  <si>
    <t xml:space="preserve">https://cbcbooks.org</t>
  </si>
  <si>
    <t xml:space="preserve">[K–12] A later step, once the list reaches 4–5 trade titles.</t>
  </si>
  <si>
    <t xml:space="preserve">Email a partnership inquiry offering a member discount (contact: cbc.info@cbcbooks.org)</t>
  </si>
  <si>
    <t xml:space="preserve">Early Childhood Christian Network (ECCN)</t>
  </si>
  <si>
    <t xml:space="preserve">national (regional conferences)</t>
  </si>
  <si>
    <t xml:space="preserve">Christian child care centers, preschools and church weekday programs</t>
  </si>
  <si>
    <t xml:space="preserve">Faith-based ECE PD network with in-person and virtual regional conferences</t>
  </si>
  <si>
    <t xml:space="preserve">Board books; Classroom Pack; fundraiser program</t>
  </si>
  <si>
    <t xml:space="preserve">Rolling regional conferences (check site)</t>
  </si>
  <si>
    <t xml:space="preserve">https://earlychildhoodchristiannetwork.com/conferences-3/</t>
  </si>
  <si>
    <t xml:space="preserve">[Early Childhood] Fit lowered from 4: regional events are small and the next dates were not sourced. Church weekday preschools are numerous, budget-minded and screen-cautious.</t>
  </si>
  <si>
    <t xml:space="preserve">Early Childhood Investigations Webinars (Engagement Strategies, LLC)</t>
  </si>
  <si>
    <t xml:space="preserve">publication / directory</t>
  </si>
  <si>
    <t xml:space="preserve">550+ webinars; claims 3M+ educators served</t>
  </si>
  <si>
    <t xml:space="preserve">Free weekly PD webinar series for ECE educators, sponsored per webinar</t>
  </si>
  <si>
    <t xml:space="preserve">Workshop kits; Classroom Pack</t>
  </si>
  <si>
    <t xml:space="preserve">sponsor (webinar sponsorship with logo/mention), newsletter ad</t>
  </si>
  <si>
    <t xml:space="preserve">Weekly, rolling</t>
  </si>
  <si>
    <t xml:space="preserve">https://www.earlychildhoodinvestigations.com/</t>
  </si>
  <si>
    <t xml:space="preserve">[Early Childhood] Sponsor another presenter's webinar instead of presenting, since the founder will not appear on camera. The 3M figure is self-reported.</t>
  </si>
  <si>
    <t xml:space="preserve">Ask about sponsoring another presenter's webinar (logo/mention only; the founder does not present).</t>
  </si>
  <si>
    <t xml:space="preserve">ECE-RJ (Early Childhood Educators of Reform Judaism) Conference</t>
  </si>
  <si>
    <t xml:space="preserve">Jewish early childhood educators and directors</t>
  </si>
  <si>
    <t xml:space="preserve">Professional network for Jewish ECE educators</t>
  </si>
  <si>
    <t xml:space="preserve">Board books; Classroom Pack; card deck</t>
  </si>
  <si>
    <t xml:space="preserve">sponsor, exhibit</t>
  </si>
  <si>
    <t xml:space="preserve">2027 ECE-RJ Conference begins Jan 20, 2027</t>
  </si>
  <si>
    <t xml:space="preserve">https://ecerjevents.com/</t>
  </si>
  <si>
    <t xml:space="preserve">[Early Childhood] Main site is ecerj.org. Synagogue and JCC preschools are a large faith-based segment.</t>
  </si>
  <si>
    <t xml:space="preserve">HIPPY US (Home Instruction for Parents of Preschool Youngsters)</t>
  </si>
  <si>
    <t xml:space="preserve">National network of HIPPY home-visiting programs serving parents of children 2-5</t>
  </si>
  <si>
    <t xml:space="preserve">Evidence-based home-visiting school-readiness program; biennial national conference</t>
  </si>
  <si>
    <t xml:space="preserve">Talk-along picture books; family bundle 0-5; play guide</t>
  </si>
  <si>
    <t xml:space="preserve">exhibit/sponsor at national conference, mailed/emailed outreach to programs</t>
  </si>
  <si>
    <t xml:space="preserve">2027 HIPPY US National Conference 'coming soon' (the 2025 edition was in Baltimore, Apr 6-9)</t>
  </si>
  <si>
    <t xml:space="preserve">https://www.hippyus.org/conference/</t>
  </si>
  <si>
    <t xml:space="preserve">[Early Childhood] Fit lowered from 4: HIPPY supplies its own curriculum and books to programs, so buying outside materials is less likely. Pitch as optional family extras or giveaways.</t>
  </si>
  <si>
    <t xml:space="preserve">Kirkus Reviews (Kirkus Indie)</t>
  </si>
  <si>
    <t xml:space="preserve">Review publication read by librarians, booksellers and publishers</t>
  </si>
  <si>
    <t xml:space="preserve">Book-review magazine. Its Indie program reviews self-published books for a fee.</t>
  </si>
  <si>
    <t xml:space="preserve">review submission (paid), Indie Awards entry</t>
  </si>
  <si>
    <t xml:space="preserve">Picture-book review $399–$450 with 7–9 week turnaround; express (4–6 weeks) costs more. Kirkus Indie Awards: $199 per category, and there is a Picture Book category.</t>
  </si>
  <si>
    <t xml:space="preserve">https://www.kirkusreviews.com/indie-reviews/</t>
  </si>
  <si>
    <t xml:space="preserve">[K–12] ADDED during this check. A paid Indie review carries less weight with librarians than an SLJ or Booklist review, but it provides quotes for library sell sheets. Buy one only after the free SLJ and Booklist submissions.</t>
  </si>
  <si>
    <t xml:space="preserve">Only after the free SLJ and Booklist submissions: buy one Indie picture-book review for sell-sheet quotes.</t>
  </si>
  <si>
    <t xml:space="preserve">National Art Education Association (NAEA)</t>
  </si>
  <si>
    <t xml:space="preserve">Thousands of visual arts, design and media arts educators</t>
  </si>
  <si>
    <t xml:space="preserve">National art teacher association</t>
  </si>
  <si>
    <t xml:space="preserve">100-activity play guide + classroom pack (paper and hands-on)</t>
  </si>
  <si>
    <t xml:space="preserve">NAEA27 exhibitor/sponsor prospectus was due Summer 2026. Contact NAEAsales@discoversb.com.</t>
  </si>
  <si>
    <t xml:space="preserve">2027 NAEA National Convention, March 4–6, 2027, New York Hilton Midtown</t>
  </si>
  <si>
    <t xml:space="preserve">https://www.arteducators.org</t>
  </si>
  <si>
    <t xml:space="preserve">[K–12] Within reach of Maryland by train. The art-teacher audience is a partial fit.</t>
  </si>
  <si>
    <t xml:space="preserve">Request the sponsorship package (contact: NAEAsales@discoversb.com)</t>
  </si>
  <si>
    <t xml:space="preserve">National Association of Episcopal Schools (NAES)</t>
  </si>
  <si>
    <t xml:space="preserve">Episcopal schools, many with early-childhood programs</t>
  </si>
  <si>
    <t xml:space="preserve">Membership association for Episcopal schools</t>
  </si>
  <si>
    <t xml:space="preserve">Board books + classroom pack + play guide</t>
  </si>
  <si>
    <t xml:space="preserve">Downloadable preview of sponsor and exhibitor options. Contact Claire Leheny, claire@episcopalschools.org.</t>
  </si>
  <si>
    <t xml:space="preserve">Biennial Conference Nov 18–20, 2026, JW Marriott L.A. LIVE, Los Angeles. The next one would be in 2028.</t>
  </si>
  <si>
    <t xml:space="preserve">https://www.episcopalschools.org</t>
  </si>
  <si>
    <t xml:space="preserve">[K–12] The earlier 'Early Childhood Education Day' was not found in search results; confirm it with NAES. The booth is far away and in person.</t>
  </si>
  <si>
    <t xml:space="preserve">Request the sponsorship package (contact: claire@episcopalschools.org)</t>
  </si>
  <si>
    <t xml:space="preserve">National Catholic Educational Association (NCEA)</t>
  </si>
  <si>
    <t xml:space="preserve">Catholic school educators and leaders from the US, Canada and beyond</t>
  </si>
  <si>
    <t xml:space="preserve">National Catholic education association; runs the annual Convention &amp; Expo</t>
  </si>
  <si>
    <t xml:space="preserve">Classroom pack + fundraiser program + picture books</t>
  </si>
  <si>
    <t xml:space="preserve">exhibit (Expo), sponsor</t>
  </si>
  <si>
    <t xml:space="preserve">2027 NCEA Convention &amp; Expo ('Bridge Builders'), March 30–April 1, 2027, Indianapolis</t>
  </si>
  <si>
    <t xml:space="preserve">https://ncea.org</t>
  </si>
  <si>
    <t xml:space="preserve">[K–12] Catholic elementary schools often run parish and PTO fundraisers.</t>
  </si>
  <si>
    <t xml:space="preserve">National Center for Montessori in the Public Sector (NCMPS)</t>
  </si>
  <si>
    <t xml:space="preserve">Public Montessori schools and educators</t>
  </si>
  <si>
    <t xml:space="preserve">National hub for public-sector Montessori; annual Public Montessori Conference + Retreat</t>
  </si>
  <si>
    <t xml:space="preserve">sponsor, resource listing</t>
  </si>
  <si>
    <t xml:space="preserve">2026 held Apr 17-19, Milwaukee. 2027 likely April (TBA).</t>
  </si>
  <si>
    <t xml:space="preserve">https://www.public-montessori.org/</t>
  </si>
  <si>
    <t xml:space="preserve">[Early Childhood] Members are public schools, so the never-name-or-criticize-schools rule applies strictly. Do not pitch any MCPS school through NCMPS channels.</t>
  </si>
  <si>
    <t xml:space="preserve">National PTA (Convention)</t>
  </si>
  <si>
    <t xml:space="preserve">Millions of members in local PTA units nationwide (the current count was not captured; re-check at pta.org)</t>
  </si>
  <si>
    <t xml:space="preserve">Largest US parent-teacher volunteer association. It holds an annual national convention for state and local PTA leaders.</t>
  </si>
  <si>
    <t xml:space="preserve">Group fundraiser program + host-it-yourself family play-night kits + research briefs</t>
  </si>
  <si>
    <t xml:space="preserve">sponsor (through National PTA's Resource Development team / Meetings Department); exhibit only if a 2027 expo hall is offered (not confirmed)</t>
  </si>
  <si>
    <t xml:space="preserve">2027 exhibit and sponsor prices are not published. As a benchmark, Washington State PTA's 2026 booth was $1,000 + tax. National sponsorship packages are usually much higher (not verified).</t>
  </si>
  <si>
    <t xml:space="preserve">Convention 2027: pta.org was taking session proposals. The date and city were not captured. It is historically held in early summer.</t>
  </si>
  <si>
    <t xml:space="preserve">https://www.pta.org</t>
  </si>
  <si>
    <t xml:space="preserve">[Parents] Confirmed from earlier search results (pta.org Convention, Toolkit and Sponsors &amp; Partners pages). The noncommercial policy is confirmed: all PTA bylaws require PTAs to be non-commercial; National PTA endorses no commercial product; sponsorship is allowed; and the PTA name may not be used to promote a vendor's goods. So never write 'PTA-approved' or similar. Fit lowered from 4 because the expo hall is unconfirmed, sponsorship is costly and a booth needs a hired staffer. PTO Today reaches the same leaders more cheaply.</t>
  </si>
  <si>
    <t xml:space="preserve">North American Reggio Emilia Alliance (NAREA)</t>
  </si>
  <si>
    <t xml:space="preserve">international (North America)</t>
  </si>
  <si>
    <t xml:space="preserve">Reggio-inspired educators, schools and networks; publishes the Innovations journal</t>
  </si>
  <si>
    <t xml:space="preserve">Alliance promoting the Reggio Emilia approach; winter and spring/summer conferences</t>
  </si>
  <si>
    <t xml:space="preserve">Card deck; play guide; picture books; research briefs</t>
  </si>
  <si>
    <t xml:space="preserve">sponsor, resource listing, guest article (Innovations journal)</t>
  </si>
  <si>
    <t xml:space="preserve">Nov 11-13, 2026 ('Design Thinking: A Responsibility of Educators'). Mar 18-20, 2027.</t>
  </si>
  <si>
    <t xml:space="preserve">https://www.reggioalliance.org/conferences/</t>
  </si>
  <si>
    <t xml:space="preserve">[Early Childhood] Fit lowered from 4: exhibit access is limited and Reggio educators resist packaged activities. Position the play guide as provocations, not a curriculum. Written articles suit the faceless model.</t>
  </si>
  <si>
    <t xml:space="preserve">Prizmah: Center for Jewish Day Schools</t>
  </si>
  <si>
    <t xml:space="preserve">1,000+ Jewish day school and yeshiva decision-makers at its conference</t>
  </si>
  <si>
    <t xml:space="preserve">Network for Jewish day schools</t>
  </si>
  <si>
    <t xml:space="preserve">Classroom pack + parent workshop kits</t>
  </si>
  <si>
    <t xml:space="preserve">Packages at prizmah.org/exhibitor-and-sponsor-opportunities</t>
  </si>
  <si>
    <t xml:space="preserve">Prizmah Conference 2027 (registration opens Oct 12, 2026; dates and location not yet published)</t>
  </si>
  <si>
    <t xml:space="preserve">https://prizmah.org</t>
  </si>
  <si>
    <t xml:space="preserve">[K–12] Mid-size faith-school audience.</t>
  </si>
  <si>
    <t xml:space="preserve">Request packages at prizmah.org/exhibitor-and-sponsor-opportunities before 2027 conference registration opens Oct 12, 2026.</t>
  </si>
  <si>
    <t xml:space="preserve">Public Library Association (PLA)</t>
  </si>
  <si>
    <t xml:space="preserve">6,400+ attendees in 2026; 267 exhibiting companies in 535 booths</t>
  </si>
  <si>
    <t xml:space="preserve">ALA division for public libraries</t>
  </si>
  <si>
    <t xml:space="preserve">Library-binding books + workshop kits for family programs</t>
  </si>
  <si>
    <t xml:space="preserve">Exhibits through Corcoran Expositions, pla@corcexpo.com, 312-265-9644. Rates not published.</t>
  </si>
  <si>
    <t xml:space="preserve">PLA 2028 Conference, March 13–15, 2028, San Francisco (biennial; registration opens fall 2027)</t>
  </si>
  <si>
    <t xml:space="preserve">https://www.placonference.org</t>
  </si>
  <si>
    <t xml:space="preserve">[K–12] The next event is in 2028. State library associations are the nearer route.</t>
  </si>
  <si>
    <t xml:space="preserve">Request the sponsorship package (contact: pla@corcexpo.com)</t>
  </si>
  <si>
    <t xml:space="preserve">School Library Journal (SLJ)</t>
  </si>
  <si>
    <t xml:space="preserve">School and children's librarians nationwide</t>
  </si>
  <si>
    <t xml:space="preserve">Main trade journal for school and youth librarians (Media Source Inc.)</t>
  </si>
  <si>
    <t xml:space="preserve">Library-binding picture books</t>
  </si>
  <si>
    <t xml:space="preserve">review submission, newsletter ad</t>
  </si>
  <si>
    <t xml:space="preserve">A full-page B&amp;W ad is about $6,480, but this is a third-party estimate. The 2026 media kit is at media.libraryjournal.com. Sales: 646-746-6759. IBPA runs a member SLJ ad program.</t>
  </si>
  <si>
    <t xml:space="preserve">2026 media kit and editorial calendar available</t>
  </si>
  <si>
    <t xml:space="preserve">https://www.slj.com</t>
  </si>
  <si>
    <t xml:space="preserve">[K–12] To be reviewed, titles must be available from national distributors at an institutional discount; IngramSpark distribution meets this. Send two copies at least two months before the publication month through the MSI portal.</t>
  </si>
  <si>
    <t xml:space="preserve">Send two review copies through the MSI portal at least two months before the publication month.</t>
  </si>
  <si>
    <t xml:space="preserve">Screen-Free Week (hosted by IPA USA)</t>
  </si>
  <si>
    <t xml:space="preserve">advocacy group</t>
  </si>
  <si>
    <t xml:space="preserve">national (US), with international participation</t>
  </si>
  <si>
    <t xml:space="preserve">Families, schools, libraries and community groups who host events; a free resource library at screenfree.org</t>
  </si>
  <si>
    <t xml:space="preserve">Annual screen-free celebration. Fairplay handed it over in 2025 to IPA USA (the American Association for Promoting the Child's Right to Play), which now also promotes 'celebrate any week'.</t>
  </si>
  <si>
    <t xml:space="preserve">Free printable Screen-Free Week activity pack or organizer kit (no selling inside their channels)</t>
  </si>
  <si>
    <t xml:space="preserve">resource listing (offer a free download), event-host listing; ask IPA USA whether it accepts business supporters</t>
  </si>
  <si>
    <t xml:space="preserve">Free</t>
  </si>
  <si>
    <t xml:space="preserve">May 3–9, 2027</t>
  </si>
  <si>
    <t xml:space="preserve">https://screenfree.org</t>
  </si>
  <si>
    <t xml:space="preserve">[Parents] New entry replacing the Fairplay Screen-Free Week route. Confirmed from earlier search results citing screenfree.org and fairplayforkids.org. IPA USA (ipausa.org, which also resolves) frames play as away from 'corporate greed', so pitch only as a free contributor. Use the week as a marketing moment on the brand's own channels. Do not use 'Screen-Free Week' as a product name or in paid ads without permission; its trademark status is unclear.</t>
  </si>
  <si>
    <t xml:space="preserve">Offer a free printable activity pack for the resource library before May 3–9, 2027; do not use the name in paid ads.</t>
  </si>
  <si>
    <t xml:space="preserve">Start Early - National Home Visiting Summit</t>
  </si>
  <si>
    <t xml:space="preserve">About 750 in-person + 500 virtual home-visiting leaders (2025 figures)</t>
  </si>
  <si>
    <t xml:space="preserve">Flagship home-visiting systems/policy summit run by Start Early</t>
  </si>
  <si>
    <t xml:space="preserve">Research briefs; workshop kits</t>
  </si>
  <si>
    <t xml:space="preserve">sponsor, exhibit (custom packages)</t>
  </si>
  <si>
    <t xml:space="preserve">Not published. Events@StartEarly.org</t>
  </si>
  <si>
    <t xml:space="preserve">Held annually in late winter in Washington DC. 2027 TBA.</t>
  </si>
  <si>
    <t xml:space="preserve">https://www.startearly.org/event/home-visiting-summit/sponsorship/</t>
  </si>
  <si>
    <t xml:space="preserve">[Early Childhood] Leader and policy audience with low direct purchasing; the DC location is convenient.</t>
  </si>
  <si>
    <t xml:space="preserve">Request the sponsorship package (contact: Events@StartEarly.org)</t>
  </si>
  <si>
    <t xml:space="preserve">WeAreTeachers</t>
  </si>
  <si>
    <t xml:space="preserve">Millions of monthly educator visitors; 2.6M+ opt-in email audience across 14 newsletters; 3M+ social followers</t>
  </si>
  <si>
    <t xml:space="preserve">Teacher media site that runs display ads, sponsored articles, printables and giveaways</t>
  </si>
  <si>
    <t xml:space="preserve">Classroom pack (sponsored printable or giveaway)</t>
  </si>
  <si>
    <t xml:space="preserve">sponsored content, newsletter ad, giveaway</t>
  </si>
  <si>
    <t xml:space="preserve">Custom, sales-led pricing, not published</t>
  </si>
  <si>
    <t xml:space="preserve">https://www.weareteachers.com/advertise-with-weareteachers/</t>
  </si>
  <si>
    <t xml:space="preserve">[K–12] A giveaway or sponsored printable is the most affordable way in, and no founder appearance is needed. The earlier ownership label '(MDR)' was not confirmed and has been removed.</t>
  </si>
  <si>
    <t xml:space="preserve">Request the media kit and ad rates</t>
  </si>
  <si>
    <t xml:space="preserve">American Library Association (ALA Annual Conference &amp; Exhibition)</t>
  </si>
  <si>
    <t xml:space="preserve">Largest US library gathering</t>
  </si>
  <si>
    <t xml:space="preserve">National library association with a large annual exhibit hall</t>
  </si>
  <si>
    <t xml:space="preserve">exhibit (preferably through the IBPA cooperative booth)</t>
  </si>
  <si>
    <t xml:space="preserve">Direct booth rates through show management, ala@heiexpo.com. A $600 'contribution' in search results covers AV and room costs for an exhibitor program and is NOT a booth price. The IBPA shelf ($725) is the affordable route.</t>
  </si>
  <si>
    <t xml:space="preserve">2027 ALA Annual, June 24–28, 2027 (exhibits about June 25–28), New Orleans</t>
  </si>
  <si>
    <t xml:space="preserve">https://2027.alaannual.org</t>
  </si>
  <si>
    <t xml:space="preserve">[K–12] A direct booth is too costly early on; use IBPA instead.</t>
  </si>
  <si>
    <t xml:space="preserve">Request the 2027 exhibitor prospectus; plan a hired booth rep (contact: ala@heiexpo.com)</t>
  </si>
  <si>
    <t xml:space="preserve">AMI/USA (Association Montessori Internationale of the United States) - The Montessori Experience</t>
  </si>
  <si>
    <t xml:space="preserve">AMI-trained educators and schools nationwide</t>
  </si>
  <si>
    <t xml:space="preserve">US branch of AMI; runs an annual refresher-course event with exhibitors</t>
  </si>
  <si>
    <t xml:space="preserve">Card deck; play guide; realistic picture books</t>
  </si>
  <si>
    <t xml:space="preserve">exhibit</t>
  </si>
  <si>
    <t xml:space="preserve">The 2027 Montessori Experience: Refresher Courses and More, Feb 12-14, 2027 (location not sourced)</t>
  </si>
  <si>
    <t xml:space="preserve">https://www.amiusa.org/event/the-2027-montessori-experience-refresher-courses-and-more</t>
  </si>
  <si>
    <t xml:space="preserve">[Early Childhood] Fit lowered from 4: AMI classrooms are stricter than AMS about non-Montessori materials, so the realistic picture books and card deck are the only likely sellers. Event site is themontessoriexperience.org; exhibitors attend Friday to Sunday.</t>
  </si>
  <si>
    <t xml:space="preserve">Request the 2027 exhibitor prospectus; plan a hired booth rep</t>
  </si>
  <si>
    <t xml:space="preserve">LCMS District Early Childhood Conferences (Lutheran Church-Missouri Synod)</t>
  </si>
  <si>
    <t xml:space="preserve">national (district-level)</t>
  </si>
  <si>
    <t xml:space="preserve">Lutheran early childhood centers and educators, by district</t>
  </si>
  <si>
    <t xml:space="preserve">District-run early childhood educator conferences (Missouri, Minnesota South, Northern Illinois and others; Maryland is in the Southeastern District)</t>
  </si>
  <si>
    <t xml:space="preserve">Board books; Classroom Pack</t>
  </si>
  <si>
    <t xml:space="preserve">Not published; district tables are typically low-cost (estimate)</t>
  </si>
  <si>
    <t xml:space="preserve">Missouri District held Mar 7, 2026. 2027 district dates TBA. Minnesota South: mnsdistrict.org/2026-ecec.</t>
  </si>
  <si>
    <t xml:space="preserve">https://mo.lcms.org/early-childhood-conferences/</t>
  </si>
  <si>
    <t xml:space="preserve">[Early Childhood] Find other districts via lcms.org.</t>
  </si>
  <si>
    <t xml:space="preserve">National Council of Teachers of English (NCTE)</t>
  </si>
  <si>
    <t xml:space="preserve">PreK–college English/language arts teachers; thousands at the annual convention</t>
  </si>
  <si>
    <t xml:space="preserve">National ELA teachers' association with an elementary section</t>
  </si>
  <si>
    <t xml:space="preserve">Picture books + classroom pack</t>
  </si>
  <si>
    <t xml:space="preserve">10x10 corner booth $2,250, including 4 full registrations. The program-listing deadline (Sep 13) has passed. Media kit at mediakit.ncte.org.</t>
  </si>
  <si>
    <t xml:space="preserve">2026 NCTE Annual Convention, Nov 19–22, 2026, Pennsylvania Convention Center, Philadelphia (exhibit hall Nov 20–22)</t>
  </si>
  <si>
    <t xml:space="preserve">https://convention.ncte.org</t>
  </si>
  <si>
    <t xml:space="preserve">[K–12] Within driving range. The audience skews toward older grades. Newsletter ads were not confirmed.</t>
  </si>
  <si>
    <t xml:space="preserve">The program-listing deadline has passed; ask whether a $2,250 corner booth remains for Nov 19–22, 2026 (Philadelphia), else plan 2027.</t>
  </si>
  <si>
    <t xml:space="preserve">All Pro Dad (Family First)</t>
  </si>
  <si>
    <t xml:space="preserve">Large dad email list and school-based chapters (size not verified)</t>
  </si>
  <si>
    <t xml:space="preserve">Faith-based fatherhood program with an email newsletter.</t>
  </si>
  <si>
    <t xml:space="preserve">Card deck, play guide</t>
  </si>
  <si>
    <t xml:space="preserve">newsletter sponsorship, guest article (unverified)</t>
  </si>
  <si>
    <t xml:space="preserve">https://www.allprodad.com</t>
  </si>
  <si>
    <t xml:space="preserve">[Parents] DNS only. Use the email channel, not school chapters.</t>
  </si>
  <si>
    <t xml:space="preserve">Verify the org, URL and dates on the official site; then pitch a written guest article (no product pitch)</t>
  </si>
  <si>
    <t xml:space="preserve">Blue Star Families</t>
  </si>
  <si>
    <t xml:space="preserve">Large military-family network with local chapters</t>
  </si>
  <si>
    <t xml:space="preserve">Military-family nonprofit with corporate partners and family programs, including book programs.</t>
  </si>
  <si>
    <t xml:space="preserve">Donated or discounted board books; a member discount code on printables</t>
  </si>
  <si>
    <t xml:space="preserve">in-kind donation, partner/member discount, resource listing (unverified)</t>
  </si>
  <si>
    <t xml:space="preserve">In-kind or discount</t>
  </si>
  <si>
    <t xml:space="preserve">https://bluestarfam.org</t>
  </si>
  <si>
    <t xml:space="preserve">[Parents] DNS only. An in-kind book donation is the cleanest faceless way in. Lowered from 4 because the partner route is unverified.</t>
  </si>
  <si>
    <t xml:space="preserve">Healthy Families America (HFA)</t>
  </si>
  <si>
    <t xml:space="preserve">National home-visiting model with affiliate sites in most states</t>
  </si>
  <si>
    <t xml:space="preserve">Evidence-based home-visiting model of Prevent Child Abuse America</t>
  </si>
  <si>
    <t xml:space="preserve">Board books; family bundle 0-5</t>
  </si>
  <si>
    <t xml:space="preserve">sponsor (virtual conference), partner/affiliate outreach, resource listing</t>
  </si>
  <si>
    <t xml:space="preserve">HFA LIVE 2026 (virtual), listed as Oct 27-29, 2026: UNVERIFIED, because these are exactly ZERO TO THREE LEARN's dates and may be a mix-up</t>
  </si>
  <si>
    <t xml:space="preserve">https://www.healthyfamiliesamerica.org/</t>
  </si>
  <si>
    <t xml:space="preserve">[Early Childhood] The org and domain are well established, but the event dates are suspect; confirm directly. The mission is child-abuse prevention, so make no wellness, health or child-welfare claims. Some HFA sites are run by health departments; skip any Montgomery County DHHS site.</t>
  </si>
  <si>
    <t xml:space="preserve">MomCo (formerly MOPS International)</t>
  </si>
  <si>
    <t xml:space="preserve">MOPS historically reported reaching 3 million moms a year in 109 countries (Wikipedia figure; re-check). Many local groups meet in churches.</t>
  </si>
  <si>
    <t xml:space="preserve">Christian nonprofit that gathers moms of young children 'in partnership with the local church'. MOPS rebranded to MomCo in 2023.</t>
  </si>
  <si>
    <t xml:space="preserve">Talk-along board books, 0–5 printable bundle, 100-activity play guide, workshop kits for group meetings</t>
  </si>
  <si>
    <t xml:space="preserve">brand partnership/sponsor or resource listing at the national level (unverified); mailed outreach to local group coordinators</t>
  </si>
  <si>
    <t xml:space="preserve">https://www.themom.co</t>
  </si>
  <si>
    <t xml:space="preserve">[Parents] URL CORRECTED. momco.org sits on a Network Solutions parking address and themomco.org does not exist. mops.org and themom.co share one server, whose reverse DNS is www.themom.co. joinmomco.com is its 'Start a MomCo' site (seen in search results). Existence and rebrand are confirmed from earlier search results, but no brand-partner route was found. It is a faith ministry, so keep the tone neutral. Lowered from 4; raise it if a partner program is confirmed.</t>
  </si>
  <si>
    <t xml:space="preserve">Multiples of America (formerly National Organization of Mothers of Twins Clubs)</t>
  </si>
  <si>
    <t xml:space="preserve">national (US), local clubs</t>
  </si>
  <si>
    <t xml:space="preserve">Local twins and multiples parent clubs nationwide (count not verified)</t>
  </si>
  <si>
    <t xml:space="preserve">Nonprofit federation of parent-of-multiples clubs. Historically it holds an annual convention with vendors, and local clubs run consignment sales.</t>
  </si>
  <si>
    <t xml:space="preserve">Talk-along board books (bundles for twins), 0–5 printables, play guide</t>
  </si>
  <si>
    <t xml:space="preserve">convention vendor/sponsor, newsletter ad, club resource listing (all unverified)</t>
  </si>
  <si>
    <t xml:space="preserve">Annual convention (usually summer); confirm at multiplesofamerica.org</t>
  </si>
  <si>
    <t xml:space="preserve">https://www.multiplesofamerica.org</t>
  </si>
  <si>
    <t xml:space="preserve">[Parents] New addition. DNS only. A dense 0–5 parent audience that buys books in pairs.</t>
  </si>
  <si>
    <t xml:space="preserve">Verify the org, URL and dates on the official site; then request the media kit and ad rates</t>
  </si>
  <si>
    <t xml:space="preserve">National Black Child Development Institute (NBCDI)</t>
  </si>
  <si>
    <t xml:space="preserve">advocacy group / conference</t>
  </si>
  <si>
    <t xml:space="preserve">national (HQ in the DC/Silver Spring area)</t>
  </si>
  <si>
    <t xml:space="preserve">National network with local affiliates (for example, BCDI-Atlanta)</t>
  </si>
  <si>
    <t xml:space="preserve">Nonprofit advancing the well-being of Black children; has held an annual national conference</t>
  </si>
  <si>
    <t xml:space="preserve">Talk-along board books; family bundles; research briefs</t>
  </si>
  <si>
    <t xml:space="preserve">sponsor, exhibit (national conference), partner/affiliate outreach</t>
  </si>
  <si>
    <t xml:space="preserve">2026-27 conference dates not found; confirm whether the conference is running</t>
  </si>
  <si>
    <t xml:space="preserve">https://www.nbcdi.org/</t>
  </si>
  <si>
    <t xml:space="preserve">[Early Childhood] nbcdi.org is the long-standing official domain, but it did not surface in the first pass's results and could not be opened in this pass. The conference's current status is unverified. A Silver Spring address is not an exclusion (it is not county government or MCPS).</t>
  </si>
  <si>
    <t xml:space="preserve">Abriendo Puertas / Opening Doors</t>
  </si>
  <si>
    <t xml:space="preserve">Bilingual parent-leadership program for Latino families of children 0–5, delivered through community partners</t>
  </si>
  <si>
    <t xml:space="preserve">National Latino family-leadership program for early childhood.</t>
  </si>
  <si>
    <t xml:space="preserve">Talk-along board books and 0–5 printables in Spanish/English editions</t>
  </si>
  <si>
    <t xml:space="preserve">partner/resource listing, bulk books for facilitator kits, email outreach</t>
  </si>
  <si>
    <t xml:space="preserve">Likely free outreach; bulk or donated books</t>
  </si>
  <si>
    <t xml:space="preserve">https://www.ap-od.org</t>
  </si>
  <si>
    <t xml:space="preserve">[Parents] URL CHANGED. abriendopuertas.org fails DNS (SERVFAIL) on every retry, while ap-od.org resolves (Cloudflare) and is believed, from recall, to be the organization's current domain. Verify before outreach. Only credible once Spanish editions exist. Lowered from 4.</t>
  </si>
  <si>
    <t xml:space="preserve">Armed Services YMCA</t>
  </si>
  <si>
    <t xml:space="preserve">Branches near military installations offering child and family programs</t>
  </si>
  <si>
    <t xml:space="preserve">Nonprofit serving junior-enlisted military families, including early-childhood programs.</t>
  </si>
  <si>
    <t xml:space="preserve">Board books, workshop kits (in-kind or discounted)</t>
  </si>
  <si>
    <t xml:space="preserve">in-kind donation, email outreach to branches</t>
  </si>
  <si>
    <t xml:space="preserve">In-kind</t>
  </si>
  <si>
    <t xml:space="preserve">https://www.asymca.org</t>
  </si>
  <si>
    <t xml:space="preserve">[Parents] DNS only.</t>
  </si>
  <si>
    <t xml:space="preserve">Verify the org, URL and dates on the official site; then ask about their in-kind book donation policy</t>
  </si>
  <si>
    <t xml:space="preserve">Association of Waldorf Schools of North America (AWSNA)</t>
  </si>
  <si>
    <t xml:space="preserve">Waldorf schools across the US and Canada</t>
  </si>
  <si>
    <t xml:space="preserve">Accrediting and membership association for independent Waldorf schools (a naturally screen-light pedagogy)</t>
  </si>
  <si>
    <t xml:space="preserve">Picture books; play guide; family bundles for parent communities; fundraiser program</t>
  </si>
  <si>
    <t xml:space="preserve">sponsor, newsletter ad, partner/affiliate</t>
  </si>
  <si>
    <t xml:space="preserve">CORRECTION: the 'World Teachers' Conference' is run by the Goetheanum's Pedagogical Section in Switzerland, not AWSNA. AWSNA's own conference dates were not sourced; check waldorfeducation.org events.</t>
  </si>
  <si>
    <t xml:space="preserve">https://www.waldorfeducation.org/</t>
  </si>
  <si>
    <t xml:space="preserve">[Early Childhood + K–12] Org and domain are well established, but the event attribution was wrong and no AWSNA event date was verified. Fit lowered: Waldorf schools favor oral storytelling and natural materials and are cautious about commercial vendors, so show the product first. Parent communities are the likelier buyers (family bundles, fundraiser). || From the K–12 list: Fit lowered from 4 to 3. No sponsor, ad or resource-listing program was found; the organization and its 2027 events are confirmed. The Alliance for Public Waldorf Education appears in the early-childhood list.</t>
  </si>
  <si>
    <t xml:space="preserve">COBIS (Council of British International Schools)</t>
  </si>
  <si>
    <t xml:space="preserve">international (global; UK-based)</t>
  </si>
  <si>
    <t xml:space="preserve">British-curriculum international schools worldwide (verify count)</t>
  </si>
  <si>
    <t xml:space="preserve">Membership association of British international schools, with 'supporting member' supplier membership and an annual conference with exhibition.</t>
  </si>
  <si>
    <t xml:space="preserve">PreK-5 screen-free classroom pack site licence (EYFS/UK edition) and research briefs; workshop kit for parent evenings</t>
  </si>
  <si>
    <t xml:space="preserve">supporting (supplier) membership, newsletter ad, conference exhibit/sponsor</t>
  </si>
  <si>
    <t xml:space="preserve">Not verified. Request supporting-membership and sponsorship terms.</t>
  </si>
  <si>
    <t xml:space="preserve">Not verified; annual conference typically May (London area)</t>
  </si>
  <si>
    <t xml:space="preserve">https://www.cobis.org.uk</t>
  </si>
  <si>
    <t xml:space="preserve">[International] ADDED. English-language schools with budgets worldwide, and digital site licences avoid shipping. Supplier membership and ads are faceless.</t>
  </si>
  <si>
    <t xml:space="preserve">Defending the Early Years (DEY)</t>
  </si>
  <si>
    <t xml:space="preserve">National e-newsletter and educator advocacy network</t>
  </si>
  <si>
    <t xml:space="preserve">Nonprofit advocating play-based, developmentally appropriate ECE</t>
  </si>
  <si>
    <t xml:space="preserve">Research briefs; play guide</t>
  </si>
  <si>
    <t xml:space="preserve">resource listing, guest article</t>
  </si>
  <si>
    <t xml:space="preserve">Free (listing or article pitch)</t>
  </si>
  <si>
    <t xml:space="preserve">https://dey.org/</t>
  </si>
  <si>
    <t xml:space="preserve">[Early Childhood + K–12] Values align (play first). DEY sometimes critiques specific policies and ed-tech practices, so keep contributions positive and never name schools, districts, companies or products. || From the K–12 list: Fit lowered from 4 to 3. DEY publicly criticizes education policies, so a close tie-in could make the brand look like it criticizes schools or EdTech. Keep any involvement to a resource listing. It was not confirmed that DEY lists commercial products or takes guest articles.</t>
  </si>
  <si>
    <t xml:space="preserve">Verify the org, URL and dates on the official site; then offer a free resource for their resource listing</t>
  </si>
  <si>
    <t xml:space="preserve">First Book (First Book Marketplace)</t>
  </si>
  <si>
    <t xml:space="preserve">First Book Network of 600,000+ educators and programs serving children in need</t>
  </si>
  <si>
    <t xml:space="preserve">Nonprofit social enterprise that supplies donated and deeply discounted books and resources to educators in under-resourced communities</t>
  </si>
  <si>
    <t xml:space="preserve">Board books and picture books (bulk)</t>
  </si>
  <si>
    <t xml:space="preserve">partner/affiliate (publisher partner)</t>
  </si>
  <si>
    <t xml:space="preserve">Terms on request. Partners supply books deeply discounted or donated.</t>
  </si>
  <si>
    <t xml:space="preserve">https://firstbook.org/partners/</t>
  </si>
  <si>
    <t xml:space="preserve">[K–12] Fit lowered from 4 to 3. Search results show partnerships mainly with major publishers. How a small publisher applies was not found. High volume, low margin.</t>
  </si>
  <si>
    <t xml:space="preserve">Homeschool.com</t>
  </si>
  <si>
    <t xml:space="preserve">directory / publication</t>
  </si>
  <si>
    <t xml:space="preserve">High-traffic homeschool resource site and newsletter (traffic not verified)</t>
  </si>
  <si>
    <t xml:space="preserve">For-profit homeschool directory and content site.</t>
  </si>
  <si>
    <t xml:space="preserve">Bundles, play guide, course</t>
  </si>
  <si>
    <t xml:space="preserve">vendor directory, newsletter ad, guest article (not verified)</t>
  </si>
  <si>
    <t xml:space="preserve">Not verified (paid placements)</t>
  </si>
  <si>
    <t xml:space="preserve">https://www.homeschool.com</t>
  </si>
  <si>
    <t xml:space="preserve">[Parents] DNS only. Much of the site's content is online curriculum, so pitch the brand as a paper-first complement and never against any product.</t>
  </si>
  <si>
    <t xml:space="preserve">HSLDA (Home School Legal Defense Association)</t>
  </si>
  <si>
    <t xml:space="preserve">Historically about 100,000 member families (re-check)</t>
  </si>
  <si>
    <t xml:space="preserve">National homeschool legal-advocacy membership group with member benefits and publications.</t>
  </si>
  <si>
    <t xml:space="preserve">100-activity play guide, 0–5 and 5–12 bundles, card deck, written course</t>
  </si>
  <si>
    <t xml:space="preserve">member discount/partner program, publication ad (both unverified)</t>
  </si>
  <si>
    <t xml:space="preserve">Not verified (member-benefit partners usually offer a discount instead of paying a fee)</t>
  </si>
  <si>
    <t xml:space="preserve">https://hslda.org</t>
  </si>
  <si>
    <t xml:space="preserve">[Parents] DNS only. A member-discount program is plausible but unconfirmed. HSLDA does legal and policy advocacy, so keep the brand neutral and out of policy. Lowered from 4.</t>
  </si>
  <si>
    <t xml:space="preserve">Military Child Education Coalition (MCEC): National Training Seminar</t>
  </si>
  <si>
    <t xml:space="preserve">Military families, school liaison officers and educators</t>
  </si>
  <si>
    <t xml:space="preserve">Nonprofit for military-connected children. Its annual National Training Seminar has historically had exhibitors.</t>
  </si>
  <si>
    <t xml:space="preserve">Workshop kits, card deck, board books, research briefs</t>
  </si>
  <si>
    <t xml:space="preserve">exhibit, sponsor (unverified)</t>
  </si>
  <si>
    <t xml:space="preserve">Historically summer in the DC area. Confirm at militarychild.org.</t>
  </si>
  <si>
    <t xml:space="preserve">https://www.militarychild.org</t>
  </si>
  <si>
    <t xml:space="preserve">[Parents] DNS only. The site is on Hostinger (default dns-parking.com nameservers plus the Hostinger CDN), which is consistent with a live site. Attendees include school staff, so never follow up with MCPS staff. Make no child-development outcome claims. Lowered from 4.</t>
  </si>
  <si>
    <t xml:space="preserve">NAFSCE (National Association for Family, School, and Community Engagement)</t>
  </si>
  <si>
    <t xml:space="preserve">Family-engagement professionals and program leaders</t>
  </si>
  <si>
    <t xml:space="preserve">Professional association for family engagement, with events and resources.</t>
  </si>
  <si>
    <t xml:space="preserve">Workshop kits, research briefs, fundraiser program</t>
  </si>
  <si>
    <t xml:space="preserve">exhibit/sponsor at its events, guest article (unverified)</t>
  </si>
  <si>
    <t xml:space="preserve">Confirm events at nafsce.org</t>
  </si>
  <si>
    <t xml:space="preserve">https://www.nafsce.org</t>
  </si>
  <si>
    <t xml:space="preserve">[Parents] DNS only (its YourMembership hosting fits an association). Members include school-district family-engagement staff, so never follow up with MCPS staff. Lowered from 4.</t>
  </si>
  <si>
    <t xml:space="preserve">National Day of Unplugging</t>
  </si>
  <si>
    <t xml:space="preserve">national (US), with global participation</t>
  </si>
  <si>
    <t xml:space="preserve">Annual 24-hour unplug event with community hosts (size not verified)</t>
  </si>
  <si>
    <t xml:space="preserve">Yearly unplug-from-devices day with free organizer resources. The organizer's current name was not verified.</t>
  </si>
  <si>
    <t xml:space="preserve">Free family 'unplugged day' printable, card deck as an optional add-on</t>
  </si>
  <si>
    <t xml:space="preserve">resource listing, event partner/sponsor (unverified)</t>
  </si>
  <si>
    <t xml:space="preserve">Historically sundown Friday to Saturday in early March; est. March 5–6, 2027</t>
  </si>
  <si>
    <t xml:space="preserve">https://www.nationaldayofunplugging.com</t>
  </si>
  <si>
    <t xml:space="preserve">[Parents] New addition (the brand's own BLIND-SPOTS.md already names it as a target). DNS only (Squarespace). Also covers school-age families, which suits the 5–12 bundle.</t>
  </si>
  <si>
    <t xml:space="preserve">Verify the organizer, then offer a free family unplugged-day printable before Mar 5–6, 2027.</t>
  </si>
  <si>
    <t xml:space="preserve">National Indian Head Start Directors Association (NIHSDA)</t>
  </si>
  <si>
    <t xml:space="preserve">national (tribal Head Start and Early Head Start)</t>
  </si>
  <si>
    <t xml:space="preserve">American Indian and Alaska Native Head Start/Early Head Start programs</t>
  </si>
  <si>
    <t xml:space="preserve">National association for tribal Head Start directors; annual conference with exhibitors</t>
  </si>
  <si>
    <t xml:space="preserve">Classroom Pack; board books; family bundles</t>
  </si>
  <si>
    <t xml:space="preserve">Annual conference; 2026-27 dates not verified</t>
  </si>
  <si>
    <t xml:space="preserve">https://www.nihsda.org/</t>
  </si>
  <si>
    <t xml:space="preserve">[Early Childhood] ADDED. Domain from knowledge; not opened in this pass. Approach respectfully and ask about cultural relevance before pitching generic materials.</t>
  </si>
  <si>
    <t xml:space="preserve">National Migrant &amp; Seasonal Head Start Association (NMSHSA)</t>
  </si>
  <si>
    <t xml:space="preserve">Migrant and Seasonal Head Start programs nationwide</t>
  </si>
  <si>
    <t xml:space="preserve">National association for Migrant and Seasonal Head Start; annual conference with exhibitors</t>
  </si>
  <si>
    <t xml:space="preserve">Board books; family bundles (Spanish versions would raise fit); Classroom Pack</t>
  </si>
  <si>
    <t xml:space="preserve">https://www.nmshsa.org/</t>
  </si>
  <si>
    <t xml:space="preserve">[Early Childhood] ADDED. Domain from knowledge; not opened in this pass. Families are largely Spanish-speaking, so fit rises to 4 if bilingual editions exist.</t>
  </si>
  <si>
    <t xml:space="preserve">Operation Homefront</t>
  </si>
  <si>
    <t xml:space="preserve">Military-family nonprofit whose baby-shower and back-to-school events rely on donated and sponsor-provided items (program details not verified)</t>
  </si>
  <si>
    <t xml:space="preserve">Nonprofit giving relief and recurring family programs to military families.</t>
  </si>
  <si>
    <t xml:space="preserve">Talk-along board books donated for baby-shower gift bags; 0–5 printable code</t>
  </si>
  <si>
    <t xml:space="preserve">in-kind donation / corporate partner (unverified)</t>
  </si>
  <si>
    <t xml:space="preserve">https://www.operationhomefront.org</t>
  </si>
  <si>
    <t xml:space="preserve">[Parents] New addition. DNS only. An in-kind donation is faceless and puts the board books straight into new-parent hands. Confirm the donation policy first.</t>
  </si>
  <si>
    <t xml:space="preserve">SEA Homeschoolers (Secular, Eclectic, Academic)</t>
  </si>
  <si>
    <t xml:space="preserve">national (US), online</t>
  </si>
  <si>
    <t xml:space="preserve">Large online secular homeschool community (size not verified)</t>
  </si>
  <si>
    <t xml:space="preserve">Inclusive, secular homeschool network with resource listings.</t>
  </si>
  <si>
    <t xml:space="preserve">5–12 bundle, play guide, card deck, course</t>
  </si>
  <si>
    <t xml:space="preserve">resource listing, sponsor/ad, guest article (not verified)</t>
  </si>
  <si>
    <t xml:space="preserve">https://www.seahomeschoolers.com</t>
  </si>
  <si>
    <t xml:space="preserve">[Parents] DNS only. A counterweight to the faith-based channels.</t>
  </si>
  <si>
    <t xml:space="preserve">Teach Them Diligently</t>
  </si>
  <si>
    <t xml:space="preserve">national (US, regional)</t>
  </si>
  <si>
    <t xml:space="preserve">Regional Christian homeschool conventions (number of 2027 events not verified)</t>
  </si>
  <si>
    <t xml:space="preserve">Christian homeschool convention series with exhibit halls.</t>
  </si>
  <si>
    <t xml:space="preserve">Books, play guide, card deck, printable bundles</t>
  </si>
  <si>
    <t xml:space="preserve">Not verified (est. $700–$2,000)</t>
  </si>
  <si>
    <t xml:space="preserve">Historically spring. Confirm whether 2027 events run at teachthemdiligently.net.</t>
  </si>
  <si>
    <t xml:space="preserve">https://www.teachthemdiligently.net</t>
  </si>
  <si>
    <t xml:space="preserve">[Parents] DNS only. Faith-based audience. Lowered from 4 because it is unverified and exhibit-only.</t>
  </si>
  <si>
    <t xml:space="preserve">The Old Schoolhouse Magazine</t>
  </si>
  <si>
    <t xml:space="preserve">Long-running homeschool magazine and digital network (circulation not verified)</t>
  </si>
  <si>
    <t xml:space="preserve">Homeschool publisher selling ads and sponsored reviews.</t>
  </si>
  <si>
    <t xml:space="preserve">Books, play guide, bundles</t>
  </si>
  <si>
    <t xml:space="preserve">newsletter/magazine ad, guest article, product review (not verified)</t>
  </si>
  <si>
    <t xml:space="preserve">https://www.theoldschoolhouse.com</t>
  </si>
  <si>
    <t xml:space="preserve">[Parents] DNS only. Faceless print and email reach. Lowered from 4 because the ad route is unverified.</t>
  </si>
  <si>
    <t xml:space="preserve">US Play Coalition - Conference on the Value of Play</t>
  </si>
  <si>
    <t xml:space="preserve">Cross-sector play advocates: early childhood, recreation, education, research</t>
  </si>
  <si>
    <t xml:space="preserve">Play-advocacy network based at Clemson University; runs the annual Conference on the Value of Play</t>
  </si>
  <si>
    <t xml:space="preserve">100-activity play guide; card deck; research briefs</t>
  </si>
  <si>
    <t xml:space="preserve">sponsor, exhibit, resource listing, guest article</t>
  </si>
  <si>
    <t xml:space="preserve">Annual conference, usually late winter or spring; 2027 dates not verified</t>
  </si>
  <si>
    <t xml:space="preserve">https://usplaycoalition.org/</t>
  </si>
  <si>
    <t xml:space="preserve">[Early Childhood] ADDED. Domain from knowledge; not opened in this pass. Its play-first message fits the brand; its audience is partly recreation professionals rather than ECE buyers. May overlap with a play/parks category.</t>
  </si>
  <si>
    <t xml:space="preserve">Australian Childcare Alliance (ACA) and state branches</t>
  </si>
  <si>
    <t xml:space="preserve">National peak body for privately owned long day care services, with state branches (verify)</t>
  </si>
  <si>
    <t xml:space="preserve">Peak body for private early learning owners. Its state branches run conferences with trade exhibitions and member offers.</t>
  </si>
  <si>
    <t xml:space="preserve">PreK classroom pack site licence (multi-centre) and family printables for centres to give parents</t>
  </si>
  <si>
    <t xml:space="preserve">member offer / preferred supplier, newsletter ad, conference exhibit/sponsor</t>
  </si>
  <si>
    <t xml:space="preserve">Not verified; check national and state conference dates</t>
  </si>
  <si>
    <t xml:space="preserve">https://childcarealliance.org.au</t>
  </si>
  <si>
    <t xml:space="preserve">[International] ADDED. Centre owners buy multi-site licences. Conferences need staff, so start with member offers or ads.</t>
  </si>
  <si>
    <t xml:space="preserve">Childminding Ireland</t>
  </si>
  <si>
    <t xml:space="preserve">Irish childminders (verify)</t>
  </si>
  <si>
    <t xml:space="preserve">National membership body for childminders in Ireland.</t>
  </si>
  <si>
    <t xml:space="preserve">Printable family bundles, play guide and card deck</t>
  </si>
  <si>
    <t xml:space="preserve">member discount, newsletter ad</t>
  </si>
  <si>
    <t xml:space="preserve">https://www.childminding.ie</t>
  </si>
  <si>
    <t xml:space="preserve">[International] EU VAT OSS applies to consumer digital sales. English-language market.</t>
  </si>
  <si>
    <t xml:space="preserve">Community Early Learning Australia (CELA)</t>
  </si>
  <si>
    <t xml:space="preserve">international (Australia - NSW-based, national)</t>
  </si>
  <si>
    <t xml:space="preserve">Not-for-profit community early learning services (verify)</t>
  </si>
  <si>
    <t xml:space="preserve">Peak body for community-based early learning services; publishes 'Rattler' magazine.</t>
  </si>
  <si>
    <t xml:space="preserve">PreK classroom pack and family printables</t>
  </si>
  <si>
    <t xml:space="preserve">magazine ad (Rattler), newsletter ad, member offer</t>
  </si>
  <si>
    <t xml:space="preserve">https://www.cela.org.au</t>
  </si>
  <si>
    <t xml:space="preserve">[International] ADDED. The magazine channel is faceless.</t>
  </si>
  <si>
    <t xml:space="preserve">Early Childhood Council (ECC)</t>
  </si>
  <si>
    <t xml:space="preserve">international (New Zealand)</t>
  </si>
  <si>
    <t xml:space="preserve">New Zealand's largest representative body for licensed early childhood centres (verify count)</t>
  </si>
  <si>
    <t xml:space="preserve">Membership body for NZ early childhood centres; runs an annual conference with a trade exhibition and member partner offers.</t>
  </si>
  <si>
    <t xml:space="preserve">PreK classroom pack aligned to Te Whariki and family printables</t>
  </si>
  <si>
    <t xml:space="preserve">member partner offer, newsletter ad, conference exhibit/sponsor</t>
  </si>
  <si>
    <t xml:space="preserve">Not verified; check the annual conference</t>
  </si>
  <si>
    <t xml:space="preserve">https://www.ecc.org.nz</t>
  </si>
  <si>
    <t xml:space="preserve">[International] ADDED. The main centre-owner channel in NZ. Use te reo Maori touches and Te Whariki terms. NZ GST applies above NZ$60k.</t>
  </si>
  <si>
    <t xml:space="preserve">Early Education (British Association for Early Childhood Education)</t>
  </si>
  <si>
    <t xml:space="preserve">Early years practitioners, teachers and academics (verify)</t>
  </si>
  <si>
    <t xml:space="preserve">Long-established UK early years charity focused on play-based pedagogy, publications and professional development.</t>
  </si>
  <si>
    <t xml:space="preserve">Research briefs for groups, the 100-activity play guide and the written course</t>
  </si>
  <si>
    <t xml:space="preserve">newsletter/journal ad, guest article, resource listing</t>
  </si>
  <si>
    <t xml:space="preserve">Not verified; check events and conferences</t>
  </si>
  <si>
    <t xml:space="preserve">https://early-education.org.uk</t>
  </si>
  <si>
    <t xml:space="preserve">[International] Pedagogy-focused readers expect evidence-referenced materials; make no health claims. Written channels are faceless.</t>
  </si>
  <si>
    <t xml:space="preserve">Early Years Scotland</t>
  </si>
  <si>
    <t xml:space="preserve">international (UK - Scotland)</t>
  </si>
  <si>
    <t xml:space="preserve">Scotland's national early years membership organisation for settings and practitioners (verify count)</t>
  </si>
  <si>
    <t xml:space="preserve">Scottish early years charity supporting 0-5 settings, practitioners and parent-and-toddler groups (its 'Stay, Play and Learn' groups; verify).</t>
  </si>
  <si>
    <t xml:space="preserve">Printable family bundle (0-5), play guide and host-it-yourself workshop kit, Scottish edition</t>
  </si>
  <si>
    <t xml:space="preserve">newsletter ad, member offer, resource listing, conference sponsor</t>
  </si>
  <si>
    <t xml:space="preserve">Not verified; check for an annual conference</t>
  </si>
  <si>
    <t xml:space="preserve">https://earlyyearsscotland.org</t>
  </si>
  <si>
    <t xml:space="preserve">[International] ADDED. Use 'Realising the Ambition: Being Me' terminology.</t>
  </si>
  <si>
    <t xml:space="preserve">FRP Canada (Canadian Association of Family Resource Programs)</t>
  </si>
  <si>
    <t xml:space="preserve">international (Canada - national, bilingual)</t>
  </si>
  <si>
    <t xml:space="preserve">National network of family resource centres running parent-child drop-ins and playgroups for 0-6 (verify)</t>
  </si>
  <si>
    <t xml:space="preserve">National bilingual association of family resource programmes that support parents and young children through play-based drop-ins.</t>
  </si>
  <si>
    <t xml:space="preserve">Talk-along board books, host-it-yourself workshop kit and printable 0-5 bundle</t>
  </si>
  <si>
    <t xml:space="preserve">resource listing, newsletter ad, partner inquiry</t>
  </si>
  <si>
    <t xml:space="preserve">https://frp.ca</t>
  </si>
  <si>
    <t xml:space="preserve">[International] ADDED. Its parent-child play focus matches the brand closely. National reach needs French materials; English alone works for English-speaking provinces.</t>
  </si>
  <si>
    <t xml:space="preserve">IPPN (Irish Primary Principals' Network)</t>
  </si>
  <si>
    <t xml:space="preserve">Principals and deputy principals of Irish primary schools, which run from junior infants to 6th class (verify)</t>
  </si>
  <si>
    <t xml:space="preserve">Professional body for primary school leaders in Ireland; runs a large annual conference with a trade exhibition and has sponsor partners.</t>
  </si>
  <si>
    <t xml:space="preserve">PreK-5 screen-free classroom pack site licence and research briefs; workshop kit for school parent evenings</t>
  </si>
  <si>
    <t xml:space="preserve">exhibit/sponsor at annual conference, newsletter ad, sponsor partner</t>
  </si>
  <si>
    <t xml:space="preserve">Not verified; annual conference typically late January/early February (Dublin area)</t>
  </si>
  <si>
    <t xml:space="preserve">https://www.ippn.ie</t>
  </si>
  <si>
    <t xml:space="preserve">[International] ADDED. It is a professional body, not a trade union; confirm it has no Education International affiliation before contact. The exhibit needs staff, so ask about ads or sponsored mailings. Needs an Irish-curriculum edition.</t>
  </si>
  <si>
    <t xml:space="preserve">Montessori Group (Montessori St Nicholas Charity, incl. Montessori Centre International and MEAB)</t>
  </si>
  <si>
    <t xml:space="preserve">UK Montessori schools, accredited settings and trainees (verify)</t>
  </si>
  <si>
    <t xml:space="preserve">UK Montessori charity group, formerly branded Montessori St Nicholas, covering training (MCI), accreditation (MEAB) and school membership.</t>
  </si>
  <si>
    <t xml:space="preserve">Paper-and-touch materials: board books, card deck and family printables</t>
  </si>
  <si>
    <t xml:space="preserve">newsletter/magazine ad, member discount, guest article</t>
  </si>
  <si>
    <t xml:space="preserve">Not verified; check conference listings</t>
  </si>
  <si>
    <t xml:space="preserve">https://www.montessori.org.uk</t>
  </si>
  <si>
    <t xml:space="preserve">[International] Montessori settings favour real materials over screens, so the fit is good. Correction: the word 'Montessori' is not itself a protected mark in the UK or US, but never imply endorsement by or accreditation from the Montessori Group or AMI. Confirm the current URL after the rebrand.</t>
  </si>
  <si>
    <t xml:space="preserve">NDNA (National Day Nurseries Association)</t>
  </si>
  <si>
    <t xml:space="preserve">Several thousand member nurseries across the UK (verify count)</t>
  </si>
  <si>
    <t xml:space="preserve">UK charity and membership body for private, voluntary and independent day nurseries. It runs a conference, awards, a member magazine and supplier/partner offers.</t>
  </si>
  <si>
    <t xml:space="preserve">PreK classroom pack site licence for multi-site nursery groups, plus family printables that nurseries can hand to parents</t>
  </si>
  <si>
    <t xml:space="preserve">magazine ad, supplier/associate membership or member discount, sponsor at annual conference or awards</t>
  </si>
  <si>
    <t xml:space="preserve">Not verified. Request the sponsorship prospectus and ask about supplier/associate membership.</t>
  </si>
  <si>
    <t xml:space="preserve">Not verified; check ndna.org.uk events for the annual conference and awards</t>
  </si>
  <si>
    <t xml:space="preserve">https://ndna.org.uk</t>
  </si>
  <si>
    <t xml:space="preserve">[International] Lowered from 4. Its current operating status and leadership should be confirmed before paying. Exhibiting needs hired booth staff, so start with an ad or a sponsored insert. Nursery groups are good buyers of multi-site licences.</t>
  </si>
  <si>
    <t xml:space="preserve">NICMA (Northern Ireland Childminding Association)</t>
  </si>
  <si>
    <t xml:space="preserve">international (UK - Northern Ireland)</t>
  </si>
  <si>
    <t xml:space="preserve">Registered childminders in Northern Ireland (verify count)</t>
  </si>
  <si>
    <t xml:space="preserve">Membership charity for childminders in Northern Ireland.</t>
  </si>
  <si>
    <t xml:space="preserve">Printable family bundles, card deck and play guide</t>
  </si>
  <si>
    <t xml:space="preserve">member discount, newsletter ad, resource listing</t>
  </si>
  <si>
    <t xml:space="preserve">https://www.nicma.org</t>
  </si>
  <si>
    <t xml:space="preserve">[International] ADDED. Same buyer profile as PACEY, in a smaller market.</t>
  </si>
  <si>
    <t xml:space="preserve">Parenta (magazine for childcare providers)</t>
  </si>
  <si>
    <t xml:space="preserve">Free monthly magazine and newsletter for UK nursery owners and practitioners (verify reach)</t>
  </si>
  <si>
    <t xml:space="preserve">UK childcare training and nursery-business services company that publishes a free monthly magazine with articles from outside expert contributors.</t>
  </si>
  <si>
    <t xml:space="preserve">100-activity play guide and family printables (EYFS edition); PreK classroom pack</t>
  </si>
  <si>
    <t xml:space="preserve">written guest article, magazine ad</t>
  </si>
  <si>
    <t xml:space="preserve">Not verified. Guest articles are believed to be free; ask for guest-author terms and ad rates.</t>
  </si>
  <si>
    <t xml:space="preserve">Not verified; monthly</t>
  </si>
  <si>
    <t xml:space="preserve">https://www.parenta.com</t>
  </si>
  <si>
    <t xml:space="preserve">[International] ADDED. The written-article channel suits a faceless brand. It is a company that sells nursery admin software, which is not classroom EdTech, so it is not excluded; keep articles practical and non-promotional.</t>
  </si>
  <si>
    <t xml:space="preserve">Parentkind (formerly PTA UK)</t>
  </si>
  <si>
    <t xml:space="preserve">international (UK - England, Wales, NI)</t>
  </si>
  <si>
    <t xml:space="preserve">Membership network of thousands of school PTAs and parent associations (verify)</t>
  </si>
  <si>
    <t xml:space="preserve">National charity supporting parent-teacher associations with fundraising guidance, insurance, awards and supplier offers. It was formerly PTA UK and was renamed in 2018.</t>
  </si>
  <si>
    <t xml:space="preserve">Host-it-yourself workshop kit for PTA screen-free evenings, plus a digital-first UK version of the group fundraiser</t>
  </si>
  <si>
    <t xml:space="preserve">supplier/partner offer, newsletter ad, guest article on fundraising ideas</t>
  </si>
  <si>
    <t xml:space="preserve">Not verified. Ask about supplier partnership and advertising.</t>
  </si>
  <si>
    <t xml:space="preserve">https://www.parentkind.org.uk</t>
  </si>
  <si>
    <t xml:space="preserve">[International] Lowered from 4. UK PTAs expect physical fundraiser goods delivered locally, which a US seller cannot do cheaply, so the fundraiser needs UK print-on-demand fulfilment first. Correction: Gift Aid applies only to donations, not to product-sale fundraising. PTAs that are registered charities have their own trading rules, so the terms need a UK version.</t>
  </si>
  <si>
    <t xml:space="preserve">Playcentre Aotearoa</t>
  </si>
  <si>
    <t xml:space="preserve">National federation of parent-led early childhood Playcentres (verify)</t>
  </si>
  <si>
    <t xml:space="preserve">Parent-led early childhood cooperatives where families (whanau) learn through play.</t>
  </si>
  <si>
    <t xml:space="preserve">Host-it-yourself workshop kits, card deck and printable bundles; board books via local POD</t>
  </si>
  <si>
    <t xml:space="preserve">partner/affiliate, newsletter ad, resource listing</t>
  </si>
  <si>
    <t xml:space="preserve">https://www.playcentre.org.nz</t>
  </si>
  <si>
    <t xml:space="preserve">[International] Lowered from 4. The play philosophy fits closely, but it is volunteer-run with small budgets and no known vendor programme. Go digital, or print locally for any fundraiser.</t>
  </si>
  <si>
    <t xml:space="preserve">Scottish Childminding Association</t>
  </si>
  <si>
    <t xml:space="preserve">Scotland's childminders (verify count)</t>
  </si>
  <si>
    <t xml:space="preserve">National membership charity supporting childminders in Scotland.</t>
  </si>
  <si>
    <t xml:space="preserve">https://www.childminding.org</t>
  </si>
  <si>
    <t xml:space="preserve">[International] Childminders buy their own resources. Use 'Realising the Ambition: Being Me' terminology in a Scottish edition.</t>
  </si>
  <si>
    <t xml:space="preserve">Te Rito Maioha Early Childhood New Zealand</t>
  </si>
  <si>
    <t xml:space="preserve">Early childhood teacher education provider and membership body for ECE services (verify)</t>
  </si>
  <si>
    <t xml:space="preserve">Bicultural NZ early childhood organisation providing teacher education and member services.</t>
  </si>
  <si>
    <t xml:space="preserve">Printable bundles, PreK classroom pack aligned to Te Whariki, and research briefs</t>
  </si>
  <si>
    <t xml:space="preserve">newsletter/journal ad, member discount, conference sponsor</t>
  </si>
  <si>
    <t xml:space="preserve">https://www.ecnz.ac.nz</t>
  </si>
  <si>
    <t xml:space="preserve">[International] Bicultural framing and te reo Maori are expected.</t>
  </si>
  <si>
    <t xml:space="preserve">The Sector</t>
  </si>
  <si>
    <t xml:space="preserve">Australian early childhood education and care news site and email newsletter (verify readership)</t>
  </si>
  <si>
    <t xml:space="preserve">Industry news outlet for the Australian early childhood sector; sells advertising and sponsored content (verify).</t>
  </si>
  <si>
    <t xml:space="preserve">EYLF-aligned PreK classroom pack and 100-activity play guide</t>
  </si>
  <si>
    <t xml:space="preserve">newsletter ad, sponsored article</t>
  </si>
  <si>
    <t xml:space="preserve">https://thesector.com.au</t>
  </si>
  <si>
    <t xml:space="preserve">[International] ADDED. Fully faceless.</t>
  </si>
  <si>
    <t xml:space="preserve">Archdiocese of Washington – Catholic Schools Office</t>
  </si>
  <si>
    <t xml:space="preserve">regional (DC + 5 Maryland counties)</t>
  </si>
  <si>
    <t xml:space="preserve">92 Catholic schools</t>
  </si>
  <si>
    <t xml:space="preserve">Central office for Archdiocese of Washington Catholic schools. Recognizes vendor sponsors of its professional-development events.</t>
  </si>
  <si>
    <t xml:space="preserve">Classroom pack site license + workshop kits</t>
  </si>
  <si>
    <t xml:space="preserve">sponsor (PD events), mailed/emailed outreach</t>
  </si>
  <si>
    <t xml:space="preserve">Sponsorship on request</t>
  </si>
  <si>
    <t xml:space="preserve">PD events during the school year</t>
  </si>
  <si>
    <t xml:space="preserve">https://adwcatholicschools.org</t>
  </si>
  <si>
    <t xml:space="preserve">[K–12] The office was found only through its LinkedIn page, and the URL was not verified. The territory includes Montgomery County parishes. These are archdiocesan schools, not MCPS, so they are allowed.</t>
  </si>
  <si>
    <t xml:space="preserve">Archdiocese of Baltimore – Catholic Schools Office</t>
  </si>
  <si>
    <t xml:space="preserve">40 elementary and middle schools and 18 high schools; 24,000+ students</t>
  </si>
  <si>
    <t xml:space="preserve">Central office for the Archdiocese of Baltimore's Catholic schools</t>
  </si>
  <si>
    <t xml:space="preserve">Classroom pack (system-wide site license) + fundraiser program + parent workshop kits</t>
  </si>
  <si>
    <t xml:space="preserve">mailed/emailed outreach</t>
  </si>
  <si>
    <t xml:space="preserve">Free outreach</t>
  </si>
  <si>
    <t xml:space="preserve">https://www.archbalt.org/schools/</t>
  </si>
  <si>
    <t xml:space="preserve">[K–12] No vendor directory or PD-sponsor program was found, so those have been removed. Pitch to the central office, not to named schools.</t>
  </si>
  <si>
    <t xml:space="preserve">Build a contact list and send a mailed/emailed intro</t>
  </si>
  <si>
    <t xml:space="preserve">Pennsylvania Library Association (PaLA)</t>
  </si>
  <si>
    <t xml:space="preserve">state (Pennsylvania)</t>
  </si>
  <si>
    <t xml:space="preserve">Pennsylvania library staff</t>
  </si>
  <si>
    <t xml:space="preserve">State library association with a 2-day Library Products &amp; Services Expo</t>
  </si>
  <si>
    <t xml:space="preserve">Library-binding books + workshop kits</t>
  </si>
  <si>
    <t xml:space="preserve">Rates at palibraries.org. Exhibitors get pre- and post-show attendee contact lists and two free hall passes for customers.</t>
  </si>
  <si>
    <t xml:space="preserve">PaLA 2026, Oct 4–7, 2026, Hilton Harrisburg (a week away, almost certainly too late). 2027 dates not yet published.</t>
  </si>
  <si>
    <t xml:space="preserve">https://www.palibraries.org</t>
  </si>
  <si>
    <t xml:space="preserve">[K–12] The attendee lists make mailed or emailed follow-up easy, which suits a faceless brand. Plan for 2027.</t>
  </si>
  <si>
    <t xml:space="preserve">Oct 4–7, 2026 is too close; request 2027 exhibitor terms (attendee lists suit mailed follow-up).</t>
  </si>
  <si>
    <t xml:space="preserve">Virginia Library Association (VLA)</t>
  </si>
  <si>
    <t xml:space="preserve">Virginia public, school and academic library staff</t>
  </si>
  <si>
    <t xml:space="preserve">State library association</t>
  </si>
  <si>
    <t xml:space="preserve">Exhibitor and sponsor page at vla.org/2026-vla-conference-exhibitors-and-sponsors. Rates not in results.</t>
  </si>
  <si>
    <t xml:space="preserve">VLA Annual Conference Oct 18–20, 2026, Hilton Norfolk THE MAIN (the hotel block closed Sep 24; ask whether exhibit space remains). 2027 dates not yet published.</t>
  </si>
  <si>
    <t xml:space="preserve">https://www.vla.org</t>
  </si>
  <si>
    <t xml:space="preserve">[K–12] Neighboring state. Needs a hired rep.</t>
  </si>
  <si>
    <t xml:space="preserve">Ask whether exhibit space remains for Oct 18–20, 2026 (Norfolk); otherwise request 2027 exhibitor terms.</t>
  </si>
  <si>
    <t xml:space="preserve">California Kindergarten Association (California Kindergarten Conference)</t>
  </si>
  <si>
    <t xml:space="preserve">state (California)</t>
  </si>
  <si>
    <t xml:space="preserve">800+ PreK, TK, kindergarten and 1st-grade teachers</t>
  </si>
  <si>
    <t xml:space="preserve">Kindergarten teacher conference running for more than 30 years, with an exhibit hall</t>
  </si>
  <si>
    <t xml:space="preserve">100-activity play guide + classroom pack + board books</t>
  </si>
  <si>
    <t xml:space="preserve">Exhibitor fee not published (see californiakindergartenassociation.org/ckc-exhibits/)</t>
  </si>
  <si>
    <t xml:space="preserve">Recent conferences: Jan 17–19, 2025 and Jan 16–18, 2026 at Hyatt Regency Santa Clara. 2027 dates not yet published; expect mid-January.</t>
  </si>
  <si>
    <t xml:space="preserve">https://californiakindergartenassociation.org</t>
  </si>
  <si>
    <t xml:space="preserve">[K–12] Fit lowered from 4 to 3. The booth is far from Maryland and needs a hired rep. The schedule gives attendees time to buy from exhibitors on site.</t>
  </si>
  <si>
    <t xml:space="preserve">Maryland School Counselor Association (MSCA)</t>
  </si>
  <si>
    <t xml:space="preserve">School counselors statewide</t>
  </si>
  <si>
    <t xml:space="preserve">ASCA state affiliate. Its conference is run by NCYI.</t>
  </si>
  <si>
    <t xml:space="preserve">Family bundles + card deck (connection and conversation) + workshop kits for family nights</t>
  </si>
  <si>
    <t xml:space="preserve">exhibit (table)</t>
  </si>
  <si>
    <t xml:space="preserve">Each table includes one rep's full registration; a second rep costs $100 (food only). Limit 2 per table. Contact exhibitors@ncyi.org. The table fee itself was not in results.</t>
  </si>
  <si>
    <t xml:space="preserve">2026 conference was March 15–16, 2026. The 2027 conference is expected around March 2027 (not announced).</t>
  </si>
  <si>
    <t xml:space="preserve">https://www.mscaonline.org</t>
  </si>
  <si>
    <t xml:space="preserve">[K–12] Fit lowered from 4 to 3. The work is close to mental health, so use strictly non-clinical copy about family connection and conversation, with no wellbeing outcomes. Many MCPS counselors are members. Exhibitor page: ncyionline.org/conferences/md-scac.</t>
  </si>
  <si>
    <t xml:space="preserve">Request the 2027 exhibitor prospectus; plan a hired booth rep (contact: exhibitors@ncyi.org)</t>
  </si>
  <si>
    <t xml:space="preserve">Washington State PTA (Annual Convention)</t>
  </si>
  <si>
    <t xml:space="preserve">state (Washington)</t>
  </si>
  <si>
    <t xml:space="preserve">Statewide PTA units (count not captured)</t>
  </si>
  <si>
    <t xml:space="preserve">State PTA. Its annual convention has an exhibit hall with a published exhibitor page.</t>
  </si>
  <si>
    <t xml:space="preserve">Fundraiser program + family play-night workshop kits</t>
  </si>
  <si>
    <t xml:space="preserve">2026: standard 8'x8' exhibit-hall booth $1,000 + tax (earlier search result from the WSPTA 'Convention Exhibitors 2026' page). 2027 price not published.</t>
  </si>
  <si>
    <t xml:space="preserve">Annual convention; confirm the 2027 date on the Convention Exhibitors page</t>
  </si>
  <si>
    <t xml:space="preserve">https://www.wastatepta.org</t>
  </si>
  <si>
    <t xml:space="preserve">[Parents] New addition. This is the only state PTA with a confirmed exhibitor page and price in the evidence. The PTA noncommercial policy applies. It is far from Maryland, so it needs a hired staffer and shipped stock.</t>
  </si>
  <si>
    <t xml:space="preserve">Arizona Families for Home Education (AFHE) Convention</t>
  </si>
  <si>
    <t xml:space="preserve">state (Arizona)</t>
  </si>
  <si>
    <t xml:space="preserve">Statewide homeschool association with a large annual convention (size not verified)</t>
  </si>
  <si>
    <t xml:space="preserve">Arizona homeschool association with an annual convention and exhibit hall.</t>
  </si>
  <si>
    <t xml:space="preserve">Books, play guide, bundles, card deck</t>
  </si>
  <si>
    <t xml:space="preserve">Usually summer, Phoenix (est.). Confirm at afhe.org.</t>
  </si>
  <si>
    <t xml:space="preserve">https://www.afhe.org</t>
  </si>
  <si>
    <t xml:space="preserve">[Parents] New addition (missed major homeschool convention). DNS only. Arizona families have ESA money to spend (see the ClassWallet entry), so pair the two.</t>
  </si>
  <si>
    <t xml:space="preserve">California State PTA (Annual Convention)</t>
  </si>
  <si>
    <t xml:space="preserve">Largest state PTA (member count not captured; re-check)</t>
  </si>
  <si>
    <t xml:space="preserve">State PTA congress. It holds an annual convention for unit and council leaders.</t>
  </si>
  <si>
    <t xml:space="preserve">Fundraiser program, workshop kits, PreK–5 classroom pack as a PTA-funded classroom gift</t>
  </si>
  <si>
    <t xml:space="preserve">exhibit or sponsor (the exhibit hall is not verified)</t>
  </si>
  <si>
    <t xml:space="preserve">Not verified (est. $800–$2,500 booth)</t>
  </si>
  <si>
    <t xml:space="preserve">Usually spring (est. April–May 2027). Confirm at capta.org.</t>
  </si>
  <si>
    <t xml:space="preserve">https://www.capta.org</t>
  </si>
  <si>
    <t xml:space="preserve">[Parents] The URL is confirmed official: earlier search results showed capta.org's 'Noncommercial, Nonsectarian and Nonpartisan' and 'Sponsorship versus Endorsement' policy pages. Sponsorship is possible but carries no endorsement. The convention exhibit hall, dates and prices were not verified. Spanish materials would add value.</t>
  </si>
  <si>
    <t xml:space="preserve">CHEA of California (Christian Home Educators Association)</t>
  </si>
  <si>
    <t xml:space="preserve">Statewide homeschool association with an annual convention</t>
  </si>
  <si>
    <t xml:space="preserve">California Christian homeschool association.</t>
  </si>
  <si>
    <t xml:space="preserve">Usually summer. Confirm at cheaofca.org.</t>
  </si>
  <si>
    <t xml:space="preserve">https://www.cheaofca.org</t>
  </si>
  <si>
    <t xml:space="preserve">[Parents] DNS only. The GHC California convention overlaps this audience; choose one.</t>
  </si>
  <si>
    <t xml:space="preserve">First 5 Association of California (county First 5 commissions)</t>
  </si>
  <si>
    <t xml:space="preserve">state (California; 58 county commissions)</t>
  </si>
  <si>
    <t xml:space="preserve">All California county First 5 commissions, which fund family-support and early-literacy programs for ages 0-5</t>
  </si>
  <si>
    <t xml:space="preserve">Association of California's county First 5 commissions. The state commission, First 5 California, runs the 'Talk. Read. Sing.' campaign and the Kit for New Parents.</t>
  </si>
  <si>
    <t xml:space="preserve">Talk-along board books; family bundle 0-5; workshop kits for family-resource centers</t>
  </si>
  <si>
    <t xml:space="preserve">mailed/emailed outreach, partner/affiliate, resource listing (procurement is often by RFP)</t>
  </si>
  <si>
    <t xml:space="preserve">Free to contact; purchases go through public procurement</t>
  </si>
  <si>
    <t xml:space="preserve">https://first5association.org/</t>
  </si>
  <si>
    <t xml:space="preserve">[Early Childhood] ADDED. Domain from knowledge; not opened in this pass. The talk-first message matches 'Talk. Read. Sing.' closely, but these are public agencies with RFP rules, so expect a long sales cycle. The Montgomery County exclusion does not apply in California.</t>
  </si>
  <si>
    <t xml:space="preserve">Florida PTA (Leadership Convention)</t>
  </si>
  <si>
    <t xml:space="preserve">Large state PTA (count not verified)</t>
  </si>
  <si>
    <t xml:space="preserve">State PTA with an annual leadership convention.</t>
  </si>
  <si>
    <t xml:space="preserve">Fundraiser program + workshop kits</t>
  </si>
  <si>
    <t xml:space="preserve">Not verified (est. $500–$2,000)</t>
  </si>
  <si>
    <t xml:space="preserve">Typically summer (est. July 2027). Confirm at floridapta.org.</t>
  </si>
  <si>
    <t xml:space="preserve">https://www.floridapta.org</t>
  </si>
  <si>
    <t xml:space="preserve">[Parents] DNS only. Lowered from 4 because the exhibit route is unverified.</t>
  </si>
  <si>
    <t xml:space="preserve">HSC (HomeSchool Association of California) Conference</t>
  </si>
  <si>
    <t xml:space="preserve">Inclusive, secular statewide homeschool association with an annual family conference (size not verified)</t>
  </si>
  <si>
    <t xml:space="preserve">Secular California homeschool nonprofit.</t>
  </si>
  <si>
    <t xml:space="preserve">Play guide, card deck, 5–12 bundle, picture books</t>
  </si>
  <si>
    <t xml:space="preserve">exhibit/vendor hall, newsletter ad (not verified)</t>
  </si>
  <si>
    <t xml:space="preserve">Usually summer (est.). Confirm at hsc.org.</t>
  </si>
  <si>
    <t xml:space="preserve">https://www.hsc.org</t>
  </si>
  <si>
    <t xml:space="preserve">[Parents] New addition. A secular counterweight to the many faith-based conventions. DNS only. The domain is on Network Solutions and points to live hosting, but confirm it is HSC's before paying anything.</t>
  </si>
  <si>
    <t xml:space="preserve">MACHE (Maryland Association of Christian Home Educators)</t>
  </si>
  <si>
    <t xml:space="preserve">Statewide homeschool association with an annual conference (size not verified)</t>
  </si>
  <si>
    <t xml:space="preserve">Maryland Christian homeschool association.</t>
  </si>
  <si>
    <t xml:space="preserve">exhibit, newsletter ad (not verified)</t>
  </si>
  <si>
    <t xml:space="preserve">Annual spring conference (est.). Confirm at machemd.org.</t>
  </si>
  <si>
    <t xml:space="preserve">https://www.machemd.org</t>
  </si>
  <si>
    <t xml:space="preserve">[Parents] DNS only. Home state and independent of MCPS, so there is no exclusion conflict. Lowered from 4 because it is unverified.</t>
  </si>
  <si>
    <t xml:space="preserve">Maryland Art Education Association (MAEA)</t>
  </si>
  <si>
    <t xml:space="preserve">Art teachers statewide in four regions</t>
  </si>
  <si>
    <t xml:space="preserve">NAEA state affiliate</t>
  </si>
  <si>
    <t xml:space="preserve">100-activity play guide (paper and hands-on) + classroom pack</t>
  </si>
  <si>
    <t xml:space="preserve">exhibit or sponsor (ask; not confirmed)</t>
  </si>
  <si>
    <t xml:space="preserve">Not published. Contact through marylandarted.org.</t>
  </si>
  <si>
    <t xml:space="preserve">2026 MAEA Conference: regional events Oct 16, 2026; main conference Oct 17, 2026, Towson University</t>
  </si>
  <si>
    <t xml:space="preserve">https://www.marylandarted.org</t>
  </si>
  <si>
    <t xml:space="preserve">[K–12] Fit lowered from 4 to 3. Search results did not show a vendor or exhibit program or any cost; the earlier claim of 'very low cost' was not supported. Skip the Montgomery-area regional event.</t>
  </si>
  <si>
    <t xml:space="preserve">Ask whether a vendor table exists for the Oct 17, 2026 main conference (Towson); skip the Montgomery-area regional event.</t>
  </si>
  <si>
    <t xml:space="preserve">New York State PTA (Annual Convention)</t>
  </si>
  <si>
    <t xml:space="preserve">state (New York)</t>
  </si>
  <si>
    <t xml:space="preserve">State PTA. Its annual convention is typically in the fall.</t>
  </si>
  <si>
    <t xml:space="preserve">Fundraiser program, workshop kits, research briefs</t>
  </si>
  <si>
    <t xml:space="preserve">exhibit, sponsor, program ad (not verified)</t>
  </si>
  <si>
    <t xml:space="preserve">Not verified (est. $600–$2,000)</t>
  </si>
  <si>
    <t xml:space="preserve">Typically November. Target Nov 2027 (est.); Nov 2026 is too close.</t>
  </si>
  <si>
    <t xml:space="preserve">https://nyspta.org</t>
  </si>
  <si>
    <t xml:space="preserve">[Parents] DNS only (the site is hosted on WordPress.com). Lowered from 4 because the exhibit route is unverified.</t>
  </si>
  <si>
    <t xml:space="preserve">Texas Home School Coalition (THSC) Convention</t>
  </si>
  <si>
    <t xml:space="preserve">state (Texas)</t>
  </si>
  <si>
    <t xml:space="preserve">Statewide homeschool convention (size not verified)</t>
  </si>
  <si>
    <t xml:space="preserve">Texas homeschool advocacy group with an annual convention.</t>
  </si>
  <si>
    <t xml:space="preserve">Usually summer. Confirm at thsc.org.</t>
  </si>
  <si>
    <t xml:space="preserve">https://thsc.org</t>
  </si>
  <si>
    <t xml:space="preserve">[Parents] DNS only. THSC is also a policy-advocacy group, so stay out of its policy work. Texas families using the new TEFA education savings accounts (see the Odyssey entry) are a related buyer pool.</t>
  </si>
  <si>
    <t xml:space="preserve">Texas PTA (Summer Leadership Seminar / Convention)</t>
  </si>
  <si>
    <t xml:space="preserve">State PTA. Its summer leadership training event has historically had exhibitors.</t>
  </si>
  <si>
    <t xml:space="preserve">Fundraiser program + family-night workshop kits</t>
  </si>
  <si>
    <t xml:space="preserve">Not verified (est. $1,000–$2,500)</t>
  </si>
  <si>
    <t xml:space="preserve">Est. summer 2027 (June–July). Confirm at txpta.org.</t>
  </si>
  <si>
    <t xml:space="preserve">https://www.txpta.org</t>
  </si>
  <si>
    <t xml:space="preserve">[Parents] DNS only: the domain is live, but no page content could be read. Leaders buy for the coming school year, so the timing is good. Lowered from 4 because the exhibit route is unverified and must be staffed.</t>
  </si>
  <si>
    <t xml:space="preserve">Virginia PTA (Annual Convention)</t>
  </si>
  <si>
    <t xml:space="preserve">Statewide PTA units (count not verified)</t>
  </si>
  <si>
    <t xml:space="preserve">State PTA with an annual convention and leadership training.</t>
  </si>
  <si>
    <t xml:space="preserve">Fundraiser program, workshop kits, printable bundles as PTA giveaways</t>
  </si>
  <si>
    <t xml:space="preserve">Not verified (est. $400–$1,500)</t>
  </si>
  <si>
    <t xml:space="preserve">Usually summer. Confirm at vapta.org.</t>
  </si>
  <si>
    <t xml:space="preserve">https://www.vapta.org</t>
  </si>
  <si>
    <t xml:space="preserve">[Parents] DNS only. Within driving distance of Maryland, so a hired helper can staff a booth cheaply. Lowered from 4 because the exhibit route is unverified.</t>
  </si>
  <si>
    <t xml:space="preserve">CHAP (Christian Homeschool Association of Pennsylvania)</t>
  </si>
  <si>
    <t xml:space="preserve">Statewide homeschool convention</t>
  </si>
  <si>
    <t xml:space="preserve">Pennsylvania Christian homeschool association with an annual convention.</t>
  </si>
  <si>
    <t xml:space="preserve">exhibit (not verified)</t>
  </si>
  <si>
    <t xml:space="preserve">Usually spring or summer. Confirm at chaponline.com.</t>
  </si>
  <si>
    <t xml:space="preserve">https://www.chaponline.com</t>
  </si>
  <si>
    <t xml:space="preserve">[Parents] DNS only. Mid-Atlantic, so booth logistics are cheap.</t>
  </si>
  <si>
    <t xml:space="preserve">Verify the org, URL and dates on the official site; then request the 2027 exhibitor prospectus; plan a hired booth rep</t>
  </si>
  <si>
    <t xml:space="preserve">CHEC (Christian Home Educators of Colorado) Convention</t>
  </si>
  <si>
    <t xml:space="preserve">state (Colorado)</t>
  </si>
  <si>
    <t xml:space="preserve">Statewide homeschool association with an annual convention (size not verified)</t>
  </si>
  <si>
    <t xml:space="preserve">Colorado Christian homeschool association.</t>
  </si>
  <si>
    <t xml:space="preserve">Usually early summer, Denver area (est.). Confirm at chec.org.</t>
  </si>
  <si>
    <t xml:space="preserve">https://www.chec.org</t>
  </si>
  <si>
    <t xml:space="preserve">[Parents] New addition (missed major homeschool convention). DNS only.</t>
  </si>
  <si>
    <t xml:space="preserve">NCHE (North Carolinians for Home Education)</t>
  </si>
  <si>
    <t xml:space="preserve">state (North Carolina)</t>
  </si>
  <si>
    <t xml:space="preserve">Large statewide homeschool conference</t>
  </si>
  <si>
    <t xml:space="preserve">North Carolina homeschool association.</t>
  </si>
  <si>
    <t xml:space="preserve">Usually late spring. Confirm at nche.com.</t>
  </si>
  <si>
    <t xml:space="preserve">https://www.nche.com</t>
  </si>
  <si>
    <t xml:space="preserve">[Parents] DNS only (hosted on WordPress.com). North Carolina's ESA+ program also pays vendors through ClassWallet (see that entry).</t>
  </si>
  <si>
    <t xml:space="preserve">Texas Library Association (TLA Annual Conference)</t>
  </si>
  <si>
    <t xml:space="preserve">Texas school, public and academic library staff; one of the largest state library conferences</t>
  </si>
  <si>
    <t xml:space="preserve">State library association with a large exhibit hall and many school librarians</t>
  </si>
  <si>
    <t xml:space="preserve">Library-binding picture books + workshop kits</t>
  </si>
  <si>
    <t xml:space="preserve">exhibit (ask IBPA about a cooperative display)</t>
  </si>
  <si>
    <t xml:space="preserve">2026 conference was in Houston. 2027 dates not verified.</t>
  </si>
  <si>
    <t xml:space="preserve">https://conference.txla.org</t>
  </si>
  <si>
    <t xml:space="preserve">[K–12] ADDED during this check as a major library show the list missed. It is far from Maryland, so use only a cooperative display or a hired rep. Check dates, fees and IBPA co-op availability before budgeting.</t>
  </si>
  <si>
    <t xml:space="preserve">Early Childhood Educators of BC (ECEBC)</t>
  </si>
  <si>
    <t xml:space="preserve">international (Canada - British Columbia)</t>
  </si>
  <si>
    <t xml:space="preserve">British Columbia early childhood educators (verify)</t>
  </si>
  <si>
    <t xml:space="preserve">Professional association for early childhood educators in British Columbia; its annual conference has exhibitors.</t>
  </si>
  <si>
    <t xml:space="preserve">PreK classroom pack site licence, play guide and workshop kit</t>
  </si>
  <si>
    <t xml:space="preserve">newsletter ad, exhibit/sponsor at annual conference</t>
  </si>
  <si>
    <t xml:space="preserve">Not verified. Request exhibitor pricing.</t>
  </si>
  <si>
    <t xml:space="preserve">Not verified; conference typically spring (May)</t>
  </si>
  <si>
    <t xml:space="preserve">https://www.ecebc.ca</t>
  </si>
  <si>
    <t xml:space="preserve">[International] Lowered from 4, because the main channel is a staffed booth. Needs Canadian spelling. Canadian GST/HST registration is needed for digital sales above C$30k, unless a merchant of record handles it.</t>
  </si>
  <si>
    <t xml:space="preserve">ELAA (Early Learning Association Australia)</t>
  </si>
  <si>
    <t xml:space="preserve">international (Australia - Victoria)</t>
  </si>
  <si>
    <t xml:space="preserve">Victorian kindergarten ('kinder') and early learning services and their committees (verify)</t>
  </si>
  <si>
    <t xml:space="preserve">Victorian peak body for kindergartens and early learning services; provides member resources and runs a conference.</t>
  </si>
  <si>
    <t xml:space="preserve">PreK classroom pack (kinder edition) and host-it-yourself workshop kit</t>
  </si>
  <si>
    <t xml:space="preserve">newsletter ad, member offer, conference sponsor</t>
  </si>
  <si>
    <t xml:space="preserve">https://elaa.org.au</t>
  </si>
  <si>
    <t xml:space="preserve">[International] ADDED. Use Victorian 'kinder' terms.</t>
  </si>
  <si>
    <t xml:space="preserve">Ontario Library Association (OLA Super Conference)</t>
  </si>
  <si>
    <t xml:space="preserve">international (Canada - Ontario)</t>
  </si>
  <si>
    <t xml:space="preserve">Large library conference and expo hall; includes the Ontario School Library Association (verify attendance)</t>
  </si>
  <si>
    <t xml:space="preserve">Provincial library association that runs the OLA Super Conference, one of Canada's largest library events.</t>
  </si>
  <si>
    <t xml:space="preserve">Library-binding picture books, talk-along board books and PreK-5 classroom pack</t>
  </si>
  <si>
    <t xml:space="preserve">exhibit at the Super Conference expo, sponsor, newsletter ad</t>
  </si>
  <si>
    <t xml:space="preserve">Not verified. Request the exhibitor prospectus.</t>
  </si>
  <si>
    <t xml:space="preserve">Not verified; typically late January/early February in Toronto. For 2027, booth booking usually opens in autumn, so act now.</t>
  </si>
  <si>
    <t xml:space="preserve">https://accessola.com</t>
  </si>
  <si>
    <t xml:space="preserve">[International] Lowered from 4. The booth needs hired staff or a book rep, and library books need Canadian distribution. US vendors are generally accepted.</t>
  </si>
  <si>
    <t xml:space="preserve">Request the 2027 Super Conference exhibitor prospectus now (booth booking usually opens in autumn).</t>
  </si>
  <si>
    <t xml:space="preserve">Edutopia (George Lucas Educational Foundation)</t>
  </si>
  <si>
    <t xml:space="preserve">Very large PreK–12 teacher readership</t>
  </si>
  <si>
    <t xml:space="preserve">Nonprofit education media site</t>
  </si>
  <si>
    <t xml:space="preserve">Written guest article on low-tech, talk-rich classroom routines, with no product pitch</t>
  </si>
  <si>
    <t xml:space="preserve">guest article</t>
  </si>
  <si>
    <t xml:space="preserve">Free. Edutopia does NOT accept paid posts, ads, sponsorships or link payments.</t>
  </si>
  <si>
    <t xml:space="preserve">Rolling pitches; 4–6 weeks from edit to publish, with about 2 weeks for a first draft</t>
  </si>
  <si>
    <t xml:space="preserve">https://www.edutopia.org/about/your-turn-write-us</t>
  </si>
  <si>
    <t xml:space="preserve">[K–12] Fit lowered from 3 to 2. Posts must be original and carry a real byline, and no product can be mentioned, so brand payoff is small. The byline is written only, so it does not break the no-camera rule.</t>
  </si>
  <si>
    <t xml:space="preserve">Pitch a written guest article (no product pitch)</t>
  </si>
  <si>
    <t xml:space="preserve">Get Your Teach On (GYTO) conferences</t>
  </si>
  <si>
    <t xml:space="preserve">K–8 teachers and school leaders</t>
  </si>
  <si>
    <t xml:space="preserve">Teacher professional-development conference company</t>
  </si>
  <si>
    <t xml:space="preserve">Classroom pack + 100-activity play guide</t>
  </si>
  <si>
    <t xml:space="preserve">exhibit, sponsor, newsletter ad (digital and print advertising)</t>
  </si>
  <si>
    <t xml:space="preserve">Not published; see getyourteachon.com/sponsors</t>
  </si>
  <si>
    <t xml:space="preserve">GYTO Las Vegas, Jan 16–18, 2027, Westgate Las Vegas</t>
  </si>
  <si>
    <t xml:space="preserve">https://www.getyourteachon.com/sponsors</t>
  </si>
  <si>
    <t xml:space="preserve">[K–12] ADDED during this check. Offers exhibit space, digital and print ads, sponsored sessions and branding. Attendance is driven by presenter personalities, so a faceless booth may draw less. Ads are the better fit.</t>
  </si>
  <si>
    <t xml:space="preserve">JCC Association of North America</t>
  </si>
  <si>
    <t xml:space="preserve">JCCs across North America, many running early childhood centers</t>
  </si>
  <si>
    <t xml:space="preserve">Umbrella body for Jewish Community Centers</t>
  </si>
  <si>
    <t xml:space="preserve">Fundraiser program; Classroom Pack; board books</t>
  </si>
  <si>
    <t xml:space="preserve">partner/affiliate, member discount, mailed/emailed outreach to JCC early childhood directors</t>
  </si>
  <si>
    <t xml:space="preserve">JSummit, Apr 4-6, 2027, Boston (lay leaders and executives, not ECE-specific)</t>
  </si>
  <si>
    <t xml:space="preserve">https://jcca.org/signature-programs-and-events/jsummit/</t>
  </si>
  <si>
    <t xml:space="preserve">[Early Childhood] JSummit's audience is executive-level. It is better to email individual JCC preschool directors directly.</t>
  </si>
  <si>
    <t xml:space="preserve">National Alliance for Public Charter Schools (National Charter Schools Conference)</t>
  </si>
  <si>
    <t xml:space="preserve">Largest national charter gathering</t>
  </si>
  <si>
    <t xml:space="preserve">National charter school association</t>
  </si>
  <si>
    <t xml:space="preserve">Classroom pack site licenses</t>
  </si>
  <si>
    <t xml:space="preserve">Not published for 2027</t>
  </si>
  <si>
    <t xml:space="preserve">NCSC 2027, June 28–30, 2027, Columbus OH (registration opens Jan 2027)</t>
  </si>
  <si>
    <t xml:space="preserve">https://publiccharters.org/conference/</t>
  </si>
  <si>
    <t xml:space="preserve">[K–12] Expensive and heavy on EdTech.</t>
  </si>
  <si>
    <t xml:space="preserve">National Workforce Registry Alliance (NWRA) + state ECE PD registries</t>
  </si>
  <si>
    <t xml:space="preserve">national (44 state registries)</t>
  </si>
  <si>
    <t xml:space="preserve">1.8M+ early childhood professionals in registry systems (first-pass figure)</t>
  </si>
  <si>
    <t xml:space="preserve">Alliance of state early-childhood workforce and PD registries</t>
  </si>
  <si>
    <t xml:space="preserve">Host-it-yourself workshop kits (PD-hour eligible if approved); research briefs</t>
  </si>
  <si>
    <t xml:space="preserve">resource listing, sponsor (conference), state registry training approval</t>
  </si>
  <si>
    <t xml:space="preserve">Varies. State trainer or training approval is often free or low-fee (estimate).</t>
  </si>
  <si>
    <t xml:space="preserve">Fall conference Oct 2026 (exact dates not found)</t>
  </si>
  <si>
    <t xml:space="preserve">https://www.registryalliance.org/</t>
  </si>
  <si>
    <t xml:space="preserve">[Early Childhood] Fit lowered from 3: most states require a named, approved trainer who delivers the training, which conflicts with a faceless, host-it-yourself kit model. Pursue only through contracted approved trainers.</t>
  </si>
  <si>
    <t xml:space="preserve">Scholastic Professional Media (Instructor &amp; Administrator)</t>
  </si>
  <si>
    <t xml:space="preserve">Teachers (Instructor) and administrators (Administrator)</t>
  </si>
  <si>
    <t xml:space="preserve">Scholastic's educator magazines and online ads</t>
  </si>
  <si>
    <t xml:space="preserve">Classroom pack</t>
  </si>
  <si>
    <t xml:space="preserve">newsletter ad</t>
  </si>
  <si>
    <t xml:space="preserve">Rate card at scholastic.com/profmedia/mediakit/rates.htm (enterprise-level)</t>
  </si>
  <si>
    <t xml:space="preserve">https://www.scholastic.com/profmedia/mediakit/rates.htm</t>
  </si>
  <si>
    <t xml:space="preserve">[K–12] Expensive. Use only after the cheaper channels have worked.</t>
  </si>
  <si>
    <t xml:space="preserve">SHAPE America (Society of Health and Physical Educators)</t>
  </si>
  <si>
    <t xml:space="preserve">PE and health teachers, administrators and district/state coordinators</t>
  </si>
  <si>
    <t xml:space="preserve">National PE and health educator association</t>
  </si>
  <si>
    <t xml:space="preserve">100-activity play guide (movement play) + family bundles</t>
  </si>
  <si>
    <t xml:space="preserve">exhibit, sponsor, newsletter ad (year-round partnership)</t>
  </si>
  <si>
    <t xml:space="preserve">2027 booth rates not yet published</t>
  </si>
  <si>
    <t xml:space="preserve">SHAPE America National Convention &amp; Expo, April 7–10, 2027, Charlotte Convention Center (expo Thu–Sat)</t>
  </si>
  <si>
    <t xml:space="preserve">https://www.shapeamerica.org</t>
  </si>
  <si>
    <t xml:space="preserve">[K–12] The health framing carries claim risk. Keep copy to play and connection only.</t>
  </si>
  <si>
    <t xml:space="preserve">Association Montessori Internationale (AMI)</t>
  </si>
  <si>
    <t xml:space="preserve">international (global, Amsterdam)</t>
  </si>
  <si>
    <t xml:space="preserve">Global Montessori training and affiliated schools (verify)</t>
  </si>
  <si>
    <t xml:space="preserve">International Montessori body founded by Maria Montessori; holds international congresses.</t>
  </si>
  <si>
    <t xml:space="preserve">Board books and card deck</t>
  </si>
  <si>
    <t xml:space="preserve">newsletter ad, congress exhibit</t>
  </si>
  <si>
    <t xml:space="preserve">Not verified; the International Montessori Congress is held every few years</t>
  </si>
  <si>
    <t xml:space="preserve">https://montessori-ami.org</t>
  </si>
  <si>
    <t xml:space="preserve">[International] The AMI name and logo are protected. Never claim AMI alignment or endorsement. National AMI affiliates may be better channels.</t>
  </si>
  <si>
    <t xml:space="preserve">Kappa Delta Pi (KDP)</t>
  </si>
  <si>
    <t xml:space="preserve">national (campus chapters)</t>
  </si>
  <si>
    <t xml:space="preserve">Education honor society with college chapters of student teachers and new teachers</t>
  </si>
  <si>
    <t xml:space="preserve">International honor society in education; holds a Convocation</t>
  </si>
  <si>
    <t xml:space="preserve">Written course + classroom pack (starter-teacher discount)</t>
  </si>
  <si>
    <t xml:space="preserve">member discount or partner (ask; not confirmed)</t>
  </si>
  <si>
    <t xml:space="preserve">Not published. Contact membership@kdp.org.</t>
  </si>
  <si>
    <t xml:space="preserve">No 2027 Convocation date or sponsor information found</t>
  </si>
  <si>
    <t xml:space="preserve">https://www.kdp.org</t>
  </si>
  <si>
    <t xml:space="preserve">[K–12] Fit lowered from 3 to 2. Ads, guest articles and a member-discount program were not confirmed in search results. KDP is not affiliated with NEA.</t>
  </si>
  <si>
    <t xml:space="preserve">Verify the org, URL and dates on the official site; then email a partnership inquiry offering a member discount (contact: membership@kdp.org)</t>
  </si>
  <si>
    <t xml:space="preserve">Mocha Moms</t>
  </si>
  <si>
    <t xml:space="preserve">national (US), local chapters</t>
  </si>
  <si>
    <t xml:space="preserve">Support network for mothers of color with local chapters (size not verified)</t>
  </si>
  <si>
    <t xml:space="preserve">National support organization for mothers of color.</t>
  </si>
  <si>
    <t xml:space="preserve">Talk-along board books, 0–5 printables, workshop kits for chapter meetings</t>
  </si>
  <si>
    <t xml:space="preserve">partner/sponsor, resource listing (unverified)</t>
  </si>
  <si>
    <t xml:space="preserve">https://www.mochamoms.org</t>
  </si>
  <si>
    <t xml:space="preserve">[Parents] New addition. DNS only. Check that the books show diverse families before approaching.</t>
  </si>
  <si>
    <t xml:space="preserve">MOMS Club International</t>
  </si>
  <si>
    <t xml:space="preserve">Local support chapters for at-home mothers (count not verified)</t>
  </si>
  <si>
    <t xml:space="preserve">Volunteer support network for mothers at home with young children.</t>
  </si>
  <si>
    <t xml:space="preserve">0–5 printables, play guide (free sample for chapter meetings)</t>
  </si>
  <si>
    <t xml:space="preserve">national newsletter or resource mention (unverified)</t>
  </si>
  <si>
    <t xml:space="preserve">https://www.momsclub.org</t>
  </si>
  <si>
    <t xml:space="preserve">[Parents] New addition. DNS only. Chapters likely bar business solicitation, so approach the national office only and do not pitch chapters.</t>
  </si>
  <si>
    <t xml:space="preserve">Screen Sanity</t>
  </si>
  <si>
    <t xml:space="preserve">national (US), Kansas City-based; an Australian affiliate exists</t>
  </si>
  <si>
    <t xml:space="preserve">Parent workshops run through community and school partners; free Group Leader program</t>
  </si>
  <si>
    <t xml:space="preserve">Nonprofit that sells a Parent Night Kit and in-person presentations on family tech use.</t>
  </si>
  <si>
    <t xml:space="preserve">Printable bundles as a complement only</t>
  </si>
  <si>
    <t xml:space="preserve">resource listing / community partner (sponsor route unverified)</t>
  </si>
  <si>
    <t xml:space="preserve">Not verified for partners. Its own prices (earlier search results): Parent Night Kit $200 introductory; in-person presentations from $2,500.</t>
  </si>
  <si>
    <t xml:space="preserve">https://www.screensanity.org</t>
  </si>
  <si>
    <t xml:space="preserve">[Parents] The org and URL are confirmed from earlier search results (screensanity.org Trainings and Parent Night Kit pages), but no vendor or sponsor route was found, so confirmed=false. Its $200 Parent Night Kit competes directly with the host-it-yourself workshop kits, so treat it as a competitor and price benchmark. Lowered from 3.</t>
  </si>
  <si>
    <t xml:space="preserve">UnidosUS (Annual Conference)</t>
  </si>
  <si>
    <t xml:space="preserve">Large Latino civil-rights network with hundreds of affiliates</t>
  </si>
  <si>
    <t xml:space="preserve">National Latino advocacy organization with an annual conference and expo.</t>
  </si>
  <si>
    <t xml:space="preserve">Board books, bilingual bundles</t>
  </si>
  <si>
    <t xml:space="preserve">exhibit, affiliate outreach (unverified)</t>
  </si>
  <si>
    <t xml:space="preserve">Not verified (large-conference pricing)</t>
  </si>
  <si>
    <t xml:space="preserve">Usually summer. Confirm at unidosus.org.</t>
  </si>
  <si>
    <t xml:space="preserve">https://unidosus.org</t>
  </si>
  <si>
    <t xml:space="preserve">[Parents] DNS only. Broad policy agenda, so the audience is poorly targeted and costly. Worthwhile only once Spanish editions exist.</t>
  </si>
  <si>
    <t xml:space="preserve">AACTE – American Association of Colleges for Teacher Education</t>
  </si>
  <si>
    <t xml:space="preserve">Educator-preparation programs and faculty</t>
  </si>
  <si>
    <t xml:space="preserve">National association of teacher-preparation colleges</t>
  </si>
  <si>
    <t xml:space="preserve">Written course + research briefs (course adoption for early-childhood and elementary methods)</t>
  </si>
  <si>
    <t xml:space="preserve">AACTE 2027 Annual Meeting, Feb 26–28, 2027, Columbus OH (early bird through Dec 2)</t>
  </si>
  <si>
    <t xml:space="preserve">https://aacte.org</t>
  </si>
  <si>
    <t xml:space="preserve">[K–12] The meeting and dates are confirmed, but an exhibit hall or ad program was not shown in results. It is only an indirect route to student teachers.</t>
  </si>
  <si>
    <t xml:space="preserve">Ask AACTE whether the Feb 26–28, 2027 Annual Meeting has exhibits or ads (early bird ends Dec 2).</t>
  </si>
  <si>
    <t xml:space="preserve">Action for Healthy Kids</t>
  </si>
  <si>
    <t xml:space="preserve">140,000+ school health champions; 50,000+ schools</t>
  </si>
  <si>
    <t xml:space="preserve">School wellness nonprofit and home of Active Schools</t>
  </si>
  <si>
    <t xml:space="preserve">Family bundles + workshop kits (active play)</t>
  </si>
  <si>
    <t xml:space="preserve">resource listing or partner (ask; not confirmed)</t>
  </si>
  <si>
    <t xml:space="preserve">Corporate partnerships appear to be enterprise-scale. No free resource-listing path was confirmed.</t>
  </si>
  <si>
    <t xml:space="preserve">https://www.actionforhealthykids.org</t>
  </si>
  <si>
    <t xml:space="preserve">[K–12] The health framing carries claim risk. Pitch only play-based family engagement.</t>
  </si>
  <si>
    <t xml:space="preserve">Childhood Education International (formerly ACEI)</t>
  </si>
  <si>
    <t xml:space="preserve">international (global)</t>
  </si>
  <si>
    <t xml:space="preserve">Global education NGO network; publishes the journal 'Childhood Education' (verify)</t>
  </si>
  <si>
    <t xml:space="preserve">Long-standing international education NGO, founded as ACEI in 1892, focused on children's education rights and teacher quality. It now trades as Childhood Education International.</t>
  </si>
  <si>
    <t xml:space="preserve">Research briefs and written course</t>
  </si>
  <si>
    <t xml:space="preserve">guest article (journal submission), resource listing, partner inquiry</t>
  </si>
  <si>
    <t xml:space="preserve">https://ceinternational1892.org</t>
  </si>
  <si>
    <t xml:space="preserve">[International] URL corrected from acei.org, which may redirect. Now mostly global policy and programme work with few vendor channels. A written article is the realistic route.</t>
  </si>
  <si>
    <t xml:space="preserve">When a local edition is ready: Verify the org, URL and dates on the official site; then email a partnership inquiry offering a member discount</t>
  </si>
  <si>
    <t xml:space="preserve">Children &amp; Nature Network</t>
  </si>
  <si>
    <t xml:space="preserve">Network of nature-play advocates and practitioners</t>
  </si>
  <si>
    <t xml:space="preserve">Nonprofit connecting children with nature.</t>
  </si>
  <si>
    <t xml:space="preserve">Play guide, card deck</t>
  </si>
  <si>
    <t xml:space="preserve">resource listing; event exhibit or sponsor if offered (unverified)</t>
  </si>
  <si>
    <t xml:space="preserve">Confirm events at childrenandnature.org</t>
  </si>
  <si>
    <t xml:space="preserve">https://www.childrenandnature.org</t>
  </si>
  <si>
    <t xml:space="preserve">Colorín Colorado</t>
  </si>
  <si>
    <t xml:space="preserve">Major bilingual site for families and educators of English learners (a WETA public-media project)</t>
  </si>
  <si>
    <t xml:space="preserve">Public-media resource site for multilingual families and educators.</t>
  </si>
  <si>
    <t xml:space="preserve">Guest article on talk-along reading with multilingual toddlers</t>
  </si>
  <si>
    <t xml:space="preserve">editorial pitch / resource suggestion only</t>
  </si>
  <si>
    <t xml:space="preserve">https://www.colorincolorado.org</t>
  </si>
  <si>
    <t xml:space="preserve">[Parents] DNS only. Public media rarely promotes commercial products.</t>
  </si>
  <si>
    <t xml:space="preserve">Division for Early Childhood (DEC) of the Council for Exceptional Children</t>
  </si>
  <si>
    <t xml:space="preserve">Early childhood special educators, early intervention providers, researchers and families</t>
  </si>
  <si>
    <t xml:space="preserve">Professional association for early childhood special education and early intervention (not a licensure body); annual international conference with exhibitors</t>
  </si>
  <si>
    <t xml:space="preserve">Talk-along board books and play guide, strictly as general play materials; research briefs</t>
  </si>
  <si>
    <t xml:space="preserve">exhibit, newsletter ad</t>
  </si>
  <si>
    <t xml:space="preserve">https://www.decsped.org/</t>
  </si>
  <si>
    <t xml:space="preserve">[Early Childhood] ADDED at low fit with cautions. DEC is not a licensure body, but its audience includes therapists and early intervention providers, so talk-along books there could be read as a language intervention. Only proceed with explicit 'not a therapy or intervention' framing, and skip any Maryland DEC activity involving the Montgomery County Infants and Toddlers Program (excluded). Domain from knowledge; not opened in this pass.</t>
  </si>
  <si>
    <t xml:space="preserve">ECIS (Educational Collaborative for International Schools)</t>
  </si>
  <si>
    <t xml:space="preserve">Global network of international schools and educators (verify)</t>
  </si>
  <si>
    <t xml:space="preserve">Membership organisation for international schools offering professional learning, conferences and partner programmes.</t>
  </si>
  <si>
    <t xml:space="preserve">PreK-5 classroom pack site licence and research briefs</t>
  </si>
  <si>
    <t xml:space="preserve">partner/supporting membership, newsletter ad, conference sponsor</t>
  </si>
  <si>
    <t xml:space="preserve">https://www.ecis.org</t>
  </si>
  <si>
    <t xml:space="preserve">[International] ADDED. Its schools overlap with COBIS's; approach it second.</t>
  </si>
  <si>
    <t xml:space="preserve">EECERA (European Early Childhood Education Research Association)</t>
  </si>
  <si>
    <t xml:space="preserve">international (Europe/global)</t>
  </si>
  <si>
    <t xml:space="preserve">Early childhood researchers and teacher educators (verify)</t>
  </si>
  <si>
    <t xml:space="preserve">Research association that runs an annual European early childhood research conference with publisher exhibits.</t>
  </si>
  <si>
    <t xml:space="preserve">Research briefs for groups and the written course</t>
  </si>
  <si>
    <t xml:space="preserve">conference exhibit/sponsor, journal ad</t>
  </si>
  <si>
    <t xml:space="preserve">Not verified; annual conference typically late August/early September, location rotates</t>
  </si>
  <si>
    <t xml:space="preserve">https://www.eecera.org</t>
  </si>
  <si>
    <t xml:space="preserve">[International] ADDED. Academic audience with little buying power; mainly useful for credibility.</t>
  </si>
  <si>
    <t xml:space="preserve">Generations United</t>
  </si>
  <si>
    <t xml:space="preserve">Intergenerational-program and grandfamilies (grandparents raising grandchildren) network</t>
  </si>
  <si>
    <t xml:space="preserve">National nonprofit for intergenerational programs and grandfamilies. It holds a periodic conference (dates not verified).</t>
  </si>
  <si>
    <t xml:space="preserve">Grandparent-friendly play guide, card deck, talk-along board books</t>
  </si>
  <si>
    <t xml:space="preserve">conference exhibit/sponsor, resource listing (unverified)</t>
  </si>
  <si>
    <t xml:space="preserve">Confirm at gu.org</t>
  </si>
  <si>
    <t xml:space="preserve">https://www.gu.org</t>
  </si>
  <si>
    <t xml:space="preserve">[Parents] New addition. DNS only. Grandparent caregivers are a real 0–5 buyer segment, but the reach route is unverified.</t>
  </si>
  <si>
    <t xml:space="preserve">KaiPod Learning</t>
  </si>
  <si>
    <t xml:space="preserve">Microschool and learning-pod support platform (size not verified)</t>
  </si>
  <si>
    <t xml:space="preserve">For-profit microschool support platform and accelerator.</t>
  </si>
  <si>
    <t xml:space="preserve">Classroom pack site license</t>
  </si>
  <si>
    <t xml:space="preserve">partner/vendor outreach by email (not verified)</t>
  </si>
  <si>
    <t xml:space="preserve">https://www.kaipodlearning.com</t>
  </si>
  <si>
    <t xml:space="preserve">[Parents] DNS only. Pods often use online curricula. Pitch only as a complement and never frame the brand against their tech.</t>
  </si>
  <si>
    <t xml:space="preserve">Let Grow</t>
  </si>
  <si>
    <t xml:space="preserve">Free-play and independence nonprofit with school programs (Play Club, Let Grow Project)</t>
  </si>
  <si>
    <t xml:space="preserve">Nonprofit promoting childhood independence and free play.</t>
  </si>
  <si>
    <t xml:space="preserve">Play guide, research briefs</t>
  </si>
  <si>
    <t xml:space="preserve">guest article, resource suggestion</t>
  </si>
  <si>
    <t xml:space="preserve">https://letgrow.org</t>
  </si>
  <si>
    <t xml:space="preserve">[Parents] DNS only. Its school programs run inside schools, so pitch editorial content only, to the national office.</t>
  </si>
  <si>
    <t xml:space="preserve">National Center for Fathering / WATCH D.O.G.S.</t>
  </si>
  <si>
    <t xml:space="preserve">School-based dad-volunteer program in many schools (count not verified)</t>
  </si>
  <si>
    <t xml:space="preserve">Nonprofit that runs WATCH D.O.G.S. (Dads Of Great Students) school volunteer programs.</t>
  </si>
  <si>
    <t xml:space="preserve">Card deck, workshop kit for dad-and-kid play nights</t>
  </si>
  <si>
    <t xml:space="preserve">national partner/sponsor, newsletter (unverified)</t>
  </si>
  <si>
    <t xml:space="preserve">https://fathers.com</t>
  </si>
  <si>
    <t xml:space="preserve">[Parents] DNS only. Chapters operate inside schools, possibly including MCPS schools, so work at the national level only and never contact a Montgomery County chapter. Lowered from 3.</t>
  </si>
  <si>
    <t xml:space="preserve">National Fatherhood Initiative</t>
  </si>
  <si>
    <t xml:space="preserve">advocacy group / association</t>
  </si>
  <si>
    <t xml:space="preserve">Supplies fatherhood programs nationwide through its FatherSource store</t>
  </si>
  <si>
    <t xml:space="preserve">Nonprofit that sells its own curricula and resources to fatherhood programs.</t>
  </si>
  <si>
    <t xml:space="preserve">Card deck, 100-activity play guide, talk-along board books for dad-and-baby programs</t>
  </si>
  <si>
    <t xml:space="preserve">guest article, email outreach (third-party store listing unlikely)</t>
  </si>
  <si>
    <t xml:space="preserve">https://www.fatherhood.org</t>
  </si>
  <si>
    <t xml:space="preserve">[Parents] DNS only (HubSpot-hosted). FatherSource sells NFI's own products, so a third-party listing is unlikely. Lowered from 3.</t>
  </si>
  <si>
    <t xml:space="preserve">National Military Family Association</t>
  </si>
  <si>
    <t xml:space="preserve">National military-family advocacy group and programs</t>
  </si>
  <si>
    <t xml:space="preserve">Nonprofit advocating for military families.</t>
  </si>
  <si>
    <t xml:space="preserve">Member-discount printables, board books</t>
  </si>
  <si>
    <t xml:space="preserve">partner/member discount (unverified)</t>
  </si>
  <si>
    <t xml:space="preserve">https://www.militaryfamily.org</t>
  </si>
  <si>
    <t xml:space="preserve">[Parents] DNS only. Mainly policy advocacy. Do not target DoD Child Development Centers here, because they buy through government procurement.</t>
  </si>
  <si>
    <t xml:space="preserve">OMEP (World Organization for Early Childhood Education)</t>
  </si>
  <si>
    <t xml:space="preserve">international (global, about 70 national committees)</t>
  </si>
  <si>
    <t xml:space="preserve">Global network of national committees (verify)</t>
  </si>
  <si>
    <t xml:space="preserve">International NGO for early childhood education and care with UN consultative status; holds an annual World Assembly and Conference.</t>
  </si>
  <si>
    <t xml:space="preserve">Research briefs for groups and workshop kits (translated)</t>
  </si>
  <si>
    <t xml:space="preserve">conference sponsor/exhibit, national committee outreach, guest article</t>
  </si>
  <si>
    <t xml:space="preserve">Not verified; World Assembly &amp; Conference typically mid-year, location rotates</t>
  </si>
  <si>
    <t xml:space="preserve">https://omepworld.org</t>
  </si>
  <si>
    <t xml:space="preserve">[International] Rights-based academic NGO with few commercial channels.</t>
  </si>
  <si>
    <t xml:space="preserve">When a local edition is ready: Verify the org, URL and dates on the official site; then pitch a written guest article (no product pitch)</t>
  </si>
  <si>
    <t xml:space="preserve">PIQE (Parent Institute for Quality Education)</t>
  </si>
  <si>
    <t xml:space="preserve">national (CA-based, multi-state)</t>
  </si>
  <si>
    <t xml:space="preserve">Hundreds of thousands of parents served by PIQE's own count (re-check)</t>
  </si>
  <si>
    <t xml:space="preserve">Nonprofit running multilingual family-engagement classes, mostly through school districts.</t>
  </si>
  <si>
    <t xml:space="preserve">Bilingual printable bundles, workshop kits</t>
  </si>
  <si>
    <t xml:space="preserve">partner/resource listing, email outreach (unverified)</t>
  </si>
  <si>
    <t xml:space="preserve">https://www.piqe.org</t>
  </si>
  <si>
    <t xml:space="preserve">[Parents] DNS only. It works through school districts, so never approach any Maryland or Montgomery County program. Lowered from 3.</t>
  </si>
  <si>
    <t xml:space="preserve">Regional international-school councils (NESA, AISA, AAIE, Tri-Association)</t>
  </si>
  <si>
    <t xml:space="preserve">international (Near East/South Asia, Africa, global, Americas)</t>
  </si>
  <si>
    <t xml:space="preserve">English-medium international schools by region (verify each)</t>
  </si>
  <si>
    <t xml:space="preserve">Regional associations of international schools: NESA (Near East South Asia), AISA (Africa), AAIE (global heads' association) and the Tri-Association (Central America, Colombia, Caribbean, Mexico). Each runs conferences with vendors.</t>
  </si>
  <si>
    <t xml:space="preserve">associate/vendor membership, conference sponsor, newsletter ad</t>
  </si>
  <si>
    <t xml:space="preserve">Not verified; AAIE typically February; others vary</t>
  </si>
  <si>
    <t xml:space="preserve">https://www.nesacenter.org</t>
  </si>
  <si>
    <t xml:space="preserve">[International] ADDED as one entry. Other sites: aisa.or.ke, aaie.org, tri-association.org (verify each). Treat these as a second wave after COBIS.</t>
  </si>
  <si>
    <t xml:space="preserve">ScreenStrong</t>
  </si>
  <si>
    <t xml:space="preserve">Parent-education nonprofit with an online community and workshops</t>
  </si>
  <si>
    <t xml:space="preserve">Nonprofit that helps families cut entertainment screens. It sells its own workshops.</t>
  </si>
  <si>
    <t xml:space="preserve">Play guide, card deck, bundles (as a complement)</t>
  </si>
  <si>
    <t xml:space="preserve">resource listing, guest article (sponsorship unverified)</t>
  </si>
  <si>
    <t xml:space="preserve">https://www.screenstrong.org</t>
  </si>
  <si>
    <t xml:space="preserve">[Parents] DNS only. It sells its own workshops, so it overlaps the workshop kits. Its framing leans on health, so keep all copy free of health claims. Lowered from 3.</t>
  </si>
  <si>
    <t xml:space="preserve">Smartphone Free Childhood US</t>
  </si>
  <si>
    <t xml:space="preserve">national (US), local parent groups</t>
  </si>
  <si>
    <t xml:space="preserve">Grassroots parent communities (US branch of the UK movement)</t>
  </si>
  <si>
    <t xml:space="preserve">Parent-led movement for delaying smartphones.</t>
  </si>
  <si>
    <t xml:space="preserve">5–12 bundle, card deck</t>
  </si>
  <si>
    <t xml:space="preserve">email outreach, free resource suggestion</t>
  </si>
  <si>
    <t xml:space="preserve">https://www.smartphonefreechildhoodus.com</t>
  </si>
  <si>
    <t xml:space="preserve">[Parents] DNS only. Volunteer-run, so commercial partnerships are unlikely.</t>
  </si>
  <si>
    <t xml:space="preserve">The Anxious Generation movement</t>
  </si>
  <si>
    <t xml:space="preserve">Very large audience around the book and its four-norms campaign</t>
  </si>
  <si>
    <t xml:space="preserve">Movement site with parent and school action resources and partner nonprofits.</t>
  </si>
  <si>
    <t xml:space="preserve">Research briefs, play guide (free play is one of its norms)</t>
  </si>
  <si>
    <t xml:space="preserve">resource submission / email outreach</t>
  </si>
  <si>
    <t xml:space="preserve">https://anxiousgeneration.com</t>
  </si>
  <si>
    <t xml:space="preserve">[Parents] DNS only. Never imply endorsement or use the book title in ads. Its phone-free-schools work is school policy, so stay out of it.</t>
  </si>
  <si>
    <t xml:space="preserve">Wait Until 8th</t>
  </si>
  <si>
    <t xml:space="preserve">Parent pledge movement to delay smartphones until 8th grade</t>
  </si>
  <si>
    <t xml:space="preserve">Nonprofit parent-pledge campaign.</t>
  </si>
  <si>
    <t xml:space="preserve">5–12 printable bundle, card deck (alternatives to phones)</t>
  </si>
  <si>
    <t xml:space="preserve">email outreach for a free resource mention</t>
  </si>
  <si>
    <t xml:space="preserve">https://www.waituntil8th.org</t>
  </si>
  <si>
    <t xml:space="preserve">[Parents] DNS only. The audience skews older (grades 3–8), and no vendor route is known.</t>
  </si>
  <si>
    <t xml:space="preserve">Wildflower Schools</t>
  </si>
  <si>
    <t xml:space="preserve">Network of small, teacher-led Montessori microschools (count not verified)</t>
  </si>
  <si>
    <t xml:space="preserve">Decentralized Montessori microschool network.</t>
  </si>
  <si>
    <t xml:space="preserve">Library-binding picture books; parent-facing bundles</t>
  </si>
  <si>
    <t xml:space="preserve">email outreach, resource listing (not verified)</t>
  </si>
  <si>
    <t xml:space="preserve">Likely free outreach</t>
  </si>
  <si>
    <t xml:space="preserve">https://www.wildflowerschools.org</t>
  </si>
  <si>
    <t xml:space="preserve">[Parents] DNS only. Montessori classrooms use prescribed materials, so the classroom pack is a weak fit. Lowered from 3.</t>
  </si>
  <si>
    <t xml:space="preserve">International Literacy Association (ILA)</t>
  </si>
  <si>
    <t xml:space="preserve">Literacy educators worldwide; publishes The Reading Teacher and other journals</t>
  </si>
  <si>
    <t xml:space="preserve">Global literacy educators' association</t>
  </si>
  <si>
    <t xml:space="preserve">Talk-along board books + picture books</t>
  </si>
  <si>
    <t xml:space="preserve">exhibit (for-exhibitors page exists)</t>
  </si>
  <si>
    <t xml:space="preserve">Exhibitor page literacyworldwide.org/conference/for-exhibitors; pricing not in results</t>
  </si>
  <si>
    <t xml:space="preserve">No 2026 or 2027 ILA conference date found. The 'ILA Global Conference, Oct 28–31, 2026, Toronto' in search results belongs to the International LEADERSHIP Association, not this group.</t>
  </si>
  <si>
    <t xml:space="preserve">https://www.literacyworldwide.org</t>
  </si>
  <si>
    <t xml:space="preserve">[K–12] Fit lowered from 3 to 2. It is not confirmed that ILA still runs an annual in-person conference with an exhibit hall. Newsletter ads and Literacy Now blog posts were not confirmed. SoMLA is the nearer first step.</t>
  </si>
  <si>
    <t xml:space="preserve">Smartphone Free Childhood (UK)</t>
  </si>
  <si>
    <t xml:space="preserve">international (UK, with international chapters)</t>
  </si>
  <si>
    <t xml:space="preserve">Large grassroots parent movement with local parent groups in the UK and abroad (verify figures)</t>
  </si>
  <si>
    <t xml:space="preserve">Parent-led movement founded in 2024 that encourages delaying smartphones for children, with pacts and resources for parents and schools.</t>
  </si>
  <si>
    <t xml:space="preserve">Printable family bundle (5-12) and host-it-yourself workshop kit for parent groups</t>
  </si>
  <si>
    <t xml:space="preserve">resource listing / partner inquiry, written guest content</t>
  </si>
  <si>
    <t xml:space="preserve">Probably no paid channel; partnership by request (verify)</t>
  </si>
  <si>
    <t xml:space="preserve">https://smartphonefreechildhood.co.uk</t>
  </si>
  <si>
    <t xml:space="preserve">[International] Lowered from 3. There is no known paid or vendor channel. Its focus is phones for older children. Its public messaging openly criticises tech companies, which the brand must never echo, so any link must stay strictly neutral and make no health claims. Lead with the 5-12 products.</t>
  </si>
  <si>
    <t xml:space="preserve">AMEI-WAECE (Asociacion Mundial de Educadores Infantiles)</t>
  </si>
  <si>
    <t xml:space="preserve">international (Spain-based, Spanish-speaking world)</t>
  </si>
  <si>
    <t xml:space="preserve">Spanish-language early childhood educators across Spain and Latin America (verify)</t>
  </si>
  <si>
    <t xml:space="preserve">Madrid-based world association of early childhood educators offering training and congresses.</t>
  </si>
  <si>
    <t xml:space="preserve">Spanish-translated PreK classroom pack, play guide and written course</t>
  </si>
  <si>
    <t xml:space="preserve">newsletter ad, congress sponsor, guest article</t>
  </si>
  <si>
    <t xml:space="preserve">https://www.waece.org</t>
  </si>
  <si>
    <t xml:space="preserve">[International] Spanish-only audience, so practical only after translation. EU VAT OSS applies for Spain; Mexico VAT applies from the first sale.</t>
  </si>
  <si>
    <t xml:space="preserve">Australian Library and Information Association (ALIA)</t>
  </si>
  <si>
    <t xml:space="preserve">Australian library professionals (verify)</t>
  </si>
  <si>
    <t xml:space="preserve">National professional body for Australian libraries; runs early literacy initiatives such as National Simultaneous Storytime.</t>
  </si>
  <si>
    <t xml:space="preserve">Talk-along board books and library-binding picture books</t>
  </si>
  <si>
    <t xml:space="preserve">newsletter ad, conference exhibit/sponsor</t>
  </si>
  <si>
    <t xml:space="preserve">Not verified; ALIA has restructured its events in recent years, so check the current calendar</t>
  </si>
  <si>
    <t xml:space="preserve">https://www.alia.org.au</t>
  </si>
  <si>
    <t xml:space="preserve">[International] Lowered from 3. Storytime programmes fit, but the channels are mainly exhibits, and physical books need Australian distribution.</t>
  </si>
  <si>
    <t xml:space="preserve">Australian School Library Association (ASLA)</t>
  </si>
  <si>
    <t xml:space="preserve">Teacher librarians and school library staff (verify)</t>
  </si>
  <si>
    <t xml:space="preserve">National body for school libraries in Australia.</t>
  </si>
  <si>
    <t xml:space="preserve">Library-binding picture books and PreK-5 classroom pack</t>
  </si>
  <si>
    <t xml:space="preserve">journal ad, conference exhibit</t>
  </si>
  <si>
    <t xml:space="preserve">https://asla.org.au</t>
  </si>
  <si>
    <t xml:space="preserve">[International] Smaller reach; state school-library associations may be better.</t>
  </si>
  <si>
    <t xml:space="preserve">Childcare &amp; Education Expo</t>
  </si>
  <si>
    <t xml:space="preserve">UK trade expo for nursery owners, managers and practitioners (verify attendance)</t>
  </si>
  <si>
    <t xml:space="preserve">Commercial early years trade exhibition with free seminars, held in England.</t>
  </si>
  <si>
    <t xml:space="preserve">PreK classroom pack, play guide and card deck (sampler)</t>
  </si>
  <si>
    <t xml:space="preserve">exhibit / sponsor</t>
  </si>
  <si>
    <t xml:space="preserve">Not verified. Request stand pricing. Expect thousands of pounds plus hired staff, travel and shipping.</t>
  </si>
  <si>
    <t xml:space="preserve">Not verified; historically a Coventry edition in spring and a London edition in autumn. Check the 2027 dates.</t>
  </si>
  <si>
    <t xml:space="preserve">https://www.childcareexpo.co.uk</t>
  </si>
  <si>
    <t xml:space="preserve">[International] Lowered from 3. Exhibiting is the only channel, and it needs staff on site, so it suits a later stage. Show-guide ads, if sold, would be the faceless alternative.</t>
  </si>
  <si>
    <t xml:space="preserve">When a local edition is ready: Verify the org, URL and dates on the official site; then request the sponsorship package</t>
  </si>
  <si>
    <t xml:space="preserve">Children's Books Ireland</t>
  </si>
  <si>
    <t xml:space="preserve">National children's reading charity reaching teachers, librarians and parents (verify)</t>
  </si>
  <si>
    <t xml:space="preserve">Irish children's books charity; runs an annual conference and publishes 'Inis' magazine (verify it is still in print).</t>
  </si>
  <si>
    <t xml:space="preserve">Picture books and talk-along board books</t>
  </si>
  <si>
    <t xml:space="preserve">magazine ad, conference sponsor</t>
  </si>
  <si>
    <t xml:space="preserve">Not verified; conference typically in spring</t>
  </si>
  <si>
    <t xml:space="preserve">https://childrensbooksireland.ie</t>
  </si>
  <si>
    <t xml:space="preserve">[International] ADDED. It focuses on Irish authors and illustrators, so the fit for a US brand is modest.</t>
  </si>
  <si>
    <t xml:space="preserve">CILIP (Chartered Institute of Library and Information Professionals), incl. Youth Libraries Group</t>
  </si>
  <si>
    <t xml:space="preserve">UK library and information professional body, including the Youth Libraries Group and the School Libraries Group (verify membership)</t>
  </si>
  <si>
    <t xml:space="preserve">Professional body for UK librarians; runs conferences, special-interest groups and the Carnegie medals programme.</t>
  </si>
  <si>
    <t xml:space="preserve">Talk-along board books for library rhyme-time and library-binding picture books</t>
  </si>
  <si>
    <t xml:space="preserve">exhibit/sponsor at the Youth Libraries Group conference or CILIP Conference, magazine ad</t>
  </si>
  <si>
    <t xml:space="preserve">Not verified. Request the sponsorship pack.</t>
  </si>
  <si>
    <t xml:space="preserve">Not verified; CILIP Conference typically July; Youth Libraries Group conference typically autumn</t>
  </si>
  <si>
    <t xml:space="preserve">https://www.cilip.org.uk</t>
  </si>
  <si>
    <t xml:space="preserve">[International] Lowered from 3 because the channels are mainly staffed exhibits and UK distribution is needed. Children's librarians run baby rhyme-times, so the talk-along books fit. The medals' headline sponsor is a children's audio-player maker, so never compare products or comment on devices.</t>
  </si>
  <si>
    <t xml:space="preserve">EARCOS (East Asia Regional Council of Schools)</t>
  </si>
  <si>
    <t xml:space="preserve">international (East Asia)</t>
  </si>
  <si>
    <t xml:space="preserve">English-medium international schools across East Asia (verify)</t>
  </si>
  <si>
    <t xml:space="preserve">Regional association of international schools; runs large leadership and teachers' conferences with exhibit halls.</t>
  </si>
  <si>
    <t xml:space="preserve">PreK-5 classroom pack site licence and workshop kit</t>
  </si>
  <si>
    <t xml:space="preserve">associate (vendor) membership, conference exhibit, newsletter ad</t>
  </si>
  <si>
    <t xml:space="preserve">Not verified; Leadership Conference typically Oct/Nov; Teachers' Conference typically March</t>
  </si>
  <si>
    <t xml:space="preserve">https://www.earcos.org</t>
  </si>
  <si>
    <t xml:space="preserve">[International] ADDED. A strong buyer base, but exhibits need staff in Asia. EdTech vendors are common at its events, though the body itself is not an EdTech promoter. Stay neutral.</t>
  </si>
  <si>
    <t xml:space="preserve">Early Years - the organisation for young children (Northern Ireland)</t>
  </si>
  <si>
    <t xml:space="preserve">Community playgroups, parent-and-toddler groups and early years settings in Northern Ireland (verify)</t>
  </si>
  <si>
    <t xml:space="preserve">Northern Ireland's largest early years charity supporting settings and parent-and-toddler groups.</t>
  </si>
  <si>
    <t xml:space="preserve">newsletter ad, resource listing, partner inquiry</t>
  </si>
  <si>
    <t xml:space="preserve">https://www.early-years.org</t>
  </si>
  <si>
    <t xml:space="preserve">[International] ADDED. Largely publicly funded, so commercial channels may be limited.</t>
  </si>
  <si>
    <t xml:space="preserve">Early Years Wales</t>
  </si>
  <si>
    <t xml:space="preserve">international (UK - Wales)</t>
  </si>
  <si>
    <t xml:space="preserve">Welsh early years settings, pre-schools and playgroups (verify)</t>
  </si>
  <si>
    <t xml:space="preserve">Welsh early years membership charity (formerly Wales PPA) supporting settings and families.</t>
  </si>
  <si>
    <t xml:space="preserve">Printable family bundles and workshop kit</t>
  </si>
  <si>
    <t xml:space="preserve">newsletter ad, member offer, resource listing</t>
  </si>
  <si>
    <t xml:space="preserve">https://www.earlyyears.wales</t>
  </si>
  <si>
    <t xml:space="preserve">[International] Bilingual English/Welsh is expected; a Welsh translation raises fit.</t>
  </si>
  <si>
    <t xml:space="preserve">Federation of Children's Book Groups (FCBG)</t>
  </si>
  <si>
    <t xml:space="preserve">Volunteer-run local children's book groups of parents, teachers and librarians (verify)</t>
  </si>
  <si>
    <t xml:space="preserve">National network of local children's book groups; runs an annual conference and reading events.</t>
  </si>
  <si>
    <t xml:space="preserve">Picture books and talk-along board books, plus the family printables</t>
  </si>
  <si>
    <t xml:space="preserve">conference sponsor/exhibit, newsletter ad, resource listing</t>
  </si>
  <si>
    <t xml:space="preserve">https://www.fcbg.org.uk</t>
  </si>
  <si>
    <t xml:space="preserve">[International] ADDED. The parent book-group audience fits, but the network centres on traditionally published trade books.</t>
  </si>
  <si>
    <t xml:space="preserve">Forest School Association</t>
  </si>
  <si>
    <t xml:space="preserve">UK Forest School practitioners, trainers and settings (verify)</t>
  </si>
  <si>
    <t xml:space="preserve">UK professional body for Forest School, an outdoor, hands-on learning approach used in early years and primary.</t>
  </si>
  <si>
    <t xml:space="preserve">100-activity play guide (outdoor activities) and card deck</t>
  </si>
  <si>
    <t xml:space="preserve">newsletter ad, guest article, resource listing</t>
  </si>
  <si>
    <t xml:space="preserve">https://forestschoolassociation.org</t>
  </si>
  <si>
    <t xml:space="preserve">[International] ADDED. It shares the screen-free, hands-on outlook, but its focus is outdoors, so only part of the range fits.</t>
  </si>
  <si>
    <t xml:space="preserve">LIANZA (Library and Information Association of New Zealand Aotearoa)</t>
  </si>
  <si>
    <t xml:space="preserve">NZ library professionals (verify)</t>
  </si>
  <si>
    <t xml:space="preserve">National library professional body; runs a conference.</t>
  </si>
  <si>
    <t xml:space="preserve">conference exhibit/sponsor</t>
  </si>
  <si>
    <t xml:space="preserve">https://www.lianza.org.nz</t>
  </si>
  <si>
    <t xml:space="preserve">[International] Small market. SLANZA (school libraries) is a related channel.</t>
  </si>
  <si>
    <t xml:space="preserve">National Literacy Trust</t>
  </si>
  <si>
    <t xml:space="preserve">National literacy charity with school membership, local literacy hubs and a parent resource site (verify)</t>
  </si>
  <si>
    <t xml:space="preserve">UK charity working on literacy from early years to adults; runs school programmes and 'Words for Life' resources for families.</t>
  </si>
  <si>
    <t xml:space="preserve">Talk-along board books and research briefs; the 100-activity play guide for its family audiences</t>
  </si>
  <si>
    <t xml:space="preserve">partner inquiry, resource listing</t>
  </si>
  <si>
    <t xml:space="preserve">Not verified; corporate partnerships are usually large sponsor deals</t>
  </si>
  <si>
    <t xml:space="preserve">https://literacytrust.org.uk</t>
  </si>
  <si>
    <t xml:space="preserve">[International] ADDED as a major body the list missed. The early-talk focus aligns well, but it is unlikely to list a small overseas brand's resources. Treat it as a long shot.</t>
  </si>
  <si>
    <t xml:space="preserve">National Parents Council (Ireland)</t>
  </si>
  <si>
    <t xml:space="preserve">Parent associations in Irish schools (verify)</t>
  </si>
  <si>
    <t xml:space="preserve">Representative organisation for parents in Irish education; offers training and resources.</t>
  </si>
  <si>
    <t xml:space="preserve">Workshop kits, printable 5-12 bundle and group fundraiser</t>
  </si>
  <si>
    <t xml:space="preserve">resource listing, guest article, partner inquiry</t>
  </si>
  <si>
    <t xml:space="preserve">Not verified; may not accept commercial ads</t>
  </si>
  <si>
    <t xml:space="preserve">https://www.npc.ie</t>
  </si>
  <si>
    <t xml:space="preserve">[International] Publicly funded body, so commercial partnership may be limited. Aim for a resource listing.</t>
  </si>
  <si>
    <t xml:space="preserve">School Library Association (SLA)</t>
  </si>
  <si>
    <t xml:space="preserve">UK school librarians and school library staff (verify)</t>
  </si>
  <si>
    <t xml:space="preserve">UK charity supporting school libraries; runs an annual conference with a supplier exhibition and publishes 'The School Librarian'.</t>
  </si>
  <si>
    <t xml:space="preserve">PreK-5 screen-free classroom pack; library-binding picture books once UK distribution exists</t>
  </si>
  <si>
    <t xml:space="preserve">journal ad, supplier listing, exhibit at annual conference</t>
  </si>
  <si>
    <t xml:space="preserve">Not verified. Request the exhibitor pack and journal rates.</t>
  </si>
  <si>
    <t xml:space="preserve">Not verified; annual conference typically early summer</t>
  </si>
  <si>
    <t xml:space="preserve">https://www.sla.org.uk</t>
  </si>
  <si>
    <t xml:space="preserve">[International] Lowered from 3. Membership leans toward secondary schools, since most UK primaries have no librarian. Library-binding books need a UK library supplier (e.g., Peters, Gardners). Journal ads are the faceless route.</t>
  </si>
  <si>
    <t xml:space="preserve">Steiner Waldorf Schools Fellowship (SWSF)</t>
  </si>
  <si>
    <t xml:space="preserve">international (UK &amp; Ireland)</t>
  </si>
  <si>
    <t xml:space="preserve">Steiner Waldorf schools and early years settings in the UK and Ireland (verify)</t>
  </si>
  <si>
    <t xml:space="preserve">Membership body for Steiner Waldorf schools and kindergartens.</t>
  </si>
  <si>
    <t xml:space="preserve">Card deck and family printables; board books only if the illustration style suits</t>
  </si>
  <si>
    <t xml:space="preserve">newsletter ad, resource listing, guest article</t>
  </si>
  <si>
    <t xml:space="preserve">https://www.steinerwaldorf.org</t>
  </si>
  <si>
    <t xml:space="preserve">[International] Lowered from 3. The culture is screen-light, but Waldorf early years favour natural materials and are often wary of commercial, brightly illustrated products. Paid channels are limited.</t>
  </si>
  <si>
    <t xml:space="preserve">UKLA (United Kingdom Literacy Association)</t>
  </si>
  <si>
    <t xml:space="preserve">Literacy teachers, researchers and teacher educators (verify)</t>
  </si>
  <si>
    <t xml:space="preserve">UK literacy education charity with an annual international conference and journals.</t>
  </si>
  <si>
    <t xml:space="preserve">Research briefs, picture books and the PreK-5 classroom pack</t>
  </si>
  <si>
    <t xml:space="preserve">conference exhibit/sponsor, journal/newsletter ad</t>
  </si>
  <si>
    <t xml:space="preserve">Not verified; international conference typically July</t>
  </si>
  <si>
    <t xml:space="preserve">https://ukla.org</t>
  </si>
  <si>
    <t xml:space="preserve">[International] Lowered from 3. The audience is academic and the channel is mainly a conference. The oral-language angle fits the talk-along books.</t>
  </si>
  <si>
    <t xml:space="preserve">FIL Guadalajara (Feria Internacional del Libro de Guadalajara)</t>
  </si>
  <si>
    <t xml:space="preserve">international (Mexico; Spanish-speaking world)</t>
  </si>
  <si>
    <t xml:space="preserve">The largest Spanish-language book fair, with a large professional programme for librarians and teachers (verify figures)</t>
  </si>
  <si>
    <t xml:space="preserve">Annual international book fair in Guadalajara with exhibitor stands, a rights centre and professional days for librarians.</t>
  </si>
  <si>
    <t xml:space="preserve">Spanish editions of the talk-along board books and picture books; rights licensing to a Spanish-language publisher</t>
  </si>
  <si>
    <t xml:space="preserve">exhibit (or collective/national stand), rights centre meetings through an agent</t>
  </si>
  <si>
    <t xml:space="preserve">Not verified; typically late November to early December. The 2026 edition is too soon; plan for 2027.</t>
  </si>
  <si>
    <t xml:space="preserve">https://www.fil.com.mx</t>
  </si>
  <si>
    <t xml:space="preserve">[International] ADDED. Relevant only once Spanish editions exist, or to license translation rights, which avoids shipping. An agent or collective stand keeps it faceless.</t>
  </si>
  <si>
    <t xml:space="preserve">When a local edition is ready: Verify the org, URL and dates on the official site; then request the 2027 exhibitor prospectus; plan a hired booth rep</t>
  </si>
  <si>
    <t xml:space="preserve">Bank Street College – Teaching Kindergarten Conference</t>
  </si>
  <si>
    <t xml:space="preserve">regional (New York)</t>
  </si>
  <si>
    <t xml:space="preserve">Kindergarten teachers and leaders</t>
  </si>
  <si>
    <t xml:space="preserve">Bank Street Graduate School of Education's play-focused kindergarten conference</t>
  </si>
  <si>
    <t xml:space="preserve">Play guide + classroom pack</t>
  </si>
  <si>
    <t xml:space="preserve">sponsor or bag insert (ask; not offered publicly)</t>
  </si>
  <si>
    <t xml:space="preserve">No exhibitor or sponsor information published</t>
  </si>
  <si>
    <t xml:space="preserve">April 9–10, 2027</t>
  </si>
  <si>
    <t xml:space="preserve">https://graduate.bankstreet.edu/educator-resources/conferences-institutes/kindergarten-conference/</t>
  </si>
  <si>
    <t xml:space="preserve">[K–12] Fit lowered from 3 to 2. The conference and its dates are confirmed, but no paid reach method is. The audience is play-first.</t>
  </si>
  <si>
    <t xml:space="preserve">Maryland Child Care Training Calendar (MSDE-approved training listings)</t>
  </si>
  <si>
    <t xml:space="preserve">Maryland licensed child care providers searching for approved training</t>
  </si>
  <si>
    <t xml:space="preserve">Statewide searchable calendar of MSDE-approved trainings and organizations, hosted by Maryland Family Network</t>
  </si>
  <si>
    <t xml:space="preserve">Workshop kits delivered by an approved trainer</t>
  </si>
  <si>
    <t xml:space="preserve">resource listing</t>
  </si>
  <si>
    <t xml:space="preserve">Free listing once MSDE training approval is granted</t>
  </si>
  <si>
    <t xml:space="preserve">https://www.marylandfamilynetwork.org/for-providers-training/maryland-child-care-training-calendar-0</t>
  </si>
  <si>
    <t xml:space="preserve">[Early Childhood] Requires MSDE Child Care Trainer/Training Proposal approval, and the trainer's identity is disclosed. Only pursue through a contracted approved trainer. MSDE (a state agency) is not excluded.</t>
  </si>
  <si>
    <t xml:space="preserve">Families In Schools</t>
  </si>
  <si>
    <t xml:space="preserve">Family-engagement and literacy nonprofit serving Los Angeles-area families</t>
  </si>
  <si>
    <t xml:space="preserve">Nonprofit focused on family engagement and literacy.</t>
  </si>
  <si>
    <t xml:space="preserve">Bilingual board books, workshop kits</t>
  </si>
  <si>
    <t xml:space="preserve">Confirm at familiesinschools.org</t>
  </si>
  <si>
    <t xml:space="preserve">https://www.familiesinschools.org</t>
  </si>
  <si>
    <t xml:space="preserve">[Parents] DNS only. Regional and district-linked. Lowered from 3.</t>
  </si>
  <si>
    <t xml:space="preserve">Illinois PTA (Annual Convention)</t>
  </si>
  <si>
    <t xml:space="preserve">state (Illinois)</t>
  </si>
  <si>
    <t xml:space="preserve">State PTA with an annual convention.</t>
  </si>
  <si>
    <t xml:space="preserve">Usually spring. Confirm at illinoispta.org.</t>
  </si>
  <si>
    <t xml:space="preserve">https://www.illinoispta.org</t>
  </si>
  <si>
    <t xml:space="preserve">[Parents] DNS only. The exhibit route, dates and cost are unverified, and the event is far from Maryland.</t>
  </si>
  <si>
    <t xml:space="preserve">Maryland Alliance of Public Charter Schools (MAPCS)</t>
  </si>
  <si>
    <t xml:space="preserve">Maryland public charter schools</t>
  </si>
  <si>
    <t xml:space="preserve">State charter school association</t>
  </si>
  <si>
    <t xml:space="preserve">Classroom pack site licenses + fundraiser program</t>
  </si>
  <si>
    <t xml:space="preserve">sponsor (ask), mailed/emailed outreach</t>
  </si>
  <si>
    <t xml:space="preserve">Sponsorship on request, (410) 919-9678</t>
  </si>
  <si>
    <t xml:space="preserve">No 2026–27 conference found. The latest sponsor evidence is from a 2022 virtual conference.</t>
  </si>
  <si>
    <t xml:space="preserve">https://mdcharters.org</t>
  </si>
  <si>
    <t xml:space="preserve">[K–12] Fit lowered from 3 to 2. No current sponsorship program is confirmed, and past sponsors were mostly EdTech. Stay product-first and do not comment on them.</t>
  </si>
  <si>
    <t xml:space="preserve">Verify the org, URL and dates on the official site; then request the sponsorship package (contact: (410) 919-9678)</t>
  </si>
  <si>
    <t xml:space="preserve">Pennsylvania PTA (Convention)</t>
  </si>
  <si>
    <t xml:space="preserve">Confirm the 2027 date at papta.org</t>
  </si>
  <si>
    <t xml:space="preserve">https://www.papta.org</t>
  </si>
  <si>
    <t xml:space="preserve">[Parents] DNS only. It is in the Mid-Atlantic, but the exhibit route is unverified.</t>
  </si>
  <si>
    <t xml:space="preserve">AECEO (Association of Early Childhood Educators Ontario)</t>
  </si>
  <si>
    <t xml:space="preserve">Ontario early childhood educators (verify)</t>
  </si>
  <si>
    <t xml:space="preserve">Professional association and advocacy body for Ontario early childhood educators.</t>
  </si>
  <si>
    <t xml:space="preserve">PreK classroom pack, research briefs and written course</t>
  </si>
  <si>
    <t xml:space="preserve">newsletter ad, member discount, conference sponsor</t>
  </si>
  <si>
    <t xml:space="preserve">https://www.aeceo.ca</t>
  </si>
  <si>
    <t xml:space="preserve">[International] Lowered from 3. It is focused on advocacy, with small, uncertain vendor channels, and the brand must stay neutral. Similar provincial bodies: AECEA (Alberta), Manitoba Child Care Association (which runs a conference with exhibitors) and NSCECE (Nova Scotia).</t>
  </si>
  <si>
    <t xml:space="preserve">AQCPE (Association quebecoise des centres de la petite enfance)</t>
  </si>
  <si>
    <t xml:space="preserve">international (Canada - Quebec)</t>
  </si>
  <si>
    <t xml:space="preserve">Network of Quebec's subsidised CPE childcare centres (verify)</t>
  </si>
  <si>
    <t xml:space="preserve">Quebec association representing the CPE (centres de la petite enfance) network.</t>
  </si>
  <si>
    <t xml:space="preserve">PreK classroom pack and family printables, in French</t>
  </si>
  <si>
    <t xml:space="preserve">newsletter ad, conference sponsor, partner inquiry</t>
  </si>
  <si>
    <t xml:space="preserve">https://www.aqcpe.com</t>
  </si>
  <si>
    <t xml:space="preserve">[International] ADDED. A large market, but it is French-only and Quebec language law applies. Approach only after a French-Canadian edition exists (Phase 3 of the international plan).</t>
  </si>
  <si>
    <t xml:space="preserve">Community Child Care Association (Victoria)</t>
  </si>
  <si>
    <t xml:space="preserve">Community-owned early learning services in Victoria (verify)</t>
  </si>
  <si>
    <t xml:space="preserve">Peak body for not-for-profit community-owned children's services.</t>
  </si>
  <si>
    <t xml:space="preserve">https://www.cccinc.org.au</t>
  </si>
  <si>
    <t xml:space="preserve">[International] Use Victorian 'kinder' terms. Its audience overlaps with ELAA's. URL CORRECTED (DNS check, Sep 28, 2026): cccvic.org.au does not resolve (NXDOMAIN). cccinc.org.au resolves and is believed, from recall, to be the association's site; verify before contact.</t>
  </si>
  <si>
    <t xml:space="preserve">Parents Victoria</t>
  </si>
  <si>
    <t xml:space="preserve">Parent clubs and school councils in Victorian government schools (verify)</t>
  </si>
  <si>
    <t xml:space="preserve">Peak parent body for Victorian government-school parents.</t>
  </si>
  <si>
    <t xml:space="preserve">https://www.parentsvictoria.asn.au</t>
  </si>
  <si>
    <t xml:space="preserve">[International] Other state parent bodies, such as the P&amp;C Federation of NSW (pandc.org.au), are similar channels.</t>
  </si>
  <si>
    <t xml:space="preserve">IASWECE (International Association for Steiner/Waldorf Early Childhood Education)</t>
  </si>
  <si>
    <t xml:space="preserve">Waldorf early childhood associations in many countries (verify)</t>
  </si>
  <si>
    <t xml:space="preserve">International network of Steiner/Waldorf early childhood associations.</t>
  </si>
  <si>
    <t xml:space="preserve">Card deck and family printables</t>
  </si>
  <si>
    <t xml:space="preserve">https://www.iaswece.org</t>
  </si>
  <si>
    <t xml:space="preserve">[International] Lowered from 2. There is no known commercial channel, and Waldorf aesthetic preferences limit the fit. National Waldorf bodies such as SWSF come first.</t>
  </si>
  <si>
    <t xml:space="preserve">When a local edition is ready: Verify the org, URL and dates on the official site; then offer a free resource for their resource listing</t>
  </si>
  <si>
    <t xml:space="preserve">BookTrust</t>
  </si>
  <si>
    <t xml:space="preserve">UK's largest children's reading charity; reaches families through Bookstart book-gifting for babies and toddlers (verify)</t>
  </si>
  <si>
    <t xml:space="preserve">National charity that gifts books to young children through Bookstart and runs reading programmes with libraries and settings.</t>
  </si>
  <si>
    <t xml:space="preserve">Talk-along board books (as a submission only)</t>
  </si>
  <si>
    <t xml:space="preserve">partner inquiry; book submissions through its publisher selection process</t>
  </si>
  <si>
    <t xml:space="preserve">No paid channel known</t>
  </si>
  <si>
    <t xml:space="preserve">https://www.booktrust.org.uk</t>
  </si>
  <si>
    <t xml:space="preserve">[International] ADDED so the list is complete. Its mission overlaps strongly, but book-gifting runs at trade-publisher volumes that print-on-demand cannot meet. Low practical value.</t>
  </si>
  <si>
    <t xml:space="preserve">Canadian Child Care Federation (CCCF-FCSGE)</t>
  </si>
  <si>
    <t xml:space="preserve">National child care practitioner federation (status uncertain)</t>
  </si>
  <si>
    <t xml:space="preserve">National bilingual organisation for child care practitioners; historically published 'Interaction' magazine.</t>
  </si>
  <si>
    <t xml:space="preserve">Research briefs (only if the organisation is active)</t>
  </si>
  <si>
    <t xml:space="preserve">resource listing, partner inquiry</t>
  </si>
  <si>
    <t xml:space="preserve">https://www.cccf-fcsge.ca</t>
  </si>
  <si>
    <t xml:space="preserve">[International] Lowered from 2. It appears to have wound down or gone largely inactive in recent years, so treat it as inactive until confirmed. Spend no effort here until the site shows current activity.</t>
  </si>
  <si>
    <t xml:space="preserve">Canadian Federation of Library Associations (CFLA-FCAB)</t>
  </si>
  <si>
    <t xml:space="preserve">international (Canada - national)</t>
  </si>
  <si>
    <t xml:space="preserve">Federation of Canadian library associations (verify)</t>
  </si>
  <si>
    <t xml:space="preserve">National voice for Canadian libraries; successor to the Canadian Library Association after it dissolved in 2016.</t>
  </si>
  <si>
    <t xml:space="preserve">Library-binding picture books (resource listing only)</t>
  </si>
  <si>
    <t xml:space="preserve">https://cfla-fcab.ca</t>
  </si>
  <si>
    <t xml:space="preserve">[International] Lowered from 2. It is mostly a policy body with no vendor channel. Provincial associations (OLA, BCLA, LAA) are the real routes. Bilingual.</t>
  </si>
  <si>
    <t xml:space="preserve">Canadian Home and School Federation</t>
  </si>
  <si>
    <t xml:space="preserve">Federation of provincial home-and-school parent associations (verify activity)</t>
  </si>
  <si>
    <t xml:space="preserve">National federation of parent (home and school) associations in Canada.</t>
  </si>
  <si>
    <t xml:space="preserve">Workshop kits and group fundraiser</t>
  </si>
  <si>
    <t xml:space="preserve">provincial affiliates list, newsletter, partner inquiry</t>
  </si>
  <si>
    <t xml:space="preserve">https://canadianhomeandschool.ca</t>
  </si>
  <si>
    <t xml:space="preserve">[International] Lowered from 2, because its national activity looks low; confirm the URL and status. Go through provincial affiliates instead. The Quebec Federation of Home and School Associations (qfhsa.org), which serves English-language schools in Quebec, is the most useful and can be reached in English. DNS CHECK (Sep 28, 2026): canadianhomeandschool.ca does NOT resolve (NXDOMAIN), so the federation may be inactive or have moved. Use qfhsa.org (resolves) instead until a current national site is found.</t>
  </si>
  <si>
    <t xml:space="preserve">Domain does not resolve; find the current national site or go straight to QFHSA (qfhsa.org).</t>
  </si>
  <si>
    <t xml:space="preserve">CEAPA (Confederacion Espanola de Asociaciones de Padres y Madres del Alumnado)</t>
  </si>
  <si>
    <t xml:space="preserve">international (Spain)</t>
  </si>
  <si>
    <t xml:space="preserve">Confederation of public-school parent associations (AMPAs) in Spain (verify)</t>
  </si>
  <si>
    <t xml:space="preserve">Spain's main confederation of parent associations in public schools.</t>
  </si>
  <si>
    <t xml:space="preserve">Spanish workshop kits and 5-12 printable bundle</t>
  </si>
  <si>
    <t xml:space="preserve">https://www.ceapa.es</t>
  </si>
  <si>
    <t xml:space="preserve">[International] Lowered from 2. It is an advocacy body with no known commercial channel, and it needs full Spanish (Spain) translation.</t>
  </si>
  <si>
    <t xml:space="preserve">OMEP national committees - Mexico and Spain</t>
  </si>
  <si>
    <t xml:space="preserve">international (Mexico; Spain)</t>
  </si>
  <si>
    <t xml:space="preserve">National early childhood professional committees (verify)</t>
  </si>
  <si>
    <t xml:space="preserve">Spanish-language national committees of OMEP that organise seminars and advocacy.</t>
  </si>
  <si>
    <t xml:space="preserve">Spanish-translated printable bundles and research briefs</t>
  </si>
  <si>
    <t xml:space="preserve">guest article, conference sponsor, resource listing</t>
  </si>
  <si>
    <t xml:space="preserve">[International] Lowered from 2. The URL is OMEP's global site; the national committees' own sites were not identified, so find them in OMEP's member directory. Approach only after full Spanish editions exist (Mexico and Spain variants).</t>
  </si>
  <si>
    <t xml:space="preserve">Maryland PTA (Convention / Leadership Training)</t>
  </si>
  <si>
    <t xml:space="preserve">Statewide PTA units, including Montgomery County's MCCPTA council</t>
  </si>
  <si>
    <t xml:space="preserve">State PTA for Maryland.</t>
  </si>
  <si>
    <t xml:space="preserve">At most, a statewide resource listing not aimed at Montgomery County. No convention booth.</t>
  </si>
  <si>
    <t xml:space="preserve">Confirm at mdpta.org</t>
  </si>
  <si>
    <t xml:space="preserve">https://www.mdpta.org</t>
  </si>
  <si>
    <t xml:space="preserve">[Parents] DNS only. Lowered to 1. MCCPTA is part of Maryland PTA, so statewide events draw Montgomery County PTA leaders and the MCPS staff who belong to PTAs, which is too close to the exclusion. Skip the convention. Never contact MCCPTA or any PTA inside an MCPS school.</t>
  </si>
  <si>
    <t xml:space="preserve">CAUTION: no convention booth and no county-level contact. At most a statewide resource listing, and only after employment counsel says it is fine.</t>
  </si>
  <si>
    <t xml:space="preserve">HOW TO FIND ALL: the Network of Affiliates page (pick a state), the Affiliate Event Calendar, the member-only Affiliate Directory, or NAEYC Customer Care at 800-424-2460. This is likely the cheapest, highest-return exhibit channel in the category. Skip any chapter event held in, or co-hosted with, MCPS.</t>
  </si>
  <si>
    <t xml:space="preserve">Home-based providers buy their own materials, so this is a strong buyer fit. State FCC associations are listed through NAFCC. Montgomery County's family child care provider association is private and not excluded, but avoid any DHHS-run training tie-ins.</t>
  </si>
  <si>
    <t xml:space="preserve">Home-state partner. Keep outreach statewide and generic. Do not reference Montgomery County public-school programs, and skip any chapter event hosted at or with MCPS.</t>
  </si>
  <si>
    <t xml:space="preserve">Home-state, small-provider audience, likely a low-cost table. Vendor space for Oct 2026 is probably closed. Ask about a program ad or door-prize donation now, and book a table for 2027.</t>
  </si>
  <si>
    <t xml:space="preserve">Parent educators hand materials to families at home, a direct fit for the talk/touch/play message. Target 2027 exhibit/sponsor and state PAT affiliate offices.</t>
  </si>
  <si>
    <t xml:space="preserve">HOW TO FIND ALL: NHSA's State &amp; Regional Associations page. Region III (MD/DC/VA/PA/DE/WV) is the home region; the Virginia Head Start Association (headstartva.org) runs an annual training conference. Region IV's association is known for large conferences. Exclude Montgomery County (MD) Head Start from any member-list outreach.</t>
  </si>
  <si>
    <t xml:space="preserve">Montessori favors realistic, hands-on materials, so keep product visuals realistic and non-fantasy for this audience. Also listed in the K–12 tab.</t>
  </si>
  <si>
    <t xml:space="preserve">Directors are the buyers for site licenses. Year-round ads: earlylearningleaders.org/vendor/advertising-opportunities/.</t>
  </si>
  <si>
    <t xml:space="preserve">Maryland-based, a natural local partner. After the rebrand the org may use a new primary domain; confirm erafans.org still resolves to the current site before printing it.</t>
  </si>
  <si>
    <t xml:space="preserve">Fit raised from 3: print and newsletter ads plus written practitioner articles are fully faceless and reach the directors who buy site licenses.</t>
  </si>
  <si>
    <t xml:space="preserve">HOW TO FIND ALL: CCAoA's CCR&amp;R search by ZIP (if the path has moved, try /resources/ccrr-search-form/) and the State-by-State Resource Map (childcareaware.org/resources/state-by-state-resource-map/). Some CCR&amp;Rs are county government units; skip the one run by Montgomery County (MD) DHHS.</t>
  </si>
  <si>
    <t xml:space="preserve">Both dates run Saturday to Monday or Tuesday, a change from NAEYC's usual midweek format. Confirm them before committing. The DC show is about 10 weeks out, so a booth may be sold out; a program or app ad, or Chicago 2027, is more realistic. Magazine ads are fully faceless. A booth can be run by hired staff. Keep messaging positive ('talk, touch, play, paper first'). Do not target MCPS staff at the show.</t>
  </si>
  <si>
    <t xml:space="preserve">Programs buy with federal funds: have a W-9, price quotes and PO acceptance ready. Head Start funding was under federal budget pressure in 2025-26, so program budgets may be tight or delayed. Do not solicit Montgomery County (MD) Head Start, which runs through MCPS and county DHHS (both excluded). Pittsburgh is drivable from Maryland.</t>
  </si>
  <si>
    <t xml:space="preserve">Use the Nature Preschool Map to find nature preschools and state associations (for example, the Washington Nature Preschool Association).</t>
  </si>
  <si>
    <t xml:space="preserve">Waldorf Early Childhood Association of North America (WECAN)</t>
  </si>
  <si>
    <t xml:space="preserve">Waldorf early childhood educators, kindergartens, home programs</t>
  </si>
  <si>
    <t xml:space="preserve">Waldorf early-childhood association running national and regional conferences</t>
  </si>
  <si>
    <t xml:space="preserve">Picture books; play guide; family bundle 0-5</t>
  </si>
  <si>
    <t xml:space="preserve">sponsor, exhibit (vendor), newsletter ad, resource listing</t>
  </si>
  <si>
    <t xml:space="preserve">Not published. conference@waldorfearlychildhood.org</t>
  </si>
  <si>
    <t xml:space="preserve">Early Childhood Educators Conference, Mar 19-21, 2027, Spring Valley NY (online from Apr 3, 2027). Pacific NW Regional, Feb 13-14, 2027, Milwaukie OR.</t>
  </si>
  <si>
    <t xml:space="preserve">https://waldorfearlychildhood.org/news-and-events/conferences/</t>
  </si>
  <si>
    <t xml:space="preserve">Strongest philosophical match on screens. Waldorf kindergartens lean toward oral storytelling over picture books, so lead with the play guide and parent-facing family bundles. Check vendor policies; some Waldorf events limit commercial exhibits. Also listed in the K–12 tab.</t>
  </si>
  <si>
    <t xml:space="preserve">The audience includes infant mental health clinicians (ZTT publishes the DC:0-5 diagnostic manual). ZTT is not a licensure body, so exhibiting is fine, but make no developmental, language-outcome or health claims for the talk-along books. ZTT's 'Top Early Childhood Conferences 2026-2027' list is useful for finding more events.</t>
  </si>
  <si>
    <t xml:space="preserve">ADDED (missed by the first pass). The org and domain are long established, but no source could be opened in this pass, so dates and pricing are unverified. Close message fit: parents and children talking and reading together on paper.</t>
  </si>
  <si>
    <t xml:space="preserve">The org, conference and date are consistent with SCECA's long-running Myrtle Beach conference; only the price is unverified. SECA state affiliates (such as VAECE) are further targets.</t>
  </si>
  <si>
    <t xml:space="preserve">Small affiliate, but close to Maryland and a likely host-affiliate partner for NAEYC's DC week. A local sponsorship may be a cheaper way into the DC conference crowd than a national booth.</t>
  </si>
  <si>
    <t xml:space="preserve">EXCLUDE the Montgomery County regional center (Child Care Support Services, operated by Montgomery County DHHS). Work only with MFN statewide and the other regional centers. MFN also hosts the Maryland Child Care Training Calendar (below).</t>
  </si>
  <si>
    <t xml:space="preserve">The Prince George's County chapter (pgcomscca.org) is a local sub-target. Avoid any Montgomery County government tie-ins.</t>
  </si>
  <si>
    <t xml:space="preserve">Two separate Virginia targets. VAECE dates and pricing were not sourced.</t>
  </si>
  <si>
    <t xml:space="preserve">Small, regional and lightly documented. It exists per the first pass's snippets, but the 2027 date is a guess. A small exhibitor field means high visibility, so book early.</t>
  </si>
  <si>
    <t xml:space="preserve">Set to unconfirmed: the only event info is from 2024, and the domain comes from a single first-pass snippet. Confirm the association is active and the domain is current. When emailing member programs, EXCLUDE Montgomery County Head Start (MCPS and county DHHS).</t>
  </si>
  <si>
    <t xml:space="preserve">Members are public schools, so keep messaging non-critical of any district.</t>
  </si>
  <si>
    <t xml:space="preserve">Association of Christian Schools International (ACSI) - Early Education</t>
  </si>
  <si>
    <t xml:space="preserve">ACSI cites about 25,000 schools in 100+ countries across its global network (directly accredited US member schools are far fewer)</t>
  </si>
  <si>
    <t xml:space="preserve">Large Protestant school association with early-education events</t>
  </si>
  <si>
    <t xml:space="preserve">Classroom Pack; board books</t>
  </si>
  <si>
    <t xml:space="preserve">exhibit, vendor directory (Strategic Partner Directory), newsletter ad</t>
  </si>
  <si>
    <t xml:space="preserve">Not published. exhibitors@acsi.org</t>
  </si>
  <si>
    <t xml:space="preserve">Rolling early-education events (dates not sourced)</t>
  </si>
  <si>
    <t xml:space="preserve">https://acsi.org/events-and-community/exhibitor-and-advertiser-information</t>
  </si>
  <si>
    <t xml:space="preserve">The Strategic Partner Directory offers a year-round faceless listing. The 25,000-school figure is a network-wide number, not direct US reach. Also listed in the K–12 tab.</t>
  </si>
  <si>
    <t xml:space="preserve">Fit lowered from 4 because the Symposium is policy-heavy, with little direct purchasing. The brand must stay neutral and non-critical here. The real value is the CCR&amp;R network (next entry). Montgomery County's CCR&amp;R is a DHHS unit and excluded.</t>
  </si>
  <si>
    <t xml:space="preserve">Values align (play first). DEY sometimes critiques specific policies and ed-tech practices, so keep contributions positive and never name schools, districts, companies or products. Also listed in the K–12 tab.</t>
  </si>
  <si>
    <t xml:space="preserve">Fit lowered from 4: regional events are small and the next dates were not sourced. Church weekday preschools are numerous, budget-minded and screen-cautious.</t>
  </si>
  <si>
    <t xml:space="preserve">Sponsor another presenter's webinar instead of presenting, since the founder will not appear on camera. The 3M figure is self-reported.</t>
  </si>
  <si>
    <t xml:space="preserve">Main site is ecerj.org. Synagogue and JCC preschools are a large faith-based segment.</t>
  </si>
  <si>
    <t xml:space="preserve">Fit lowered from 4: HIPPY supplies its own curriculum and books to programs, so buying outside materials is less likely. Pitch as optional family extras or giveaways.</t>
  </si>
  <si>
    <t xml:space="preserve">Members are public schools, so the never-name-or-criticize-schools rule applies strictly. Do not pitch any MCPS school through NCMPS channels.</t>
  </si>
  <si>
    <t xml:space="preserve">Fit lowered from 4: exhibit access is limited and Reggio educators resist packaged activities. Position the play guide as provocations, not a curriculum. Written articles suit the faceless model.</t>
  </si>
  <si>
    <t xml:space="preserve">Leader and policy audience with low direct purchasing; the DC location is convenient.</t>
  </si>
  <si>
    <t xml:space="preserve">Fit lowered from 4: AMI classrooms are stricter than AMS about non-Montessori materials, so the realistic picture books and card deck are the only likely sellers. Event site is themontessoriexperience.org; exhibitors attend Friday to Sunday.</t>
  </si>
  <si>
    <t xml:space="preserve">Find other districts via lcms.org.</t>
  </si>
  <si>
    <t xml:space="preserve">The org and domain are well established, but the event dates are suspect; confirm directly. The mission is child-abuse prevention, so make no wellness, health or child-welfare claims. Some HFA sites are run by health departments; skip any Montgomery County DHHS site.</t>
  </si>
  <si>
    <t xml:space="preserve">nbcdi.org is the long-standing official domain, but it did not surface in the first pass's results and could not be opened in this pass. The conference's current status is unverified. A Silver Spring address is not an exclusion (it is not county government or MCPS).</t>
  </si>
  <si>
    <t xml:space="preserve">Org and domain are well established, but the event attribution was wrong and no AWSNA event date was verified. Fit lowered: Waldorf schools favor oral storytelling and natural materials and are cautious about commercial vendors, so show the product first. Parent communities are the likelier buyers (family bundles, fundraiser). Also listed in the K–12 tab.</t>
  </si>
  <si>
    <t xml:space="preserve">ADDED. Domain from knowledge; not opened in this pass. Approach respectfully and ask about cultural relevance before pitching generic materials.</t>
  </si>
  <si>
    <t xml:space="preserve">ADDED. Domain from knowledge; not opened in this pass. Families are largely Spanish-speaking, so fit rises to 4 if bilingual editions exist.</t>
  </si>
  <si>
    <t xml:space="preserve">ADDED. Domain from knowledge; not opened in this pass. Its play-first message fits the brand; its audience is partly recreation professionals rather than ECE buyers. May overlap with a play/parks category.</t>
  </si>
  <si>
    <t xml:space="preserve">ADDED. Domain from knowledge; not opened in this pass. The talk-first message matches 'Talk. Read. Sing.' closely, but these are public agencies with RFP rules, so expect a long sales cycle. The Montgomery County exclusion does not apply in California.</t>
  </si>
  <si>
    <t xml:space="preserve">JSummit's audience is executive-level. It is better to email individual JCC preschool directors directly.</t>
  </si>
  <si>
    <t xml:space="preserve">Fit lowered from 3: most states require a named, approved trainer who delivers the training, which conflicts with a faceless, host-it-yourself kit model. Pursue only through contracted approved trainers.</t>
  </si>
  <si>
    <t xml:space="preserve">ADDED at low fit with cautions. DEC is not a licensure body, but its audience includes therapists and early intervention providers, so talk-along books there could be read as a language intervention. Only proceed with explicit 'not a therapy or intervention' framing, and skip any Maryland DEC activity involving the Montgomery County Infants and Toddlers Program (excluded). Domain from knowledge; not opened in this pass.</t>
  </si>
  <si>
    <t xml:space="preserve">Requires MSDE Child Care Trainer/Training Proposal approval, and the trainer's identity is disclosed. Only pursue through a contracted approved trainer. MSDE (a state agency) is not excluded.</t>
  </si>
  <si>
    <t xml:space="preserve">IBPA staffs the booth, making this the cheapest faceless way into the ALA exhibit hall. The 2026 single-title spots sold out, so register as soon as the 2027 spots open.</t>
  </si>
  <si>
    <t xml:space="preserve">PTO Today / School Family Media (PTO Today magazine, Leader Lowdown, Expos)</t>
  </si>
  <si>
    <t xml:space="preserve">national (regional expos in NJ, PA, MI, TX, IL, MA)</t>
  </si>
  <si>
    <t xml:space="preserve">PTO Today magazine mailed to 84,000+ K–8 parent groups; 180,000+ monthly site visitors; Leader Lowdown e-newsletter reaches 55,000+ opt-in subscribers; vendor directory promoted to 40,000+ weekly-newsletter subscribers</t>
  </si>
  <si>
    <t xml:space="preserve">Main media company for school parent-group (PTO/PTA) leaders. It publishes the magazine, website and newsletters and runs one-day expos.</t>
  </si>
  <si>
    <t xml:space="preserve">Group fundraiser program + printable family bundles + host-it-yourself workshop kits (family screen-free night)</t>
  </si>
  <si>
    <t xml:space="preserve">newsletter ad (Leader Lowdown, including sponsor takeovers), vendor directory, sponsored content, exhibit (expo booth)</t>
  </si>
  <si>
    <t xml:space="preserve">Booth prices come from School Family Media's 2023–24 expo sell sheets: $995 standard, $1,195 premium corner, $1,490 double, $2,300 double premium, and a $300 tabletop for arts/enrichment and nonprofits. Sponsorships $2,750–$6,000. Rate cards for the magazine, banners, newsletter and directory are not in search results. Contact John Williams, jwilliams@ptotoday.com, 800-644-3561 x201.</t>
  </si>
  <si>
    <t xml:space="preserve">Secaucus NJ, Sep 30, 2026 (2 days away, too late). Oaks PA, Oct 7, 2026 (9 days away; ask about late space). Spring 2026 expos ran Feb 25–Apr 15; the spring 2027 schedule is not yet published.</t>
  </si>
  <si>
    <t xml:space="preserve">The newsletter and vendor directory are the most faceless options because nobody has to staff them. A booth needs a hired rep. Booth prices come from older sheets, so treat them as estimates. PTO Today also appears in the parents list; make sure one purchase is not counted in both lists. Also listed in the Parents tab.</t>
  </si>
  <si>
    <t xml:space="preserve">The conference page confirms 'a variety of vendors.' The audience's values closely match the brand. Keep the pitch to talk and play and do not critique other approaches. Newsletter ads were not confirmed, so they have been removed from the reach methods. Also listed in the Early Childhood tab.</t>
  </si>
  <si>
    <t xml:space="preserve">Gives year-round, faceless reach with no event to staff. Member schools use the directory to find vendors. These are independent schools, not MCPS.</t>
  </si>
  <si>
    <t xml:space="preserve">The workshop kits fit public-library storytime and family programs. County library systems, including Montgomery County Public Libraries (a county library, not MCPS or DHHS), buy through this community. 'Resource listing' was not confirmed and has been removed from the reach methods.</t>
  </si>
  <si>
    <t xml:space="preserve">The next national conference is a year away, which leaves time to budget. A journal or e-news ad is the faceless option.</t>
  </si>
  <si>
    <t xml:space="preserve">American Montessori Society (AMS)</t>
  </si>
  <si>
    <t xml:space="preserve">Montessori schools and teachers (early childhood through elementary)</t>
  </si>
  <si>
    <t xml:space="preserve">Largest Montessori membership organization in the US</t>
  </si>
  <si>
    <t xml:space="preserve">Board books + 100-activity play guide + card deck + classroom pack</t>
  </si>
  <si>
    <t xml:space="preserve">Exhibitor pricing and Montessori Life ad rates not found</t>
  </si>
  <si>
    <t xml:space="preserve">The Montessori Event 2027, March 11–14, 2027, McCormick Place, Chicago</t>
  </si>
  <si>
    <t xml:space="preserve">https://amshq.org</t>
  </si>
  <si>
    <t xml:space="preserve">The exhibit hall features Montessori materials, furniture and books. Its hands-on, paper-and-materials culture fits the brand. Also listed in the Early Childhood tab.</t>
  </si>
  <si>
    <t xml:space="preserve">The earlier claim of 'affordable sponsorships' was not supported, since prices are on request. 'Resource listing' was not confirmed and has been removed. The focus on early literacy fits the brand.</t>
  </si>
  <si>
    <t xml:space="preserve">ADDED during this check. A JLG selection is a strong signal to school librarians and can bring a bulk order. Set the next title's release date to allow for the lead time.</t>
  </si>
  <si>
    <t xml:space="preserve">ADDED during this check. Year-round and faceless. School librarians place orders here, so a Showcase page puts the titles where purchase orders are written. Showcase members also get Mackin's TRENDS K–12 purchasing report.</t>
  </si>
  <si>
    <t xml:space="preserve">Held in Baltimore, close to the founder. Magazine advertising was not confirmed in search results, so ask about it.</t>
  </si>
  <si>
    <t xml:space="preserve">Principal magazine advertising and guest articles were not confirmed, so ask about them before planning around them. A national booth is costly and in person.</t>
  </si>
  <si>
    <t xml:space="preserve">ADDED during this check. IngramSpark lists Follett as a distribution partner. How small publishers get featured, for example on Titlewave featured lists, was not in search results.</t>
  </si>
  <si>
    <t xml:space="preserve">Fit lowered from 5 to 4. MCPS principals are a large share of attendees; MCAAP has posted about MCPS leaders attending. A hired rep must not pitch MCPS, and the event is in person. maesp.com and maesp.org are other states' groups (Missouri), so use maespmd.org.</t>
  </si>
  <si>
    <t xml:space="preserve">Fit lowered from 5 to 4 because MCPS media specialists make up a large share of members; aim nothing at them. The conference site is masl.memberclicks.net/conference and mentions sponsorships.</t>
  </si>
  <si>
    <t xml:space="preserve">The organization and its 2027 conference page are confirmed. An exhibit hall, sponsor options and guest articles are not. Skip any Montgomery County local council, since its members are mostly MCPS staff. Make no clinical or outcome claims.</t>
  </si>
  <si>
    <t xml:space="preserve">Maryland chapter: md.thereadingleague.org. Market as read-aloud and talk products only, with no claims about instruction or results.</t>
  </si>
  <si>
    <t xml:space="preserve">Kept because ASCA is not a licensing body. Copy must stay non-clinical: family connection and conversation, with no mental-health outcomes.</t>
  </si>
  <si>
    <t xml:space="preserve">ACSI may refuse vendors that conflict with its mission. Secular, values-neutral play content should pass. Newsletter ads were not confirmed. Also listed in the Early Childhood tab.</t>
  </si>
  <si>
    <t xml:space="preserve">The URL was changed to booklistonline.com, the official site. Booklist considers self-published titles but says it cannot cover them thoroughly, so a review is not guaranteed. Try the free submission first.</t>
  </si>
  <si>
    <t xml:space="preserve">A later step, once the list reaches 4–5 trade titles.</t>
  </si>
  <si>
    <t xml:space="preserve">ADDED during this check. A paid Indie review carries less weight with librarians than an SLJ or Booklist review, but it provides quotes for library sell sheets. Buy one only after the free SLJ and Booklist submissions.</t>
  </si>
  <si>
    <t xml:space="preserve">Within reach of Maryland by train. The art-teacher audience is a partial fit.</t>
  </si>
  <si>
    <t xml:space="preserve">The earlier 'Early Childhood Education Day' was not found in search results; confirm it with NAES. The booth is far away and in person.</t>
  </si>
  <si>
    <t xml:space="preserve">Catholic elementary schools often run parish and PTO fundraisers.</t>
  </si>
  <si>
    <t xml:space="preserve">Mid-size faith-school audience.</t>
  </si>
  <si>
    <t xml:space="preserve">The next event is in 2028. State library associations are the nearer route.</t>
  </si>
  <si>
    <t xml:space="preserve">To be reviewed, titles must be available from national distributors at an institutional discount; IngramSpark distribution meets this. Send two copies at least two months before the publication month through the MSI portal.</t>
  </si>
  <si>
    <t xml:space="preserve">A giveaway or sponsored printable is the most affordable way in, and no founder appearance is needed. The earlier ownership label '(MDR)' was not confirmed and has been removed.</t>
  </si>
  <si>
    <t xml:space="preserve">A direct booth is too costly early on; use IBPA instead.</t>
  </si>
  <si>
    <t xml:space="preserve">Within driving range. The audience skews toward older grades. Newsletter ads were not confirmed.</t>
  </si>
  <si>
    <t xml:space="preserve">Waldorf schools across North America</t>
  </si>
  <si>
    <t xml:space="preserve">Membership and accreditation association for Waldorf schools; its website also hosts the WECAN 2027 conference page</t>
  </si>
  <si>
    <t xml:space="preserve">Card deck + family bundles (0–5, 5–12) + parent workshop kits</t>
  </si>
  <si>
    <t xml:space="preserve">sponsor (ask advancement team)</t>
  </si>
  <si>
    <t xml:space="preserve">Not published. Contacts: Beverly Amico, Executive Director of Advancement; Melanie Reiser, Executive Director of Membership.</t>
  </si>
  <si>
    <t xml:space="preserve">World Teachers' Conference 2027 (dates not in results). The WECAN early childhood conference is Mar 19–21, 2027.</t>
  </si>
  <si>
    <t xml:space="preserve">https://www.waldorfeducation.org</t>
  </si>
  <si>
    <t xml:space="preserve">Fit lowered from 4 to 3. No sponsor, ad or resource-listing program was found; the organization and its 2027 events are confirmed. The Alliance for Public Waldorf Education appears in the early-childhood list. Also listed in the Early Childhood tab.</t>
  </si>
  <si>
    <t xml:space="preserve">Early childhood (PreK–3) educators and advocates</t>
  </si>
  <si>
    <t xml:space="preserve">Nonprofit advocating play-based early education. Runs the 'Play is the Way' site and a recommended-resources page.</t>
  </si>
  <si>
    <t xml:space="preserve">100-activity play guide + research briefs</t>
  </si>
  <si>
    <t xml:space="preserve">resource listing (ask)</t>
  </si>
  <si>
    <t xml:space="preserve">Free to pitch</t>
  </si>
  <si>
    <t xml:space="preserve">https://dey.org</t>
  </si>
  <si>
    <t xml:space="preserve">Fit lowered from 4 to 3. DEY publicly criticizes education policies, so a close tie-in could make the brand look like it criticizes schools or EdTech. Keep any involvement to a resource listing. It was not confirmed that DEY lists commercial products or takes guest articles. Also listed in the Early Childhood tab.</t>
  </si>
  <si>
    <t xml:space="preserve">Fit lowered from 4 to 3. Search results show partnerships mainly with major publishers. How a small publisher applies was not found. High volume, low margin.</t>
  </si>
  <si>
    <t xml:space="preserve">The office was found only through its LinkedIn page, and the URL was not verified. The territory includes Montgomery County parishes. These are archdiocesan schools, not MCPS, so they are allowed.</t>
  </si>
  <si>
    <t xml:space="preserve">No vendor directory or PD-sponsor program was found, so those have been removed. Pitch to the central office, not to named schools.</t>
  </si>
  <si>
    <t xml:space="preserve">The attendee lists make mailed or emailed follow-up easy, which suits a faceless brand. Plan for 2027.</t>
  </si>
  <si>
    <t xml:space="preserve">Neighboring state. Needs a hired rep.</t>
  </si>
  <si>
    <t xml:space="preserve">Fit lowered from 4 to 3. The booth is far from Maryland and needs a hired rep. The schedule gives attendees time to buy from exhibitors on site.</t>
  </si>
  <si>
    <t xml:space="preserve">Fit lowered from 4 to 3. The work is close to mental health, so use strictly non-clinical copy about family connection and conversation, with no wellbeing outcomes. Many MCPS counselors are members. Exhibitor page: ncyionline.org/conferences/md-scac.</t>
  </si>
  <si>
    <t xml:space="preserve">Fit lowered from 4 to 3. Search results did not show a vendor or exhibit program or any cost; the earlier claim of 'very low cost' was not supported. Skip the Montgomery-area regional event.</t>
  </si>
  <si>
    <t xml:space="preserve">ADDED during this check as a major library show the list missed. It is far from Maryland, so use only a cooperative display or a hired rep. Check dates, fees and IBPA co-op availability before budgeting.</t>
  </si>
  <si>
    <t xml:space="preserve">Fit lowered from 3 to 2. Posts must be original and carry a real byline, and no product can be mentioned, so brand payoff is small. The byline is written only, so it does not break the no-camera rule.</t>
  </si>
  <si>
    <t xml:space="preserve">ADDED during this check. Offers exhibit space, digital and print ads, sponsored sessions and branding. Attendance is driven by presenter personalities, so a faceless booth may draw less. Ads are the better fit.</t>
  </si>
  <si>
    <t xml:space="preserve">Expensive and heavy on EdTech.</t>
  </si>
  <si>
    <t xml:space="preserve">Expensive. Use only after the cheaper channels have worked.</t>
  </si>
  <si>
    <t xml:space="preserve">The health framing carries claim risk. Keep copy to play and connection only.</t>
  </si>
  <si>
    <t xml:space="preserve">Fit lowered from 3 to 2. Ads, guest articles and a member-discount program were not confirmed in search results. KDP is not affiliated with NEA.</t>
  </si>
  <si>
    <t xml:space="preserve">The meeting and dates are confirmed, but an exhibit hall or ad program was not shown in results. It is only an indirect route to student teachers.</t>
  </si>
  <si>
    <t xml:space="preserve">The health framing carries claim risk. Pitch only play-based family engagement.</t>
  </si>
  <si>
    <t xml:space="preserve">Fit lowered from 3 to 2. It is not confirmed that ILA still runs an annual in-person conference with an exhibit hall. Newsletter ads and Literacy Now blog posts were not confirmed. SoMLA is the nearer first step.</t>
  </si>
  <si>
    <t xml:space="preserve">Fit lowered from 3 to 2. The conference and its dates are confirmed, but no paid reach method is. The audience is play-first.</t>
  </si>
  <si>
    <t xml:space="preserve">Fit lowered from 3 to 2. No current sponsorship program is confirmed, and past sponsors were mostly EdTech. Stay product-first and do not comment on them.</t>
  </si>
  <si>
    <t xml:space="preserve">Confirmed from earlier search results that cite ptotoday.com and schoolfamilymedia.com pages; DNS is live (AWS). This is the best faceless channel in the category: a paid, for-profit route to exactly the parent-group buyers of the fundraiser and workshop kits. Start with the Vendor Directory and a Leader Lowdown ad, and add a booth only once the ads prove out. Expo booths are sold at clientstore.ptotoday.com, and the Expo team is at expolive@ptotoday.com. Also listed in the K–12 tab.</t>
  </si>
  <si>
    <t xml:space="preserve">New addition. Confirmed from earlier search results citing the foundation's own partnership announcements (Upstart, WAYB), which show it accepts for-profit partners. '1000 Books Before Kindergarten' is a registered trademark: use it only with written permission and never in ads. It overlaps the library list, so dedupe there.</t>
  </si>
  <si>
    <t xml:space="preserve">New addition. Confirmed from earlier search results citing azed.gov's ClassWallet page and classwallet.com/arizona-esa: vendors register and verify credentials, and approved categories include curriculum and instructional materials. May duplicate a K-12 or procurement list, so dedupe there.</t>
  </si>
  <si>
    <t xml:space="preserve">Confirmed from earlier search results citing the official Exhibitors, Rules and Regulations and state-update pages. Lowered from 5 because each city needs a staffed booth, travel and stock. Test a single city first (Ohio or SC are closest to Maryland).</t>
  </si>
  <si>
    <t xml:space="preserve">Confirmed from earlier search results citing microschoolingcenter.org pages (Access Point, Preferred Provider Directory, P3). Apply by email through the P3 contact listed on the site. Fully faceless, and site licenses suit small schools. Raised from 3. The www. subdomain does not resolve; use the bare domain.</t>
  </si>
  <si>
    <t xml:space="preserve">New addition. Confirmed from earlier search results citing Odyssey's support pages ('How Can I Apply to Be A Vendor?', 'Vendor Application Lifecycle', the Utah Fits All and Louisiana GATOR vendor applications). A government-program channel: follow each state's eligible-expense rules exactly, make no health claims, and keep prices at or under any caps. May duplicate a K-12 or procurement list, so dedupe there.</t>
  </si>
  <si>
    <t xml:space="preserve">DNS only. A near-perfect match with 'talk, touch, play and paper', but no vendor or partner route could be verified. Lowered from 5.</t>
  </si>
  <si>
    <t xml:space="preserve">DNS only (Squarespace). Because it is for-profit, a paid partnership is appropriate, and a host-read audio ad keeps the brand faceless.</t>
  </si>
  <si>
    <t xml:space="preserve">New addition (missed major faceless channel). DNS only: the site now resolves to Shopify hosting. Verify the vendor-application route before listing.</t>
  </si>
  <si>
    <t xml:space="preserve">Confirmed from earlier search results citing heav.org pages (Convention, Exhibitor Information, Exhibit Hall, 'Parents of Preschoolers Attend Free'). Free entry for parents of preschoolers brings the exact 0–5 buyer. About a two-hour drive from Maryland, so a hired helper can staff the booth. Best first convention to test. Scored 4 rather than 5 only because the booth price is unknown and it needs staffing.</t>
  </si>
  <si>
    <t xml:space="preserve">DNS only (Cloudflare). Lowered from 5 because it is unverified and needs a staffed booth and air travel or freight.</t>
  </si>
  <si>
    <t xml:space="preserve">Confirmed from earlier search results (pta.org Convention, Toolkit and Sponsors &amp; Partners pages). The noncommercial policy is confirmed: all PTA bylaws require PTAs to be non-commercial; National PTA endorses no commercial product; sponsorship is allowed; and the PTA name may not be used to promote a vendor's goods. So never write 'PTA-approved' or similar. Fit lowered from 4 because the expo hall is unconfirmed, sponsorship is costly and a booth needs a hired staffer. PTO Today reaches the same leaders more cheaply.</t>
  </si>
  <si>
    <t xml:space="preserve">New entry replacing the Fairplay Screen-Free Week route. Confirmed from earlier search results citing screenfree.org and fairplayforkids.org. IPA USA (ipausa.org, which also resolves) frames play as away from 'corporate greed', so pitch only as a free contributor. Use the week as a marketing moment on the brand's own channels. Do not use 'Screen-Free Week' as a product name or in paid ads without permission; its trademark status is unclear.</t>
  </si>
  <si>
    <t xml:space="preserve">DNS only. Use the email channel, not school chapters.</t>
  </si>
  <si>
    <t xml:space="preserve">DNS only. An in-kind book donation is the cleanest faceless way in. Lowered from 4 because the partner route is unverified.</t>
  </si>
  <si>
    <t xml:space="preserve">URL CORRECTED. momco.org sits on a Network Solutions parking address and themomco.org does not exist. mops.org and themom.co share one server, whose reverse DNS is www.themom.co. joinmomco.com is its 'Start a MomCo' site (seen in search results). Existence and rebrand are confirmed from earlier search results, but no brand-partner route was found. It is a faith ministry, so keep the tone neutral. Lowered from 4; raise it if a partner program is confirmed.</t>
  </si>
  <si>
    <t xml:space="preserve">New addition. DNS only. A dense 0–5 parent audience that buys books in pairs.</t>
  </si>
  <si>
    <t xml:space="preserve">URL CHANGED. abriendopuertas.org fails DNS (SERVFAIL) on every retry, while ap-od.org resolves (Cloudflare) and is believed, from recall, to be the organization's current domain. Verify before outreach. Only credible once Spanish editions exist. Lowered from 4.</t>
  </si>
  <si>
    <t xml:space="preserve">DNS only.</t>
  </si>
  <si>
    <t xml:space="preserve">DNS only. Much of the site's content is online curriculum, so pitch the brand as a paper-first complement and never against any product.</t>
  </si>
  <si>
    <t xml:space="preserve">DNS only. A member-discount program is plausible but unconfirmed. HSLDA does legal and policy advocacy, so keep the brand neutral and out of policy. Lowered from 4.</t>
  </si>
  <si>
    <t xml:space="preserve">DNS only. The site is on Hostinger (default dns-parking.com nameservers plus the Hostinger CDN), which is consistent with a live site. Attendees include school staff, so never follow up with MCPS staff. Make no child-development outcome claims. Lowered from 4.</t>
  </si>
  <si>
    <t xml:space="preserve">DNS only (its YourMembership hosting fits an association). Members include school-district family-engagement staff, so never follow up with MCPS staff. Lowered from 4.</t>
  </si>
  <si>
    <t xml:space="preserve">New addition (the brand's own BLIND-SPOTS.md already names it as a target). DNS only (Squarespace). Also covers school-age families, which suits the 5–12 bundle.</t>
  </si>
  <si>
    <t xml:space="preserve">New addition. DNS only. An in-kind donation is faceless and puts the board books straight into new-parent hands. Confirm the donation policy first.</t>
  </si>
  <si>
    <t xml:space="preserve">DNS only. A counterweight to the faith-based channels.</t>
  </si>
  <si>
    <t xml:space="preserve">DNS only. Faith-based audience. Lowered from 4 because it is unverified and exhibit-only.</t>
  </si>
  <si>
    <t xml:space="preserve">DNS only. Faceless print and email reach. Lowered from 4 because the ad route is unverified.</t>
  </si>
  <si>
    <t xml:space="preserve">New addition. This is the only state PTA with a confirmed exhibitor page and price in the evidence. The PTA noncommercial policy applies. It is far from Maryland, so it needs a hired staffer and shipped stock.</t>
  </si>
  <si>
    <t xml:space="preserve">New addition (missed major homeschool convention). DNS only. Arizona families have ESA money to spend (see the ClassWallet entry), so pair the two.</t>
  </si>
  <si>
    <t xml:space="preserve">The URL is confirmed official: earlier search results showed capta.org's 'Noncommercial, Nonsectarian and Nonpartisan' and 'Sponsorship versus Endorsement' policy pages. Sponsorship is possible but carries no endorsement. The convention exhibit hall, dates and prices were not verified. Spanish materials would add value.</t>
  </si>
  <si>
    <t xml:space="preserve">DNS only. The GHC California convention overlaps this audience; choose one.</t>
  </si>
  <si>
    <t xml:space="preserve">DNS only. Lowered from 4 because the exhibit route is unverified.</t>
  </si>
  <si>
    <t xml:space="preserve">New addition. A secular counterweight to the many faith-based conventions. DNS only. The domain is on Network Solutions and points to live hosting, but confirm it is HSC's before paying anything.</t>
  </si>
  <si>
    <t xml:space="preserve">DNS only. Home state and independent of MCPS, so there is no exclusion conflict. Lowered from 4 because it is unverified.</t>
  </si>
  <si>
    <t xml:space="preserve">DNS only (the site is hosted on WordPress.com). Lowered from 4 because the exhibit route is unverified.</t>
  </si>
  <si>
    <t xml:space="preserve">DNS only. THSC is also a policy-advocacy group, so stay out of its policy work. Texas families using the new TEFA education savings accounts (see the Odyssey entry) are a related buyer pool.</t>
  </si>
  <si>
    <t xml:space="preserve">DNS only: the domain is live, but no page content could be read. Leaders buy for the coming school year, so the timing is good. Lowered from 4 because the exhibit route is unverified and must be staffed.</t>
  </si>
  <si>
    <t xml:space="preserve">DNS only. Within driving distance of Maryland, so a hired helper can staff a booth cheaply. Lowered from 4 because the exhibit route is unverified.</t>
  </si>
  <si>
    <t xml:space="preserve">DNS only. Mid-Atlantic, so booth logistics are cheap.</t>
  </si>
  <si>
    <t xml:space="preserve">New addition (missed major homeschool convention). DNS only.</t>
  </si>
  <si>
    <t xml:space="preserve">DNS only (hosted on WordPress.com). North Carolina's ESA+ program also pays vendors through ClassWallet (see that entry).</t>
  </si>
  <si>
    <t xml:space="preserve">New addition. DNS only. Check that the books show diverse families before approaching.</t>
  </si>
  <si>
    <t xml:space="preserve">New addition. DNS only. Chapters likely bar business solicitation, so approach the national office only and do not pitch chapters.</t>
  </si>
  <si>
    <t xml:space="preserve">The org and URL are confirmed from earlier search results (screensanity.org Trainings and Parent Night Kit pages), but no vendor or sponsor route was found, so confirmed=false. Its $200 Parent Night Kit competes directly with the host-it-yourself workshop kits, so treat it as a competitor and price benchmark. Lowered from 3.</t>
  </si>
  <si>
    <t xml:space="preserve">DNS only. Broad policy agenda, so the audience is poorly targeted and costly. Worthwhile only once Spanish editions exist.</t>
  </si>
  <si>
    <t xml:space="preserve">DNS only. Public media rarely promotes commercial products.</t>
  </si>
  <si>
    <t xml:space="preserve">New addition. DNS only. Grandparent caregivers are a real 0–5 buyer segment, but the reach route is unverified.</t>
  </si>
  <si>
    <t xml:space="preserve">DNS only. Pods often use online curricula. Pitch only as a complement and never frame the brand against their tech.</t>
  </si>
  <si>
    <t xml:space="preserve">DNS only. Its school programs run inside schools, so pitch editorial content only, to the national office.</t>
  </si>
  <si>
    <t xml:space="preserve">DNS only. Chapters operate inside schools, possibly including MCPS schools, so work at the national level only and never contact a Montgomery County chapter. Lowered from 3.</t>
  </si>
  <si>
    <t xml:space="preserve">DNS only (HubSpot-hosted). FatherSource sells NFI's own products, so a third-party listing is unlikely. Lowered from 3.</t>
  </si>
  <si>
    <t xml:space="preserve">DNS only. Mainly policy advocacy. Do not target DoD Child Development Centers here, because they buy through government procurement.</t>
  </si>
  <si>
    <t xml:space="preserve">DNS only. It works through school districts, so never approach any Maryland or Montgomery County program. Lowered from 3.</t>
  </si>
  <si>
    <t xml:space="preserve">DNS only. It sells its own workshops, so it overlaps the workshop kits. Its framing leans on health, so keep all copy free of health claims. Lowered from 3.</t>
  </si>
  <si>
    <t xml:space="preserve">DNS only. Volunteer-run, so commercial partnerships are unlikely.</t>
  </si>
  <si>
    <t xml:space="preserve">DNS only. Never imply endorsement or use the book title in ads. Its phone-free-schools work is school policy, so stay out of it.</t>
  </si>
  <si>
    <t xml:space="preserve">DNS only. The audience skews older (grades 3–8), and no vendor route is known.</t>
  </si>
  <si>
    <t xml:space="preserve">DNS only. Montessori classrooms use prescribed materials, so the classroom pack is a weak fit. Lowered from 3.</t>
  </si>
  <si>
    <t xml:space="preserve">DNS only. Regional and district-linked. Lowered from 3.</t>
  </si>
  <si>
    <t xml:space="preserve">DNS only. The exhibit route, dates and cost are unverified, and the event is far from Maryland.</t>
  </si>
  <si>
    <t xml:space="preserve">DNS only. It is in the Mid-Atlantic, but the exhibit route is unverified.</t>
  </si>
  <si>
    <t xml:space="preserve">DNS only. Lowered to 1. MCCPTA is part of Maryland PTA, so statewide events draw Montgomery County PTA leaders and the MCPS staff who belong to PTAs, which is too close to the exclusion. Skip the convention. Never contact MCCPTA or any PTA inside an MCPS school.</t>
  </si>
  <si>
    <t xml:space="preserve">Childminders buy their own resources, so this is the closest audience match abroad. Ads and member offers need no staff. Not verified whether PACEY takes overseas advertisers or partners; ask. UK VAT applies to digital sales to UK consumers. Needs a UK/EYFS edition and no health claims. Confirm the organisation's current status before paying, because UK early-years charities have been under funding pressure.</t>
  </si>
  <si>
    <t xml:space="preserve">Parent-led play matches the brand closely. Approach state bodies separately (Playgroup Victoria, NSW, Queensland, WA, SA). Keep offers low-cost for the community sector.</t>
  </si>
  <si>
    <t xml:space="preserve">Magazine and blog channels are faceless. The shop mostly sells ECA's own publications. Needs Australian spelling and terms. GST applies above A$75k, or use a merchant of record. Print books in Australia via POD.</t>
  </si>
  <si>
    <t xml:space="preserve">English-language market. EU VAT via non-Union OSS applies from the first consumer digital sale. Start with newsletter ads and member offers; the conference needs staff.</t>
  </si>
  <si>
    <t xml:space="preserve">The shop mainly sells the Alliance's own publications; third-party stock is not assured, so ask. The Alliance campaigns on policy; the brand must stay neutral and must not comment on government or providers. UK edition needed.</t>
  </si>
  <si>
    <t xml:space="preserve">Home-based educators buy their own resources and care for mixed ages, so both bundles fit. Needs an Australian spelling edition.</t>
  </si>
  <si>
    <t xml:space="preserve">Ads and newsletter placements are fully faceless, so start there. The show needs hired booth staff. Ask about a combined Nursery World + EYE media package.</t>
  </si>
  <si>
    <t xml:space="preserve">ADDED. Fully faceless. It covers both 0-5 (Teach Early Years) and 5-12 (Teach Primary) buyers. Needs UK spelling and a UK edition. The same publisher's other titles are more tech-oriented; stick to the early-years and primary titles.</t>
  </si>
  <si>
    <t xml:space="preserve">ADDED. English-language schools with budgets worldwide, and digital site licences avoid shipping. Supplier membership and ads are faceless.</t>
  </si>
  <si>
    <t xml:space="preserve">ADDED. Centre owners buy multi-site licences. Conferences need staff, so start with member offers or ads.</t>
  </si>
  <si>
    <t xml:space="preserve">EU VAT OSS applies to consumer digital sales. English-language market.</t>
  </si>
  <si>
    <t xml:space="preserve">ADDED. The magazine channel is faceless.</t>
  </si>
  <si>
    <t xml:space="preserve">ADDED. The main centre-owner channel in NZ. Use te reo Maori touches and Te Whariki terms. NZ GST applies above NZ$60k.</t>
  </si>
  <si>
    <t xml:space="preserve">Pedagogy-focused readers expect evidence-referenced materials; make no health claims. Written channels are faceless.</t>
  </si>
  <si>
    <t xml:space="preserve">ADDED. Use 'Realising the Ambition: Being Me' terminology.</t>
  </si>
  <si>
    <t xml:space="preserve">ADDED. Its parent-child play focus matches the brand closely. National reach needs French materials; English alone works for English-speaking provinces.</t>
  </si>
  <si>
    <t xml:space="preserve">ADDED. It is a professional body, not a trade union; confirm it has no Education International affiliation before contact. The exhibit needs staff, so ask about ads or sponsored mailings. Needs an Irish-curriculum edition.</t>
  </si>
  <si>
    <t xml:space="preserve">Montessori settings favour real materials over screens, so the fit is good. Correction: the word 'Montessori' is not itself a protected mark in the UK or US, but never imply endorsement by or accreditation from the Montessori Group or AMI. Confirm the current URL after the rebrand.</t>
  </si>
  <si>
    <t xml:space="preserve">Lowered from 4. Its current operating status and leadership should be confirmed before paying. Exhibiting needs hired booth staff, so start with an ad or a sponsored insert. Nursery groups are good buyers of multi-site licences.</t>
  </si>
  <si>
    <t xml:space="preserve">ADDED. Same buyer profile as PACEY, in a smaller market.</t>
  </si>
  <si>
    <t xml:space="preserve">ADDED. The written-article channel suits a faceless brand. It is a company that sells nursery admin software, which is not classroom EdTech, so it is not excluded; keep articles practical and non-promotional.</t>
  </si>
  <si>
    <t xml:space="preserve">Lowered from 4. UK PTAs expect physical fundraiser goods delivered locally, which a US seller cannot do cheaply, so the fundraiser needs UK print-on-demand fulfilment first. Correction: Gift Aid applies only to donations, not to product-sale fundraising. PTAs that are registered charities have their own trading rules, so the terms need a UK version.</t>
  </si>
  <si>
    <t xml:space="preserve">Lowered from 4. The play philosophy fits closely, but it is volunteer-run with small budgets and no known vendor programme. Go digital, or print locally for any fundraiser.</t>
  </si>
  <si>
    <t xml:space="preserve">Childminders buy their own resources. Use 'Realising the Ambition: Being Me' terminology in a Scottish edition.</t>
  </si>
  <si>
    <t xml:space="preserve">Bicultural framing and te reo Maori are expected.</t>
  </si>
  <si>
    <t xml:space="preserve">ADDED. Fully faceless.</t>
  </si>
  <si>
    <t xml:space="preserve">Lowered from 4, because the main channel is a staffed booth. Needs Canadian spelling. Canadian GST/HST registration is needed for digital sales above C$30k, unless a merchant of record handles it.</t>
  </si>
  <si>
    <t xml:space="preserve">ADDED. Use Victorian 'kinder' terms.</t>
  </si>
  <si>
    <t xml:space="preserve">Lowered from 4. The booth needs hired staff or a book rep, and library books need Canadian distribution. US vendors are generally accepted.</t>
  </si>
  <si>
    <t xml:space="preserve">The AMI name and logo are protected. Never claim AMI alignment or endorsement. National AMI affiliates may be better channels.</t>
  </si>
  <si>
    <t xml:space="preserve">URL corrected from acei.org, which may redirect. Now mostly global policy and programme work with few vendor channels. A written article is the realistic route.</t>
  </si>
  <si>
    <t xml:space="preserve">ADDED. Its schools overlap with COBIS's; approach it second.</t>
  </si>
  <si>
    <t xml:space="preserve">ADDED. Academic audience with little buying power; mainly useful for credibility.</t>
  </si>
  <si>
    <t xml:space="preserve">Rights-based academic NGO with few commercial channels.</t>
  </si>
  <si>
    <t xml:space="preserve">ADDED as one entry. Other sites: aisa.or.ke, aaie.org, tri-association.org (verify each). Treat these as a second wave after COBIS.</t>
  </si>
  <si>
    <t xml:space="preserve">Lowered from 3. There is no known paid or vendor channel. Its focus is phones for older children. Its public messaging openly criticises tech companies, which the brand must never echo, so any link must stay strictly neutral and make no health claims. Lead with the 5-12 products.</t>
  </si>
  <si>
    <t xml:space="preserve">Spanish-only audience, so practical only after translation. EU VAT OSS applies for Spain; Mexico VAT applies from the first sale.</t>
  </si>
  <si>
    <t xml:space="preserve">Lowered from 3. Storytime programmes fit, but the channels are mainly exhibits, and physical books need Australian distribution.</t>
  </si>
  <si>
    <t xml:space="preserve">Smaller reach; state school-library associations may be better.</t>
  </si>
  <si>
    <t xml:space="preserve">Lowered from 3. Exhibiting is the only channel, and it needs staff on site, so it suits a later stage. Show-guide ads, if sold, would be the faceless alternative.</t>
  </si>
  <si>
    <t xml:space="preserve">ADDED. It focuses on Irish authors and illustrators, so the fit for a US brand is modest.</t>
  </si>
  <si>
    <t xml:space="preserve">Lowered from 3 because the channels are mainly staffed exhibits and UK distribution is needed. Children's librarians run baby rhyme-times, so the talk-along books fit. The medals' headline sponsor is a children's audio-player maker, so never compare products or comment on devices.</t>
  </si>
  <si>
    <t xml:space="preserve">ADDED. A strong buyer base, but exhibits need staff in Asia. EdTech vendors are common at its events, though the body itself is not an EdTech promoter. Stay neutral.</t>
  </si>
  <si>
    <t xml:space="preserve">ADDED. Largely publicly funded, so commercial channels may be limited.</t>
  </si>
  <si>
    <t xml:space="preserve">Bilingual English/Welsh is expected; a Welsh translation raises fit.</t>
  </si>
  <si>
    <t xml:space="preserve">ADDED. The parent book-group audience fits, but the network centres on traditionally published trade books.</t>
  </si>
  <si>
    <t xml:space="preserve">ADDED. It shares the screen-free, hands-on outlook, but its focus is outdoors, so only part of the range fits.</t>
  </si>
  <si>
    <t xml:space="preserve">Small market. SLANZA (school libraries) is a related channel.</t>
  </si>
  <si>
    <t xml:space="preserve">ADDED as a major body the list missed. The early-talk focus aligns well, but it is unlikely to list a small overseas brand's resources. Treat it as a long shot.</t>
  </si>
  <si>
    <t xml:space="preserve">Publicly funded body, so commercial partnership may be limited. Aim for a resource listing.</t>
  </si>
  <si>
    <t xml:space="preserve">Lowered from 3. Membership leans toward secondary schools, since most UK primaries have no librarian. Library-binding books need a UK library supplier (e.g., Peters, Gardners). Journal ads are the faceless route.</t>
  </si>
  <si>
    <t xml:space="preserve">Lowered from 3. The culture is screen-light, but Waldorf early years favour natural materials and are often wary of commercial, brightly illustrated products. Paid channels are limited.</t>
  </si>
  <si>
    <t xml:space="preserve">Lowered from 3. The audience is academic and the channel is mainly a conference. The oral-language angle fits the talk-along books.</t>
  </si>
  <si>
    <t xml:space="preserve">ADDED. Relevant only once Spanish editions exist, or to license translation rights, which avoids shipping. An agent or collective stand keeps it faceless.</t>
  </si>
  <si>
    <t xml:space="preserve">Lowered from 3. It is focused on advocacy, with small, uncertain vendor channels, and the brand must stay neutral. Similar provincial bodies: AECEA (Alberta), Manitoba Child Care Association (which runs a conference with exhibitors) and NSCECE (Nova Scotia).</t>
  </si>
  <si>
    <t xml:space="preserve">ADDED. A large market, but it is French-only and Quebec language law applies. Approach only after a French-Canadian edition exists (Phase 3 of the international plan).</t>
  </si>
  <si>
    <t xml:space="preserve">Use Victorian 'kinder' terms. Its audience overlaps with ELAA's. URL CORRECTED (DNS check, Sep 28, 2026): cccvic.org.au does not resolve (NXDOMAIN). cccinc.org.au resolves and is believed, from recall, to be the association's site; verify before contact.</t>
  </si>
  <si>
    <t xml:space="preserve">Other state parent bodies, such as the P&amp;C Federation of NSW (pandc.org.au), are similar channels.</t>
  </si>
  <si>
    <t xml:space="preserve">Lowered from 2. There is no known commercial channel, and Waldorf aesthetic preferences limit the fit. National Waldorf bodies such as SWSF come first.</t>
  </si>
  <si>
    <t xml:space="preserve">ADDED so the list is complete. Its mission overlaps strongly, but book-gifting runs at trade-publisher volumes that print-on-demand cannot meet. Low practical value.</t>
  </si>
  <si>
    <t xml:space="preserve">Lowered from 2. It appears to have wound down or gone largely inactive in recent years, so treat it as inactive until confirmed. Spend no effort here until the site shows current activity.</t>
  </si>
  <si>
    <t xml:space="preserve">Lowered from 2. It is mostly a policy body with no vendor channel. Provincial associations (OLA, BCLA, LAA) are the real routes. Bilingual.</t>
  </si>
  <si>
    <t xml:space="preserve">Lowered from 2, because its national activity looks low; confirm the URL and status. Go through provincial affiliates instead. The Quebec Federation of Home and School Associations (qfhsa.org), which serves English-language schools in Quebec, is the most useful and can be reached in English. DNS CHECK (Sep 28, 2026): canadianhomeandschool.ca does NOT resolve (NXDOMAIN), so the federation may be inactive or have moved. Use qfhsa.org (resolves) instead until a current national site is found.</t>
  </si>
  <si>
    <t xml:space="preserve">Lowered from 2. It is an advocacy body with no known commercial channel, and it needs full Spanish (Spain) translation.</t>
  </si>
  <si>
    <t xml:space="preserve">Lowered from 2. The URL is OMEP's global site; the national committees' own sites were not identified, so find them in OMEP's member directory. Approach only after full Spanish editions exist (Mexico and Spain variants).</t>
  </si>
  <si>
    <t xml:space="preserve">Group</t>
  </si>
  <si>
    <t xml:space="preserve">Why excluded or skipped</t>
  </si>
  <si>
    <t xml:space="preserve">Note</t>
  </si>
  <si>
    <t xml:space="preserve">Mandatory exclusion</t>
  </si>
  <si>
    <t xml:space="preserve">Montgomery County Public Schools (Maryland) and any of its schools or staff</t>
  </si>
  <si>
    <t xml:space="preserve">Includes MCPS administrator groups (e.g., MCAAP) and Montgomery County Head Start / pre-K classrooms run in MCPS. Never target MCPS staff met at any conference, chapter or network in this workbook.</t>
  </si>
  <si>
    <t xml:space="preserve">Excluded — pending matters; ask employment counsel before any contact</t>
  </si>
  <si>
    <t xml:space="preserve">Montgomery County Education Association (MCEA) and its state and national affiliates</t>
  </si>
  <si>
    <t xml:space="preserve">Teachers' union for MCPS; affiliates include MSEA and NEA (below).</t>
  </si>
  <si>
    <t xml:space="preserve">Maryland State Education Association (MSEA)</t>
  </si>
  <si>
    <t xml:space="preserve">State affiliate of MCEA/NEA.</t>
  </si>
  <si>
    <t xml:space="preserve">National Education Association (NEA)</t>
  </si>
  <si>
    <t xml:space="preserve">Includes Student NEA chapters.</t>
  </si>
  <si>
    <t xml:space="preserve">Montgomery County (MD) Department of Health and Human Services</t>
  </si>
  <si>
    <t xml:space="preserve">Includes its Child Care Resource &amp; Referral Center (Child Care Support Services, 1401 Rockville Pike, part of Maryland Family Network's network but DHHS-operated), its Head Start grantee role, and any DHHS-run Healthy Families or training site.</t>
  </si>
  <si>
    <t xml:space="preserve">Montgomery County (MD) DHHS Infants and Toddlers Program</t>
  </si>
  <si>
    <t xml:space="preserve">Also skip any Maryland DEC activity that involves this program.</t>
  </si>
  <si>
    <t xml:space="preserve">Mandatory exclusion (precaution)</t>
  </si>
  <si>
    <t xml:space="preserve">Education International (EI) and its member unions abroad</t>
  </si>
  <si>
    <t xml:space="preserve">EI is the global teachers'-union federation NEA belongs to; its member unions are NEA's sister affiliates. Examples: NEU and NASUWT (UK), INTO (Ireland), CTF/FCE (Canada), AEU (Australia), NZEI Te Riu Roa and PPTA (NZ), SNTE (Mexico), FeSP-UGT and FECCOO (Spain).</t>
  </si>
  <si>
    <t xml:space="preserve">Near-exclusion skip</t>
  </si>
  <si>
    <t xml:space="preserve">Montgomery County Council of PTAs (MCCPTA) and every PTA inside an MCPS school</t>
  </si>
  <si>
    <t xml:space="preserve">Organized around and operating inside MCPS schools. (Maryland PTA stays in the Parents tab at Fit 1 with a caution: no convention, no county-level contact.)</t>
  </si>
  <si>
    <t xml:space="preserve">Skipped — too close to the excluded parties; ask employment counsel before any contact</t>
  </si>
  <si>
    <t xml:space="preserve">Maryland Association of Boards of Education (MABE)</t>
  </si>
  <si>
    <t xml:space="preserve">The Montgomery County Board of Education is a member.</t>
  </si>
  <si>
    <t xml:space="preserve">Public School Superintendents' Association of Maryland (PSSAM)</t>
  </si>
  <si>
    <t xml:space="preserve">The MCPS superintendent is a member.</t>
  </si>
  <si>
    <t xml:space="preserve">American Federation of Teachers (AFT) and other teachers' unions</t>
  </si>
  <si>
    <t xml:space="preserve">Not named in the exclusion but close to it; adding any union is the owner's call after counsel.</t>
  </si>
  <si>
    <t xml:space="preserve">Mission conflict (EdTech)</t>
  </si>
  <si>
    <t xml:space="preserve">ISTE (International Society for Technology in Education)</t>
  </si>
  <si>
    <t xml:space="preserve">Its mission promotes EdTech, which conflicts with the brand's talk-touch-play-paper message.</t>
  </si>
  <si>
    <t xml:space="preserve">Skip; do not exhibit, sponsor or advertise.</t>
  </si>
  <si>
    <t xml:space="preserve">ASCD</t>
  </si>
  <si>
    <t xml:space="preserve">Its annual conference has been co-located with ISTE since 2025 (San Antonio 2025, Orlando 2026); both promote EdTech.</t>
  </si>
  <si>
    <t xml:space="preserve">Skip.</t>
  </si>
  <si>
    <t xml:space="preserve">Bett (UK) and BESA (British Educational Suppliers Association)</t>
  </si>
  <si>
    <t xml:space="preserve">Bett is an EdTech show; BESA is the UK education-suppliers body closely tied to Bett and EdTech.</t>
  </si>
  <si>
    <t xml:space="preserve">EduTECH Australia; EdTechNZ / EdTech Ireland-type industry groups</t>
  </si>
  <si>
    <t xml:space="preserve">EdTech-promotion events and industry groups.</t>
  </si>
  <si>
    <t xml:space="preserve">Clinical / licensure body</t>
  </si>
  <si>
    <t xml:space="preserve">ASHA (American Speech-Language-Hearing Association)</t>
  </si>
  <si>
    <t xml:space="preserve">Clinical licensure body: a non-clinician exhibiting could imply clinical credentials, and talk-along books could read as a language intervention. The brand makes no health claims.</t>
  </si>
  <si>
    <t xml:space="preserve">AOTA (American Occupational Therapy Association)</t>
  </si>
  <si>
    <t xml:space="preserve">Clinical/licensure; same implied-credentials risk.</t>
  </si>
  <si>
    <t xml:space="preserve">NASN (National Association of School Nurses) and other school-nurse bodies</t>
  </si>
  <si>
    <t xml:space="preserve">Clinical; same implied-credentials and health-claim risk.</t>
  </si>
  <si>
    <t xml:space="preserve">NASP (National Association of School Psychologists) and the Maryland School Psychologists' Association (MSPA)</t>
  </si>
  <si>
    <t xml:space="preserve">NASP awards the NCSP credential and school psychologists are licensed practitioners; removed during verification.</t>
  </si>
  <si>
    <t xml:space="preserve">AAP (American Academy of Pediatrics)</t>
  </si>
  <si>
    <t xml:space="preserve">Clinical body; exhibiting could imply clinical credentials and invite health-claim readings.</t>
  </si>
  <si>
    <t xml:space="preserve">Nurse home-visiting models (e.g., Nurse-Family Partnership)</t>
  </si>
  <si>
    <t xml:space="preserve">Nurse-delivered model; implied-clinical risk.</t>
  </si>
  <si>
    <t xml:space="preserve">Reach Out and Read</t>
  </si>
  <si>
    <t xml:space="preserve">Its model runs through pediatric clinics, carrying the same implied-clinical risk.</t>
  </si>
  <si>
    <t xml:space="preserve">Speech-language licensure bodies abroad: RCSLT (UK), IASLT (Ireland), Speech-Language &amp; Audiology Canada, Speech Pathology Australia, NZ Speech-language Therapists' Association</t>
  </si>
  <si>
    <t xml:space="preserve">Same reason as ASHA.</t>
  </si>
  <si>
    <t xml:space="preserve">Health-visiting and paediatric bodies: Institute of Health Visiting, RCPCH, Canadian Paediatric Society, RACP</t>
  </si>
  <si>
    <t xml:space="preserve">Clinical bodies; same implied-credentials and health-claim risk.</t>
  </si>
  <si>
    <t xml:space="preserve">Monitor only (mission conflict)</t>
  </si>
  <si>
    <t xml:space="preserve">Fairplay  (https://fairplayforkids.org)</t>
  </si>
  <si>
    <t xml:space="preserve">Refuses corporate funding and campaigns against named companies, which clashes with the never-criticize rule. It no longer runs Screen-Free Week (moved to IPA USA in 2025; see the Parents tab).</t>
  </si>
  <si>
    <t xml:space="preserve">Not a target: monitor only; never sponsor, pitch or co-brand.</t>
  </si>
  <si>
    <t xml:space="preserve">Children's Screen Time Action Network (Fairplay)  (https://www.screentimenetwork.org)</t>
  </si>
  <si>
    <t xml:space="preserve">Fairplay's practitioner network; commercial promotion is not appropriate. Listen only (individual membership, with the business disclosed, if eligible).</t>
  </si>
  <si>
    <t xml:space="preserve">Phone-Free Schools Movement  (https://www.phonefreeschoolsmovement.org)</t>
  </si>
  <si>
    <t xml:space="preserve">School-policy campaigning carries a risk of naming schools or districts.</t>
  </si>
  <si>
    <t xml:space="preserve">MAMA (Mothers Against Media Addiction)  (https://www.wearemama.org)</t>
  </si>
  <si>
    <t xml:space="preserve">Targets tech companies and lawmakers, which conflicts with the never-criticize rule.</t>
  </si>
  <si>
    <t xml:space="preserve">ParentsTogether  (https://parents-together.org)</t>
  </si>
  <si>
    <t xml:space="preserve">Its campaigns name companies, which clashes with the brand's rules.</t>
  </si>
  <si>
    <t xml:space="preserve">Not listed (not viable)</t>
  </si>
  <si>
    <t xml:space="preserve">NPCL / International Fatherhood Conference</t>
  </si>
  <si>
    <t xml:space="preserve">npcl.org sits on Afternic (domain-for-sale) nameservers and none of the NPCL domains tried resolves.</t>
  </si>
  <si>
    <t xml:space="preserve">Removed during verification.</t>
  </si>
  <si>
    <t xml:space="preserve">ACECQA (Australia)</t>
  </si>
  <si>
    <t xml:space="preserve">National regulator with no vendor channel.</t>
  </si>
  <si>
    <t xml:space="preserve">Not a target.</t>
  </si>
  <si>
    <t xml:space="preserve">Canadian Library Association</t>
  </si>
  <si>
    <t xml:space="preserve">Dissolved in 2016; succeeded by CFLA-FCAB (International tab).</t>
  </si>
</sst>
</file>

<file path=xl/styles.xml><?xml version="1.0" encoding="utf-8"?>
<styleSheet xmlns="http://schemas.openxmlformats.org/spreadsheetml/2006/main">
  <numFmts count="3">
    <numFmt numFmtId="164" formatCode="General"/>
    <numFmt numFmtId="165" formatCode="General"/>
    <numFmt numFmtId="166" formatCode="yyyy\-mm\-dd"/>
  </numFmts>
  <fonts count="15">
    <font>
      <sz val="11"/>
      <color theme="1"/>
      <name val="Calibri"/>
      <family val="2"/>
      <charset val="1"/>
    </font>
    <font>
      <sz val="10"/>
      <name val="Arial"/>
      <family val="0"/>
    </font>
    <font>
      <sz val="10"/>
      <name val="Arial"/>
      <family val="0"/>
    </font>
    <font>
      <sz val="10"/>
      <name val="Arial"/>
      <family val="0"/>
    </font>
    <font>
      <b val="true"/>
      <sz val="16"/>
      <color rgb="FF1D2940"/>
      <name val="Arial"/>
      <family val="0"/>
      <charset val="1"/>
    </font>
    <font>
      <i val="true"/>
      <sz val="10"/>
      <color rgb="FF55607A"/>
      <name val="Arial"/>
      <family val="0"/>
      <charset val="1"/>
    </font>
    <font>
      <sz val="10"/>
      <name val="Arial"/>
      <family val="0"/>
      <charset val="1"/>
    </font>
    <font>
      <b val="true"/>
      <sz val="12"/>
      <color rgb="FF1D2940"/>
      <name val="Arial"/>
      <family val="0"/>
      <charset val="1"/>
    </font>
    <font>
      <b val="true"/>
      <sz val="10"/>
      <color rgb="FFFFFFFF"/>
      <name val="Arial"/>
      <family val="0"/>
      <charset val="1"/>
    </font>
    <font>
      <b val="true"/>
      <u val="single"/>
      <sz val="10"/>
      <color rgb="FF1F4E9E"/>
      <name val="Arial"/>
      <family val="0"/>
      <charset val="1"/>
    </font>
    <font>
      <b val="true"/>
      <sz val="10"/>
      <name val="Arial"/>
      <family val="0"/>
      <charset val="1"/>
    </font>
    <font>
      <u val="single"/>
      <sz val="10"/>
      <color rgb="FF1F4E9E"/>
      <name val="Arial"/>
      <family val="0"/>
      <charset val="1"/>
    </font>
    <font>
      <i val="true"/>
      <sz val="10"/>
      <name val="Arial"/>
      <family val="0"/>
      <charset val="1"/>
    </font>
    <font>
      <u val="single"/>
      <sz val="10"/>
      <color rgb="FF9B1C1C"/>
      <name val="Arial"/>
      <family val="0"/>
      <charset val="1"/>
    </font>
    <font>
      <b val="true"/>
      <sz val="10"/>
      <color rgb="FF9B1C1C"/>
      <name val="Arial"/>
      <family val="0"/>
      <charset val="1"/>
    </font>
  </fonts>
  <fills count="5">
    <fill>
      <patternFill patternType="none"/>
    </fill>
    <fill>
      <patternFill patternType="gray125"/>
    </fill>
    <fill>
      <patternFill patternType="solid">
        <fgColor rgb="FF1D2940"/>
        <bgColor rgb="FF003366"/>
      </patternFill>
    </fill>
    <fill>
      <patternFill patternType="solid">
        <fgColor rgb="FFFFF8DC"/>
        <bgColor rgb="FFFFFFFF"/>
      </patternFill>
    </fill>
    <fill>
      <patternFill patternType="solid">
        <fgColor rgb="FFFBE3E3"/>
        <bgColor rgb="FFFFF8DC"/>
      </patternFill>
    </fill>
  </fills>
  <borders count="2">
    <border diagonalUp="false" diagonalDown="false">
      <left/>
      <right/>
      <top/>
      <bottom/>
      <diagonal/>
    </border>
    <border diagonalUp="false" diagonalDown="false">
      <left/>
      <right/>
      <top/>
      <bottom style="thin">
        <color rgb="FFD5D9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top" textRotation="0" wrapText="false" indent="0" shrinkToFit="false"/>
      <protection locked="true" hidden="false"/>
    </xf>
    <xf numFmtId="165" fontId="10" fillId="0" borderId="1" xfId="0" applyFont="true" applyBorder="true" applyAlignment="true" applyProtection="false">
      <alignment horizontal="center" vertical="top" textRotation="0" wrapText="false" indent="0" shrinkToFit="false"/>
      <protection locked="true" hidden="false"/>
    </xf>
    <xf numFmtId="164" fontId="11" fillId="0" borderId="1" xfId="0" applyFont="true" applyBorder="true" applyAlignment="true" applyProtection="false">
      <alignment horizontal="left" vertical="top" textRotation="0" wrapText="fals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5" fontId="12"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6" fontId="6" fillId="3" borderId="1" xfId="0" applyFont="true" applyBorder="true" applyAlignment="true" applyProtection="false">
      <alignment horizontal="general" vertical="top"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D2940"/>
          <bgColor rgb="FF000000"/>
        </patternFill>
      </fill>
    </dxf>
    <dxf>
      <fill>
        <patternFill patternType="solid">
          <fgColor rgb="FFCDE8D4"/>
          <bgColor rgb="FF000000"/>
        </patternFill>
      </fill>
    </dxf>
    <dxf>
      <fill>
        <patternFill patternType="solid">
          <fgColor rgb="FFDCE7F7"/>
          <bgColor rgb="FF000000"/>
        </patternFill>
      </fill>
    </dxf>
    <dxf>
      <fill>
        <patternFill patternType="solid">
          <bgColor rgb="FF000000"/>
        </patternFill>
      </fill>
    </dxf>
    <dxf>
      <fill>
        <patternFill patternType="solid">
          <fgColor rgb="FF14532D"/>
          <bgColor rgb="FF000000"/>
        </patternFill>
      </fill>
    </dxf>
    <dxf>
      <fill>
        <patternFill patternType="solid">
          <fgColor rgb="FFFFFFFF"/>
          <bgColor rgb="FF000000"/>
        </patternFill>
      </fill>
    </dxf>
    <dxf>
      <fill>
        <patternFill patternType="solid">
          <fgColor rgb="FF1F4E9E"/>
          <bgColor rgb="FF000000"/>
        </patternFill>
      </fill>
    </dxf>
    <dxf>
      <fill>
        <patternFill patternType="solid">
          <fgColor rgb="FFB45309"/>
          <bgColor rgb="FF000000"/>
        </patternFill>
      </fill>
    </dxf>
    <dxf>
      <fill>
        <patternFill patternType="solid">
          <fgColor rgb="FFFFF8DC"/>
          <bgColor rgb="FF000000"/>
        </patternFill>
      </fill>
    </dxf>
    <dxf>
      <font>
        <name val="Arial"/>
        <charset val="1"/>
        <family val="0"/>
        <b val="1"/>
        <color rgb="FF14532D"/>
      </font>
      <fill>
        <patternFill>
          <bgColor rgb="FFCDE8D4"/>
        </patternFill>
      </fill>
    </dxf>
    <dxf>
      <font>
        <name val="Arial"/>
        <charset val="1"/>
        <family val="0"/>
        <b val="1"/>
        <color rgb="FF1D2940"/>
      </font>
      <fill>
        <patternFill>
          <bgColor rgb="FFDCE7F7"/>
        </patternFill>
      </fill>
    </dxf>
    <dxf>
      <font>
        <name val="Arial"/>
        <charset val="1"/>
        <family val="0"/>
        <b val="1"/>
        <color rgb="FFB45309"/>
      </font>
    </dxf>
    <dxf>
      <fill>
        <patternFill>
          <bgColor rgb="FFCDE8D4"/>
        </patternFill>
      </fill>
    </dxf>
    <dxf>
      <font>
        <name val="Arial"/>
        <charset val="1"/>
        <family val="0"/>
        <color rgb="FF8A8F98"/>
      </font>
    </dxf>
    <dxf>
      <fill>
        <patternFill patternType="solid">
          <fgColor rgb="FFFBE3E3"/>
          <bgColor rgb="FF000000"/>
        </patternFill>
      </fill>
    </dxf>
    <dxf>
      <fill>
        <patternFill patternType="solid">
          <fgColor rgb="FF9B1C1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B45309"/>
      <rgbColor rgb="FFFFF8DC"/>
      <rgbColor rgb="FFDCE7F7"/>
      <rgbColor rgb="FF660066"/>
      <rgbColor rgb="FFFF8080"/>
      <rgbColor rgb="FF0066CC"/>
      <rgbColor rgb="FFD5D9E0"/>
      <rgbColor rgb="FF000080"/>
      <rgbColor rgb="FFFF00FF"/>
      <rgbColor rgb="FFFFFF00"/>
      <rgbColor rgb="FF00FFFF"/>
      <rgbColor rgb="FF800080"/>
      <rgbColor rgb="FF800000"/>
      <rgbColor rgb="FF008080"/>
      <rgbColor rgb="FF0000FF"/>
      <rgbColor rgb="FF00CCFF"/>
      <rgbColor rgb="FFCCFFFF"/>
      <rgbColor rgb="FFCDE8D4"/>
      <rgbColor rgb="FFFFFF99"/>
      <rgbColor rgb="FF99CCFF"/>
      <rgbColor rgb="FFFF99CC"/>
      <rgbColor rgb="FFCC99FF"/>
      <rgbColor rgb="FFFBE3E3"/>
      <rgbColor rgb="FF3366FF"/>
      <rgbColor rgb="FF33CCCC"/>
      <rgbColor rgb="FF99CC00"/>
      <rgbColor rgb="FFF2B705"/>
      <rgbColor rgb="FFFF9900"/>
      <rgbColor rgb="FFFF6600"/>
      <rgbColor rgb="FF55607A"/>
      <rgbColor rgb="FF8A8F98"/>
      <rgbColor rgb="FF003366"/>
      <rgbColor rgb="FF339966"/>
      <rgbColor rgb="FF14532D"/>
      <rgbColor rgb="FF333300"/>
      <rgbColor rgb="FF9B1C1C"/>
      <rgbColor rgb="FF993366"/>
      <rgbColor rgb="FF1F4E9E"/>
      <rgbColor rgb="FF1D29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Education_Groups_Target_Directory.xlsx" TargetMode="External"/><Relationship Id="rId2" Type="http://schemas.openxmlformats.org/officeDocument/2006/relationships/hyperlink" Target="Education_Groups_Target_Directory.xlsx" TargetMode="External"/><Relationship Id="rId3" Type="http://schemas.openxmlformats.org/officeDocument/2006/relationships/hyperlink" Target="Education_Groups_Target_Directory.xlsx" TargetMode="External"/><Relationship Id="rId4" Type="http://schemas.openxmlformats.org/officeDocument/2006/relationships/hyperlink" Target="Education_Groups_Target_Directory.xlsx" TargetMode="External"/><Relationship Id="rId5" Type="http://schemas.openxmlformats.org/officeDocument/2006/relationships/hyperlink" Target="Education_Groups_Target_Directory.xlsx" TargetMode="External"/><Relationship Id="rId6" Type="http://schemas.openxmlformats.org/officeDocument/2006/relationships/hyperlink" Target="Education_Groups_Target_Directory.xlsx"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www.naeyc.org/get-involved/membership/affiliates/network" TargetMode="External"/><Relationship Id="rId2" Type="http://schemas.openxmlformats.org/officeDocument/2006/relationships/hyperlink" Target="https://nafcc.org/conference/sponsors-and-exhibitors/" TargetMode="External"/><Relationship Id="rId3" Type="http://schemas.openxmlformats.org/officeDocument/2006/relationships/hyperlink" Target="https://www.ibpa-online.org/" TargetMode="External"/><Relationship Id="rId4" Type="http://schemas.openxmlformats.org/officeDocument/2006/relationships/hyperlink" Target="https://www.ptotoday.com/" TargetMode="External"/><Relationship Id="rId5" Type="http://schemas.openxmlformats.org/officeDocument/2006/relationships/hyperlink" Target="https://waldorfearlychildhood.org/" TargetMode="External"/><Relationship Id="rId6" Type="http://schemas.openxmlformats.org/officeDocument/2006/relationships/hyperlink" Target="https://www.pacey.org.uk/" TargetMode="External"/><Relationship Id="rId7" Type="http://schemas.openxmlformats.org/officeDocument/2006/relationships/hyperlink" Target="https://www.aimsmddc.org/" TargetMode="External"/><Relationship Id="rId8" Type="http://schemas.openxmlformats.org/officeDocument/2006/relationships/hyperlink" Target="https://mdaeyc.org/" TargetMode="External"/><Relationship Id="rId9" Type="http://schemas.openxmlformats.org/officeDocument/2006/relationships/hyperlink" Target="https://www.mdlib.org/" TargetMode="External"/><Relationship Id="rId10" Type="http://schemas.openxmlformats.org/officeDocument/2006/relationships/hyperlink" Target="https://www.msfcca.org/annualconference" TargetMode="External"/><Relationship Id="rId11" Type="http://schemas.openxmlformats.org/officeDocument/2006/relationships/hyperlink" Target="https://parentsasteachers.org/upcoming-events/" TargetMode="External"/><Relationship Id="rId12" Type="http://schemas.openxmlformats.org/officeDocument/2006/relationships/hyperlink" Target="https://nhsa.org/our-work/state-regional-associations/" TargetMode="External"/><Relationship Id="rId13" Type="http://schemas.openxmlformats.org/officeDocument/2006/relationships/hyperlink" Target="https://1000booksbeforekindergarten.org/" TargetMode="External"/><Relationship Id="rId14" Type="http://schemas.openxmlformats.org/officeDocument/2006/relationships/hyperlink" Target="https://www.ala.org/aasl" TargetMode="External"/><Relationship Id="rId15" Type="http://schemas.openxmlformats.org/officeDocument/2006/relationships/hyperlink" Target="https://amshq.org/event/the-montessori-event-2027/" TargetMode="External"/><Relationship Id="rId16" Type="http://schemas.openxmlformats.org/officeDocument/2006/relationships/hyperlink" Target="https://www.earlylearningleaders.org/vendor/conference-exhibits-and-sponsorships/" TargetMode="External"/><Relationship Id="rId17" Type="http://schemas.openxmlformats.org/officeDocument/2006/relationships/hyperlink" Target="https://www.ala.org/alsc" TargetMode="External"/><Relationship Id="rId18" Type="http://schemas.openxmlformats.org/officeDocument/2006/relationships/hyperlink" Target="https://www.erafans.org/" TargetMode="External"/><Relationship Id="rId19" Type="http://schemas.openxmlformats.org/officeDocument/2006/relationships/hyperlink" Target="https://classwallet.com/" TargetMode="External"/><Relationship Id="rId20" Type="http://schemas.openxmlformats.org/officeDocument/2006/relationships/hyperlink" Target="https://exchangepress.com/" TargetMode="External"/><Relationship Id="rId21" Type="http://schemas.openxmlformats.org/officeDocument/2006/relationships/hyperlink" Target="https://greathomeschoolconventions.com/" TargetMode="External"/><Relationship Id="rId22" Type="http://schemas.openxmlformats.org/officeDocument/2006/relationships/hyperlink" Target="https://www.juniorlibraryguild.com/publishers" TargetMode="External"/><Relationship Id="rId23" Type="http://schemas.openxmlformats.org/officeDocument/2006/relationships/hyperlink" Target="https://www.childcareaware.org/resources/ccrr-search/" TargetMode="External"/><Relationship Id="rId24" Type="http://schemas.openxmlformats.org/officeDocument/2006/relationships/hyperlink" Target="https://home.mackin.com/publisher-showcase/" TargetMode="External"/><Relationship Id="rId25" Type="http://schemas.openxmlformats.org/officeDocument/2006/relationships/hyperlink" Target="https://www.naeyc.org/events/annual/exhibiting-and-advertising" TargetMode="External"/><Relationship Id="rId26" Type="http://schemas.openxmlformats.org/officeDocument/2006/relationships/hyperlink" Target="https://www.nais.org/" TargetMode="External"/><Relationship Id="rId27" Type="http://schemas.openxmlformats.org/officeDocument/2006/relationships/hyperlink" Target="https://www.naesp.org/" TargetMode="External"/><Relationship Id="rId28" Type="http://schemas.openxmlformats.org/officeDocument/2006/relationships/hyperlink" Target="https://nhsa.org/conference/national-head-start-conference-and-expo/" TargetMode="External"/><Relationship Id="rId29" Type="http://schemas.openxmlformats.org/officeDocument/2006/relationships/hyperlink" Target="https://microschoolingcenter.org/" TargetMode="External"/><Relationship Id="rId30" Type="http://schemas.openxmlformats.org/officeDocument/2006/relationships/hyperlink" Target="https://naturalstart.org/" TargetMode="External"/><Relationship Id="rId31" Type="http://schemas.openxmlformats.org/officeDocument/2006/relationships/hyperlink" Target="https://withodyssey.com/" TargetMode="External"/><Relationship Id="rId32" Type="http://schemas.openxmlformats.org/officeDocument/2006/relationships/hyperlink" Target="https://www.zerotothree.org/learn-conference/" TargetMode="External"/><Relationship Id="rId33" Type="http://schemas.openxmlformats.org/officeDocument/2006/relationships/hyperlink" Target="https://www.bewildandfree.org/" TargetMode="External"/><Relationship Id="rId34" Type="http://schemas.openxmlformats.org/officeDocument/2006/relationships/hyperlink" Target="https://www.1000hoursoutside.com/" TargetMode="External"/><Relationship Id="rId35" Type="http://schemas.openxmlformats.org/officeDocument/2006/relationships/hyperlink" Target="https://www.follettcontent.com/" TargetMode="External"/><Relationship Id="rId36" Type="http://schemas.openxmlformats.org/officeDocument/2006/relationships/hyperlink" Target="https://www.homeschoolbuyersco-op.org/" TargetMode="External"/><Relationship Id="rId37" Type="http://schemas.openxmlformats.org/officeDocument/2006/relationships/hyperlink" Target="https://www.familieslearning.org/" TargetMode="External"/><Relationship Id="rId38" Type="http://schemas.openxmlformats.org/officeDocument/2006/relationships/hyperlink" Target="https://www.playgroupaustralia.org.au/" TargetMode="External"/><Relationship Id="rId39" Type="http://schemas.openxmlformats.org/officeDocument/2006/relationships/hyperlink" Target="https://www.earlychildhoodaustralia.org.au/" TargetMode="External"/><Relationship Id="rId40" Type="http://schemas.openxmlformats.org/officeDocument/2006/relationships/hyperlink" Target="https://www.earlychildhoodireland.ie/" TargetMode="External"/><Relationship Id="rId41" Type="http://schemas.openxmlformats.org/officeDocument/2006/relationships/hyperlink" Target="https://www.eyalliance.org.uk/" TargetMode="External"/><Relationship Id="rId42" Type="http://schemas.openxmlformats.org/officeDocument/2006/relationships/hyperlink" Target="https://www.familydaycare.com.au/" TargetMode="External"/><Relationship Id="rId43" Type="http://schemas.openxmlformats.org/officeDocument/2006/relationships/hyperlink" Target="https://www.nurseryworld.co.uk/" TargetMode="External"/><Relationship Id="rId44" Type="http://schemas.openxmlformats.org/officeDocument/2006/relationships/hyperlink" Target="https://www.teachwire.net/" TargetMode="External"/><Relationship Id="rId45" Type="http://schemas.openxmlformats.org/officeDocument/2006/relationships/hyperlink" Target="https://www.seca.info/exhibits" TargetMode="External"/><Relationship Id="rId46" Type="http://schemas.openxmlformats.org/officeDocument/2006/relationships/hyperlink" Target="https://www.dcaeyc.org/" TargetMode="External"/><Relationship Id="rId47" Type="http://schemas.openxmlformats.org/officeDocument/2006/relationships/hyperlink" Target="https://heav.org/" TargetMode="External"/><Relationship Id="rId48" Type="http://schemas.openxmlformats.org/officeDocument/2006/relationships/hyperlink" Target="https://maespmd.org/" TargetMode="External"/><Relationship Id="rId49" Type="http://schemas.openxmlformats.org/officeDocument/2006/relationships/hyperlink" Target="https://www.maslmd.org/" TargetMode="External"/><Relationship Id="rId50" Type="http://schemas.openxmlformats.org/officeDocument/2006/relationships/hyperlink" Target="https://marylandfamilynetwork.org/our-work/child-care-resource-network/" TargetMode="External"/><Relationship Id="rId51" Type="http://schemas.openxmlformats.org/officeDocument/2006/relationships/hyperlink" Target="https://mscca.org/event/conference-by-the-sea/" TargetMode="External"/><Relationship Id="rId52" Type="http://schemas.openxmlformats.org/officeDocument/2006/relationships/hyperlink" Target="https://vaaeyc.org/events/annual-conference/" TargetMode="External"/><Relationship Id="rId53" Type="http://schemas.openxmlformats.org/officeDocument/2006/relationships/hyperlink" Target="https://mdearlychildhoodconference.com/" TargetMode="External"/><Relationship Id="rId54" Type="http://schemas.openxmlformats.org/officeDocument/2006/relationships/hyperlink" Target="https://fpea.com/" TargetMode="External"/><Relationship Id="rId55" Type="http://schemas.openxmlformats.org/officeDocument/2006/relationships/hyperlink" Target="https://www.md-hsa.org/" TargetMode="External"/><Relationship Id="rId56" Type="http://schemas.openxmlformats.org/officeDocument/2006/relationships/hyperlink" Target="https://www.somla.online/" TargetMode="External"/><Relationship Id="rId57" Type="http://schemas.openxmlformats.org/officeDocument/2006/relationships/hyperlink" Target="https://www.thereadingleague.org/" TargetMode="External"/><Relationship Id="rId58" Type="http://schemas.openxmlformats.org/officeDocument/2006/relationships/hyperlink" Target="https://www.publicwaldorf.org/annualconference" TargetMode="External"/><Relationship Id="rId59" Type="http://schemas.openxmlformats.org/officeDocument/2006/relationships/hyperlink" Target="https://www.schoolcounselor.org/" TargetMode="External"/><Relationship Id="rId60" Type="http://schemas.openxmlformats.org/officeDocument/2006/relationships/hyperlink" Target="https://www.acsi.org/" TargetMode="External"/><Relationship Id="rId61" Type="http://schemas.openxmlformats.org/officeDocument/2006/relationships/hyperlink" Target="https://www.booklistonline.com/" TargetMode="External"/><Relationship Id="rId62" Type="http://schemas.openxmlformats.org/officeDocument/2006/relationships/hyperlink" Target="https://www.childcareaware.org/" TargetMode="External"/><Relationship Id="rId63" Type="http://schemas.openxmlformats.org/officeDocument/2006/relationships/hyperlink" Target="https://cbcbooks.org/" TargetMode="External"/><Relationship Id="rId64" Type="http://schemas.openxmlformats.org/officeDocument/2006/relationships/hyperlink" Target="https://earlychildhoodchristiannetwork.com/conferences-3/" TargetMode="External"/><Relationship Id="rId65" Type="http://schemas.openxmlformats.org/officeDocument/2006/relationships/hyperlink" Target="https://www.earlychildhoodinvestigations.com/" TargetMode="External"/><Relationship Id="rId66" Type="http://schemas.openxmlformats.org/officeDocument/2006/relationships/hyperlink" Target="https://ecerjevents.com/" TargetMode="External"/><Relationship Id="rId67" Type="http://schemas.openxmlformats.org/officeDocument/2006/relationships/hyperlink" Target="https://www.hippyus.org/conference/" TargetMode="External"/><Relationship Id="rId68" Type="http://schemas.openxmlformats.org/officeDocument/2006/relationships/hyperlink" Target="https://www.kirkusreviews.com/indie-reviews/" TargetMode="External"/><Relationship Id="rId69" Type="http://schemas.openxmlformats.org/officeDocument/2006/relationships/hyperlink" Target="https://www.arteducators.org/" TargetMode="External"/><Relationship Id="rId70" Type="http://schemas.openxmlformats.org/officeDocument/2006/relationships/hyperlink" Target="https://www.episcopalschools.org/" TargetMode="External"/><Relationship Id="rId71" Type="http://schemas.openxmlformats.org/officeDocument/2006/relationships/hyperlink" Target="https://ncea.org/" TargetMode="External"/><Relationship Id="rId72" Type="http://schemas.openxmlformats.org/officeDocument/2006/relationships/hyperlink" Target="https://www.public-montessori.org/" TargetMode="External"/><Relationship Id="rId73" Type="http://schemas.openxmlformats.org/officeDocument/2006/relationships/hyperlink" Target="https://www.pta.org/" TargetMode="External"/><Relationship Id="rId74" Type="http://schemas.openxmlformats.org/officeDocument/2006/relationships/hyperlink" Target="https://www.reggioalliance.org/conferences/" TargetMode="External"/><Relationship Id="rId75" Type="http://schemas.openxmlformats.org/officeDocument/2006/relationships/hyperlink" Target="https://prizmah.org/" TargetMode="External"/><Relationship Id="rId76" Type="http://schemas.openxmlformats.org/officeDocument/2006/relationships/hyperlink" Target="https://www.placonference.org/" TargetMode="External"/><Relationship Id="rId77" Type="http://schemas.openxmlformats.org/officeDocument/2006/relationships/hyperlink" Target="https://www.slj.com/" TargetMode="External"/><Relationship Id="rId78" Type="http://schemas.openxmlformats.org/officeDocument/2006/relationships/hyperlink" Target="https://screenfree.org/" TargetMode="External"/><Relationship Id="rId79" Type="http://schemas.openxmlformats.org/officeDocument/2006/relationships/hyperlink" Target="https://www.startearly.org/event/home-visiting-summit/sponsorship/" TargetMode="External"/><Relationship Id="rId80" Type="http://schemas.openxmlformats.org/officeDocument/2006/relationships/hyperlink" Target="https://www.weareteachers.com/advertise-with-weareteachers/" TargetMode="External"/><Relationship Id="rId81" Type="http://schemas.openxmlformats.org/officeDocument/2006/relationships/hyperlink" Target="https://2027.alaannual.org/" TargetMode="External"/><Relationship Id="rId82" Type="http://schemas.openxmlformats.org/officeDocument/2006/relationships/hyperlink" Target="https://www.amiusa.org/event/the-2027-montessori-experience-refresher-courses-and-more" TargetMode="External"/><Relationship Id="rId83" Type="http://schemas.openxmlformats.org/officeDocument/2006/relationships/hyperlink" Target="https://mo.lcms.org/early-childhood-conferences/" TargetMode="External"/><Relationship Id="rId84" Type="http://schemas.openxmlformats.org/officeDocument/2006/relationships/hyperlink" Target="https://convention.ncte.org/" TargetMode="External"/><Relationship Id="rId85" Type="http://schemas.openxmlformats.org/officeDocument/2006/relationships/hyperlink" Target="https://www.allprodad.com/" TargetMode="External"/><Relationship Id="rId86" Type="http://schemas.openxmlformats.org/officeDocument/2006/relationships/hyperlink" Target="https://bluestarfam.org/" TargetMode="External"/><Relationship Id="rId87" Type="http://schemas.openxmlformats.org/officeDocument/2006/relationships/hyperlink" Target="https://www.healthyfamiliesamerica.org/" TargetMode="External"/><Relationship Id="rId88" Type="http://schemas.openxmlformats.org/officeDocument/2006/relationships/hyperlink" Target="https://www.themom.co/" TargetMode="External"/><Relationship Id="rId89" Type="http://schemas.openxmlformats.org/officeDocument/2006/relationships/hyperlink" Target="https://www.multiplesofamerica.org/" TargetMode="External"/><Relationship Id="rId90" Type="http://schemas.openxmlformats.org/officeDocument/2006/relationships/hyperlink" Target="https://www.nbcdi.org/" TargetMode="External"/><Relationship Id="rId91" Type="http://schemas.openxmlformats.org/officeDocument/2006/relationships/hyperlink" Target="https://www.ap-od.org/" TargetMode="External"/><Relationship Id="rId92" Type="http://schemas.openxmlformats.org/officeDocument/2006/relationships/hyperlink" Target="https://www.asymca.org/" TargetMode="External"/><Relationship Id="rId93" Type="http://schemas.openxmlformats.org/officeDocument/2006/relationships/hyperlink" Target="https://www.waldorfeducation.org/" TargetMode="External"/><Relationship Id="rId94" Type="http://schemas.openxmlformats.org/officeDocument/2006/relationships/hyperlink" Target="https://www.cobis.org.uk/" TargetMode="External"/><Relationship Id="rId95" Type="http://schemas.openxmlformats.org/officeDocument/2006/relationships/hyperlink" Target="https://dey.org/" TargetMode="External"/><Relationship Id="rId96" Type="http://schemas.openxmlformats.org/officeDocument/2006/relationships/hyperlink" Target="https://firstbook.org/partners/" TargetMode="External"/><Relationship Id="rId97" Type="http://schemas.openxmlformats.org/officeDocument/2006/relationships/hyperlink" Target="https://www.homeschool.com/" TargetMode="External"/><Relationship Id="rId98" Type="http://schemas.openxmlformats.org/officeDocument/2006/relationships/hyperlink" Target="https://hslda.org/" TargetMode="External"/><Relationship Id="rId99" Type="http://schemas.openxmlformats.org/officeDocument/2006/relationships/hyperlink" Target="https://www.militarychild.org/" TargetMode="External"/><Relationship Id="rId100" Type="http://schemas.openxmlformats.org/officeDocument/2006/relationships/hyperlink" Target="https://www.nafsce.org/" TargetMode="External"/><Relationship Id="rId101" Type="http://schemas.openxmlformats.org/officeDocument/2006/relationships/hyperlink" Target="https://www.nationaldayofunplugging.com/" TargetMode="External"/><Relationship Id="rId102" Type="http://schemas.openxmlformats.org/officeDocument/2006/relationships/hyperlink" Target="https://www.nihsda.org/" TargetMode="External"/><Relationship Id="rId103" Type="http://schemas.openxmlformats.org/officeDocument/2006/relationships/hyperlink" Target="https://www.nmshsa.org/" TargetMode="External"/><Relationship Id="rId104" Type="http://schemas.openxmlformats.org/officeDocument/2006/relationships/hyperlink" Target="https://www.operationhomefront.org/" TargetMode="External"/><Relationship Id="rId105" Type="http://schemas.openxmlformats.org/officeDocument/2006/relationships/hyperlink" Target="https://www.seahomeschoolers.com/" TargetMode="External"/><Relationship Id="rId106" Type="http://schemas.openxmlformats.org/officeDocument/2006/relationships/hyperlink" Target="https://www.teachthemdiligently.net/" TargetMode="External"/><Relationship Id="rId107" Type="http://schemas.openxmlformats.org/officeDocument/2006/relationships/hyperlink" Target="https://www.theoldschoolhouse.com/" TargetMode="External"/><Relationship Id="rId108" Type="http://schemas.openxmlformats.org/officeDocument/2006/relationships/hyperlink" Target="https://usplaycoalition.org/" TargetMode="External"/><Relationship Id="rId109" Type="http://schemas.openxmlformats.org/officeDocument/2006/relationships/hyperlink" Target="https://childcarealliance.org.au/" TargetMode="External"/><Relationship Id="rId110" Type="http://schemas.openxmlformats.org/officeDocument/2006/relationships/hyperlink" Target="https://www.childminding.ie/" TargetMode="External"/><Relationship Id="rId111" Type="http://schemas.openxmlformats.org/officeDocument/2006/relationships/hyperlink" Target="https://www.cela.org.au/" TargetMode="External"/><Relationship Id="rId112" Type="http://schemas.openxmlformats.org/officeDocument/2006/relationships/hyperlink" Target="https://www.ecc.org.nz/" TargetMode="External"/><Relationship Id="rId113" Type="http://schemas.openxmlformats.org/officeDocument/2006/relationships/hyperlink" Target="https://early-education.org.uk/" TargetMode="External"/><Relationship Id="rId114" Type="http://schemas.openxmlformats.org/officeDocument/2006/relationships/hyperlink" Target="https://earlyyearsscotland.org/" TargetMode="External"/><Relationship Id="rId115" Type="http://schemas.openxmlformats.org/officeDocument/2006/relationships/hyperlink" Target="https://frp.ca/" TargetMode="External"/><Relationship Id="rId116" Type="http://schemas.openxmlformats.org/officeDocument/2006/relationships/hyperlink" Target="https://www.ippn.ie/" TargetMode="External"/><Relationship Id="rId117" Type="http://schemas.openxmlformats.org/officeDocument/2006/relationships/hyperlink" Target="https://www.montessori.org.uk/" TargetMode="External"/><Relationship Id="rId118" Type="http://schemas.openxmlformats.org/officeDocument/2006/relationships/hyperlink" Target="https://ndna.org.uk/" TargetMode="External"/><Relationship Id="rId119" Type="http://schemas.openxmlformats.org/officeDocument/2006/relationships/hyperlink" Target="https://www.nicma.org/" TargetMode="External"/><Relationship Id="rId120" Type="http://schemas.openxmlformats.org/officeDocument/2006/relationships/hyperlink" Target="https://www.parenta.com/" TargetMode="External"/><Relationship Id="rId121" Type="http://schemas.openxmlformats.org/officeDocument/2006/relationships/hyperlink" Target="https://www.parentkind.org.uk/" TargetMode="External"/><Relationship Id="rId122" Type="http://schemas.openxmlformats.org/officeDocument/2006/relationships/hyperlink" Target="https://www.playcentre.org.nz/" TargetMode="External"/><Relationship Id="rId123" Type="http://schemas.openxmlformats.org/officeDocument/2006/relationships/hyperlink" Target="https://www.childminding.org/" TargetMode="External"/><Relationship Id="rId124" Type="http://schemas.openxmlformats.org/officeDocument/2006/relationships/hyperlink" Target="https://www.ecnz.ac.nz/" TargetMode="External"/><Relationship Id="rId125" Type="http://schemas.openxmlformats.org/officeDocument/2006/relationships/hyperlink" Target="https://thesector.com.au/" TargetMode="External"/><Relationship Id="rId126" Type="http://schemas.openxmlformats.org/officeDocument/2006/relationships/hyperlink" Target="https://adwcatholicschools.org/" TargetMode="External"/><Relationship Id="rId127" Type="http://schemas.openxmlformats.org/officeDocument/2006/relationships/hyperlink" Target="https://www.archbalt.org/schools/" TargetMode="External"/><Relationship Id="rId128" Type="http://schemas.openxmlformats.org/officeDocument/2006/relationships/hyperlink" Target="https://www.palibraries.org/" TargetMode="External"/><Relationship Id="rId129" Type="http://schemas.openxmlformats.org/officeDocument/2006/relationships/hyperlink" Target="https://www.vla.org/" TargetMode="External"/><Relationship Id="rId130" Type="http://schemas.openxmlformats.org/officeDocument/2006/relationships/hyperlink" Target="https://californiakindergartenassociation.org/" TargetMode="External"/><Relationship Id="rId131" Type="http://schemas.openxmlformats.org/officeDocument/2006/relationships/hyperlink" Target="https://www.mscaonline.org/" TargetMode="External"/><Relationship Id="rId132" Type="http://schemas.openxmlformats.org/officeDocument/2006/relationships/hyperlink" Target="https://www.wastatepta.org/" TargetMode="External"/><Relationship Id="rId133" Type="http://schemas.openxmlformats.org/officeDocument/2006/relationships/hyperlink" Target="https://www.afhe.org/" TargetMode="External"/><Relationship Id="rId134" Type="http://schemas.openxmlformats.org/officeDocument/2006/relationships/hyperlink" Target="https://www.capta.org/" TargetMode="External"/><Relationship Id="rId135" Type="http://schemas.openxmlformats.org/officeDocument/2006/relationships/hyperlink" Target="https://www.cheaofca.org/" TargetMode="External"/><Relationship Id="rId136" Type="http://schemas.openxmlformats.org/officeDocument/2006/relationships/hyperlink" Target="https://first5association.org/" TargetMode="External"/><Relationship Id="rId137" Type="http://schemas.openxmlformats.org/officeDocument/2006/relationships/hyperlink" Target="https://www.floridapta.org/" TargetMode="External"/><Relationship Id="rId138" Type="http://schemas.openxmlformats.org/officeDocument/2006/relationships/hyperlink" Target="https://www.hsc.org/" TargetMode="External"/><Relationship Id="rId139" Type="http://schemas.openxmlformats.org/officeDocument/2006/relationships/hyperlink" Target="https://www.machemd.org/" TargetMode="External"/><Relationship Id="rId140" Type="http://schemas.openxmlformats.org/officeDocument/2006/relationships/hyperlink" Target="https://www.marylandarted.org/" TargetMode="External"/><Relationship Id="rId141" Type="http://schemas.openxmlformats.org/officeDocument/2006/relationships/hyperlink" Target="https://nyspta.org/" TargetMode="External"/><Relationship Id="rId142" Type="http://schemas.openxmlformats.org/officeDocument/2006/relationships/hyperlink" Target="https://thsc.org/" TargetMode="External"/><Relationship Id="rId143" Type="http://schemas.openxmlformats.org/officeDocument/2006/relationships/hyperlink" Target="https://www.txpta.org/" TargetMode="External"/><Relationship Id="rId144" Type="http://schemas.openxmlformats.org/officeDocument/2006/relationships/hyperlink" Target="https://www.vapta.org/" TargetMode="External"/><Relationship Id="rId145" Type="http://schemas.openxmlformats.org/officeDocument/2006/relationships/hyperlink" Target="https://www.chaponline.com/" TargetMode="External"/><Relationship Id="rId146" Type="http://schemas.openxmlformats.org/officeDocument/2006/relationships/hyperlink" Target="https://www.chec.org/" TargetMode="External"/><Relationship Id="rId147" Type="http://schemas.openxmlformats.org/officeDocument/2006/relationships/hyperlink" Target="https://www.nche.com/" TargetMode="External"/><Relationship Id="rId148" Type="http://schemas.openxmlformats.org/officeDocument/2006/relationships/hyperlink" Target="https://conference.txla.org/" TargetMode="External"/><Relationship Id="rId149" Type="http://schemas.openxmlformats.org/officeDocument/2006/relationships/hyperlink" Target="https://www.ecebc.ca/" TargetMode="External"/><Relationship Id="rId150" Type="http://schemas.openxmlformats.org/officeDocument/2006/relationships/hyperlink" Target="https://elaa.org.au/" TargetMode="External"/><Relationship Id="rId151" Type="http://schemas.openxmlformats.org/officeDocument/2006/relationships/hyperlink" Target="https://accessola.com/" TargetMode="External"/><Relationship Id="rId152" Type="http://schemas.openxmlformats.org/officeDocument/2006/relationships/hyperlink" Target="https://www.edutopia.org/about/your-turn-write-us" TargetMode="External"/><Relationship Id="rId153" Type="http://schemas.openxmlformats.org/officeDocument/2006/relationships/hyperlink" Target="https://www.getyourteachon.com/sponsors" TargetMode="External"/><Relationship Id="rId154" Type="http://schemas.openxmlformats.org/officeDocument/2006/relationships/hyperlink" Target="https://jcca.org/signature-programs-and-events/jsummit/" TargetMode="External"/><Relationship Id="rId155" Type="http://schemas.openxmlformats.org/officeDocument/2006/relationships/hyperlink" Target="https://publiccharters.org/conference/" TargetMode="External"/><Relationship Id="rId156" Type="http://schemas.openxmlformats.org/officeDocument/2006/relationships/hyperlink" Target="https://www.registryalliance.org/" TargetMode="External"/><Relationship Id="rId157" Type="http://schemas.openxmlformats.org/officeDocument/2006/relationships/hyperlink" Target="https://www.scholastic.com/profmedia/mediakit/rates.htm" TargetMode="External"/><Relationship Id="rId158" Type="http://schemas.openxmlformats.org/officeDocument/2006/relationships/hyperlink" Target="https://www.shapeamerica.org/" TargetMode="External"/><Relationship Id="rId159" Type="http://schemas.openxmlformats.org/officeDocument/2006/relationships/hyperlink" Target="https://montessori-ami.org/" TargetMode="External"/><Relationship Id="rId160" Type="http://schemas.openxmlformats.org/officeDocument/2006/relationships/hyperlink" Target="https://www.kdp.org/" TargetMode="External"/><Relationship Id="rId161" Type="http://schemas.openxmlformats.org/officeDocument/2006/relationships/hyperlink" Target="https://www.mochamoms.org/" TargetMode="External"/><Relationship Id="rId162" Type="http://schemas.openxmlformats.org/officeDocument/2006/relationships/hyperlink" Target="https://www.momsclub.org/" TargetMode="External"/><Relationship Id="rId163" Type="http://schemas.openxmlformats.org/officeDocument/2006/relationships/hyperlink" Target="https://www.screensanity.org/" TargetMode="External"/><Relationship Id="rId164" Type="http://schemas.openxmlformats.org/officeDocument/2006/relationships/hyperlink" Target="https://unidosus.org/" TargetMode="External"/><Relationship Id="rId165" Type="http://schemas.openxmlformats.org/officeDocument/2006/relationships/hyperlink" Target="https://aacte.org/" TargetMode="External"/><Relationship Id="rId166" Type="http://schemas.openxmlformats.org/officeDocument/2006/relationships/hyperlink" Target="https://www.actionforhealthykids.org/" TargetMode="External"/><Relationship Id="rId167" Type="http://schemas.openxmlformats.org/officeDocument/2006/relationships/hyperlink" Target="https://ceinternational1892.org/" TargetMode="External"/><Relationship Id="rId168" Type="http://schemas.openxmlformats.org/officeDocument/2006/relationships/hyperlink" Target="https://www.childrenandnature.org/" TargetMode="External"/><Relationship Id="rId169" Type="http://schemas.openxmlformats.org/officeDocument/2006/relationships/hyperlink" Target="https://www.colorincolorado.org/" TargetMode="External"/><Relationship Id="rId170" Type="http://schemas.openxmlformats.org/officeDocument/2006/relationships/hyperlink" Target="https://www.decsped.org/" TargetMode="External"/><Relationship Id="rId171" Type="http://schemas.openxmlformats.org/officeDocument/2006/relationships/hyperlink" Target="https://www.ecis.org/" TargetMode="External"/><Relationship Id="rId172" Type="http://schemas.openxmlformats.org/officeDocument/2006/relationships/hyperlink" Target="https://www.eecera.org/" TargetMode="External"/><Relationship Id="rId173" Type="http://schemas.openxmlformats.org/officeDocument/2006/relationships/hyperlink" Target="https://www.gu.org/" TargetMode="External"/><Relationship Id="rId174" Type="http://schemas.openxmlformats.org/officeDocument/2006/relationships/hyperlink" Target="https://www.kaipodlearning.com/" TargetMode="External"/><Relationship Id="rId175" Type="http://schemas.openxmlformats.org/officeDocument/2006/relationships/hyperlink" Target="https://letgrow.org/" TargetMode="External"/><Relationship Id="rId176" Type="http://schemas.openxmlformats.org/officeDocument/2006/relationships/hyperlink" Target="https://fathers.com/" TargetMode="External"/><Relationship Id="rId177" Type="http://schemas.openxmlformats.org/officeDocument/2006/relationships/hyperlink" Target="https://www.fatherhood.org/" TargetMode="External"/><Relationship Id="rId178" Type="http://schemas.openxmlformats.org/officeDocument/2006/relationships/hyperlink" Target="https://www.militaryfamily.org/" TargetMode="External"/><Relationship Id="rId179" Type="http://schemas.openxmlformats.org/officeDocument/2006/relationships/hyperlink" Target="https://omepworld.org/" TargetMode="External"/><Relationship Id="rId180" Type="http://schemas.openxmlformats.org/officeDocument/2006/relationships/hyperlink" Target="https://www.piqe.org/" TargetMode="External"/><Relationship Id="rId181" Type="http://schemas.openxmlformats.org/officeDocument/2006/relationships/hyperlink" Target="https://www.nesacenter.org/" TargetMode="External"/><Relationship Id="rId182" Type="http://schemas.openxmlformats.org/officeDocument/2006/relationships/hyperlink" Target="https://www.screenstrong.org/" TargetMode="External"/><Relationship Id="rId183" Type="http://schemas.openxmlformats.org/officeDocument/2006/relationships/hyperlink" Target="https://www.smartphonefreechildhoodus.com/" TargetMode="External"/><Relationship Id="rId184" Type="http://schemas.openxmlformats.org/officeDocument/2006/relationships/hyperlink" Target="https://anxiousgeneration.com/" TargetMode="External"/><Relationship Id="rId185" Type="http://schemas.openxmlformats.org/officeDocument/2006/relationships/hyperlink" Target="https://www.waituntil8th.org/" TargetMode="External"/><Relationship Id="rId186" Type="http://schemas.openxmlformats.org/officeDocument/2006/relationships/hyperlink" Target="https://www.wildflowerschools.org/" TargetMode="External"/><Relationship Id="rId187" Type="http://schemas.openxmlformats.org/officeDocument/2006/relationships/hyperlink" Target="https://www.literacyworldwide.org/" TargetMode="External"/><Relationship Id="rId188" Type="http://schemas.openxmlformats.org/officeDocument/2006/relationships/hyperlink" Target="https://smartphonefreechildhood.co.uk/" TargetMode="External"/><Relationship Id="rId189" Type="http://schemas.openxmlformats.org/officeDocument/2006/relationships/hyperlink" Target="https://www.waece.org/" TargetMode="External"/><Relationship Id="rId190" Type="http://schemas.openxmlformats.org/officeDocument/2006/relationships/hyperlink" Target="https://www.alia.org.au/" TargetMode="External"/><Relationship Id="rId191" Type="http://schemas.openxmlformats.org/officeDocument/2006/relationships/hyperlink" Target="https://asla.org.au/" TargetMode="External"/><Relationship Id="rId192" Type="http://schemas.openxmlformats.org/officeDocument/2006/relationships/hyperlink" Target="https://www.childcareexpo.co.uk/" TargetMode="External"/><Relationship Id="rId193" Type="http://schemas.openxmlformats.org/officeDocument/2006/relationships/hyperlink" Target="https://childrensbooksireland.ie/" TargetMode="External"/><Relationship Id="rId194" Type="http://schemas.openxmlformats.org/officeDocument/2006/relationships/hyperlink" Target="https://www.cilip.org.uk/" TargetMode="External"/><Relationship Id="rId195" Type="http://schemas.openxmlformats.org/officeDocument/2006/relationships/hyperlink" Target="https://www.earcos.org/" TargetMode="External"/><Relationship Id="rId196" Type="http://schemas.openxmlformats.org/officeDocument/2006/relationships/hyperlink" Target="https://www.early-years.org/" TargetMode="External"/><Relationship Id="rId197" Type="http://schemas.openxmlformats.org/officeDocument/2006/relationships/hyperlink" Target="https://www.earlyyears.wales/" TargetMode="External"/><Relationship Id="rId198" Type="http://schemas.openxmlformats.org/officeDocument/2006/relationships/hyperlink" Target="https://www.fcbg.org.uk/" TargetMode="External"/><Relationship Id="rId199" Type="http://schemas.openxmlformats.org/officeDocument/2006/relationships/hyperlink" Target="https://forestschoolassociation.org/" TargetMode="External"/><Relationship Id="rId200" Type="http://schemas.openxmlformats.org/officeDocument/2006/relationships/hyperlink" Target="https://www.lianza.org.nz/" TargetMode="External"/><Relationship Id="rId201" Type="http://schemas.openxmlformats.org/officeDocument/2006/relationships/hyperlink" Target="https://literacytrust.org.uk/" TargetMode="External"/><Relationship Id="rId202" Type="http://schemas.openxmlformats.org/officeDocument/2006/relationships/hyperlink" Target="https://www.npc.ie/" TargetMode="External"/><Relationship Id="rId203" Type="http://schemas.openxmlformats.org/officeDocument/2006/relationships/hyperlink" Target="https://www.sla.org.uk/" TargetMode="External"/><Relationship Id="rId204" Type="http://schemas.openxmlformats.org/officeDocument/2006/relationships/hyperlink" Target="https://www.steinerwaldorf.org/" TargetMode="External"/><Relationship Id="rId205" Type="http://schemas.openxmlformats.org/officeDocument/2006/relationships/hyperlink" Target="https://ukla.org/" TargetMode="External"/><Relationship Id="rId206" Type="http://schemas.openxmlformats.org/officeDocument/2006/relationships/hyperlink" Target="https://www.fil.com.mx/" TargetMode="External"/><Relationship Id="rId207" Type="http://schemas.openxmlformats.org/officeDocument/2006/relationships/hyperlink" Target="https://graduate.bankstreet.edu/educator-resources/conferences-institutes/kindergarten-conference/" TargetMode="External"/><Relationship Id="rId208" Type="http://schemas.openxmlformats.org/officeDocument/2006/relationships/hyperlink" Target="https://www.marylandfamilynetwork.org/for-providers-training/maryland-child-care-training-calendar-0" TargetMode="External"/><Relationship Id="rId209" Type="http://schemas.openxmlformats.org/officeDocument/2006/relationships/hyperlink" Target="https://www.familiesinschools.org/" TargetMode="External"/><Relationship Id="rId210" Type="http://schemas.openxmlformats.org/officeDocument/2006/relationships/hyperlink" Target="https://www.illinoispta.org/" TargetMode="External"/><Relationship Id="rId211" Type="http://schemas.openxmlformats.org/officeDocument/2006/relationships/hyperlink" Target="https://mdcharters.org/" TargetMode="External"/><Relationship Id="rId212" Type="http://schemas.openxmlformats.org/officeDocument/2006/relationships/hyperlink" Target="https://www.papta.org/" TargetMode="External"/><Relationship Id="rId213" Type="http://schemas.openxmlformats.org/officeDocument/2006/relationships/hyperlink" Target="https://www.aeceo.ca/" TargetMode="External"/><Relationship Id="rId214" Type="http://schemas.openxmlformats.org/officeDocument/2006/relationships/hyperlink" Target="https://www.aqcpe.com/" TargetMode="External"/><Relationship Id="rId215" Type="http://schemas.openxmlformats.org/officeDocument/2006/relationships/hyperlink" Target="https://www.cccinc.org.au/" TargetMode="External"/><Relationship Id="rId216" Type="http://schemas.openxmlformats.org/officeDocument/2006/relationships/hyperlink" Target="https://www.parentsvictoria.asn.au/" TargetMode="External"/><Relationship Id="rId217" Type="http://schemas.openxmlformats.org/officeDocument/2006/relationships/hyperlink" Target="https://www.iaswece.org/" TargetMode="External"/><Relationship Id="rId218" Type="http://schemas.openxmlformats.org/officeDocument/2006/relationships/hyperlink" Target="https://www.booktrust.org.uk/" TargetMode="External"/><Relationship Id="rId219" Type="http://schemas.openxmlformats.org/officeDocument/2006/relationships/hyperlink" Target="https://www.cccf-fcsge.ca/" TargetMode="External"/><Relationship Id="rId220" Type="http://schemas.openxmlformats.org/officeDocument/2006/relationships/hyperlink" Target="https://cfla-fcab.ca/" TargetMode="External"/><Relationship Id="rId221" Type="http://schemas.openxmlformats.org/officeDocument/2006/relationships/hyperlink" Target="https://canadianhomeandschool.ca/" TargetMode="External"/><Relationship Id="rId222" Type="http://schemas.openxmlformats.org/officeDocument/2006/relationships/hyperlink" Target="https://www.ceapa.es/" TargetMode="External"/><Relationship Id="rId223" Type="http://schemas.openxmlformats.org/officeDocument/2006/relationships/hyperlink" Target="https://omepworld.org/" TargetMode="External"/><Relationship Id="rId224" Type="http://schemas.openxmlformats.org/officeDocument/2006/relationships/hyperlink" Target="https://www.mdpta.org/" TargetMode="External"/><Relationship Id="rId225"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naeyc.org/get-involved/membership/affiliates/network" TargetMode="External"/><Relationship Id="rId2" Type="http://schemas.openxmlformats.org/officeDocument/2006/relationships/hyperlink" Target="https://nafcc.org/conference/sponsors-and-exhibitors/" TargetMode="External"/><Relationship Id="rId3" Type="http://schemas.openxmlformats.org/officeDocument/2006/relationships/hyperlink" Target="https://mdaeyc.org/" TargetMode="External"/><Relationship Id="rId4" Type="http://schemas.openxmlformats.org/officeDocument/2006/relationships/hyperlink" Target="https://www.msfcca.org/annualconference" TargetMode="External"/><Relationship Id="rId5" Type="http://schemas.openxmlformats.org/officeDocument/2006/relationships/hyperlink" Target="https://parentsasteachers.org/upcoming-events/" TargetMode="External"/><Relationship Id="rId6" Type="http://schemas.openxmlformats.org/officeDocument/2006/relationships/hyperlink" Target="https://nhsa.org/our-work/state-regional-associations/" TargetMode="External"/><Relationship Id="rId7" Type="http://schemas.openxmlformats.org/officeDocument/2006/relationships/hyperlink" Target="https://amshq.org/event/the-montessori-event-2027/" TargetMode="External"/><Relationship Id="rId8" Type="http://schemas.openxmlformats.org/officeDocument/2006/relationships/hyperlink" Target="https://www.earlylearningleaders.org/vendor/conference-exhibits-and-sponsorships/" TargetMode="External"/><Relationship Id="rId9" Type="http://schemas.openxmlformats.org/officeDocument/2006/relationships/hyperlink" Target="https://www.erafans.org/" TargetMode="External"/><Relationship Id="rId10" Type="http://schemas.openxmlformats.org/officeDocument/2006/relationships/hyperlink" Target="https://exchangepress.com/" TargetMode="External"/><Relationship Id="rId11" Type="http://schemas.openxmlformats.org/officeDocument/2006/relationships/hyperlink" Target="https://www.childcareaware.org/resources/ccrr-search/" TargetMode="External"/><Relationship Id="rId12" Type="http://schemas.openxmlformats.org/officeDocument/2006/relationships/hyperlink" Target="https://www.naeyc.org/events/annual/exhibiting-and-advertising" TargetMode="External"/><Relationship Id="rId13" Type="http://schemas.openxmlformats.org/officeDocument/2006/relationships/hyperlink" Target="https://nhsa.org/conference/national-head-start-conference-and-expo/" TargetMode="External"/><Relationship Id="rId14" Type="http://schemas.openxmlformats.org/officeDocument/2006/relationships/hyperlink" Target="https://naturalstart.org/" TargetMode="External"/><Relationship Id="rId15" Type="http://schemas.openxmlformats.org/officeDocument/2006/relationships/hyperlink" Target="https://waldorfearlychildhood.org/news-and-events/conferences/" TargetMode="External"/><Relationship Id="rId16" Type="http://schemas.openxmlformats.org/officeDocument/2006/relationships/hyperlink" Target="https://www.zerotothree.org/learn-conference/" TargetMode="External"/><Relationship Id="rId17" Type="http://schemas.openxmlformats.org/officeDocument/2006/relationships/hyperlink" Target="https://www.familieslearning.org/" TargetMode="External"/><Relationship Id="rId18" Type="http://schemas.openxmlformats.org/officeDocument/2006/relationships/hyperlink" Target="https://www.seca.info/exhibits" TargetMode="External"/><Relationship Id="rId19" Type="http://schemas.openxmlformats.org/officeDocument/2006/relationships/hyperlink" Target="https://www.dcaeyc.org/" TargetMode="External"/><Relationship Id="rId20" Type="http://schemas.openxmlformats.org/officeDocument/2006/relationships/hyperlink" Target="https://marylandfamilynetwork.org/our-work/child-care-resource-network/" TargetMode="External"/><Relationship Id="rId21" Type="http://schemas.openxmlformats.org/officeDocument/2006/relationships/hyperlink" Target="https://mscca.org/event/conference-by-the-sea/" TargetMode="External"/><Relationship Id="rId22" Type="http://schemas.openxmlformats.org/officeDocument/2006/relationships/hyperlink" Target="https://vaaeyc.org/events/annual-conference/" TargetMode="External"/><Relationship Id="rId23" Type="http://schemas.openxmlformats.org/officeDocument/2006/relationships/hyperlink" Target="https://mdearlychildhoodconference.com/" TargetMode="External"/><Relationship Id="rId24" Type="http://schemas.openxmlformats.org/officeDocument/2006/relationships/hyperlink" Target="https://www.md-hsa.org/" TargetMode="External"/><Relationship Id="rId25" Type="http://schemas.openxmlformats.org/officeDocument/2006/relationships/hyperlink" Target="https://www.publicwaldorf.org/annualconference" TargetMode="External"/><Relationship Id="rId26" Type="http://schemas.openxmlformats.org/officeDocument/2006/relationships/hyperlink" Target="https://acsi.org/events-and-community/exhibitor-and-advertiser-information" TargetMode="External"/><Relationship Id="rId27" Type="http://schemas.openxmlformats.org/officeDocument/2006/relationships/hyperlink" Target="https://www.childcareaware.org/" TargetMode="External"/><Relationship Id="rId28" Type="http://schemas.openxmlformats.org/officeDocument/2006/relationships/hyperlink" Target="https://dey.org/" TargetMode="External"/><Relationship Id="rId29" Type="http://schemas.openxmlformats.org/officeDocument/2006/relationships/hyperlink" Target="https://earlychildhoodchristiannetwork.com/conferences-3/" TargetMode="External"/><Relationship Id="rId30" Type="http://schemas.openxmlformats.org/officeDocument/2006/relationships/hyperlink" Target="https://www.earlychildhoodinvestigations.com/" TargetMode="External"/><Relationship Id="rId31" Type="http://schemas.openxmlformats.org/officeDocument/2006/relationships/hyperlink" Target="https://ecerjevents.com/" TargetMode="External"/><Relationship Id="rId32" Type="http://schemas.openxmlformats.org/officeDocument/2006/relationships/hyperlink" Target="https://www.hippyus.org/conference/" TargetMode="External"/><Relationship Id="rId33" Type="http://schemas.openxmlformats.org/officeDocument/2006/relationships/hyperlink" Target="https://www.public-montessori.org/" TargetMode="External"/><Relationship Id="rId34" Type="http://schemas.openxmlformats.org/officeDocument/2006/relationships/hyperlink" Target="https://www.reggioalliance.org/conferences/" TargetMode="External"/><Relationship Id="rId35" Type="http://schemas.openxmlformats.org/officeDocument/2006/relationships/hyperlink" Target="https://www.startearly.org/event/home-visiting-summit/sponsorship/" TargetMode="External"/><Relationship Id="rId36" Type="http://schemas.openxmlformats.org/officeDocument/2006/relationships/hyperlink" Target="https://www.amiusa.org/event/the-2027-montessori-experience-refresher-courses-and-more" TargetMode="External"/><Relationship Id="rId37" Type="http://schemas.openxmlformats.org/officeDocument/2006/relationships/hyperlink" Target="https://mo.lcms.org/early-childhood-conferences/" TargetMode="External"/><Relationship Id="rId38" Type="http://schemas.openxmlformats.org/officeDocument/2006/relationships/hyperlink" Target="https://www.healthyfamiliesamerica.org/" TargetMode="External"/><Relationship Id="rId39" Type="http://schemas.openxmlformats.org/officeDocument/2006/relationships/hyperlink" Target="https://www.nbcdi.org/" TargetMode="External"/><Relationship Id="rId40" Type="http://schemas.openxmlformats.org/officeDocument/2006/relationships/hyperlink" Target="https://www.waldorfeducation.org/" TargetMode="External"/><Relationship Id="rId41" Type="http://schemas.openxmlformats.org/officeDocument/2006/relationships/hyperlink" Target="https://www.nihsda.org/" TargetMode="External"/><Relationship Id="rId42" Type="http://schemas.openxmlformats.org/officeDocument/2006/relationships/hyperlink" Target="https://www.nmshsa.org/" TargetMode="External"/><Relationship Id="rId43" Type="http://schemas.openxmlformats.org/officeDocument/2006/relationships/hyperlink" Target="https://usplaycoalition.org/" TargetMode="External"/><Relationship Id="rId44" Type="http://schemas.openxmlformats.org/officeDocument/2006/relationships/hyperlink" Target="https://first5association.org/" TargetMode="External"/><Relationship Id="rId45" Type="http://schemas.openxmlformats.org/officeDocument/2006/relationships/hyperlink" Target="https://jcca.org/signature-programs-and-events/jsummit/" TargetMode="External"/><Relationship Id="rId46" Type="http://schemas.openxmlformats.org/officeDocument/2006/relationships/hyperlink" Target="https://www.registryalliance.org/" TargetMode="External"/><Relationship Id="rId47" Type="http://schemas.openxmlformats.org/officeDocument/2006/relationships/hyperlink" Target="https://www.decsped.org/" TargetMode="External"/><Relationship Id="rId48" Type="http://schemas.openxmlformats.org/officeDocument/2006/relationships/hyperlink" Target="https://www.marylandfamilynetwork.org/for-providers-training/maryland-child-care-training-calendar-0" TargetMode="External"/><Relationship Id="rId49"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www.ibpa-online.org/" TargetMode="External"/><Relationship Id="rId2" Type="http://schemas.openxmlformats.org/officeDocument/2006/relationships/hyperlink" Target="https://www.ptotoday.com/" TargetMode="External"/><Relationship Id="rId3" Type="http://schemas.openxmlformats.org/officeDocument/2006/relationships/hyperlink" Target="https://waldorfearlychildhood.org/" TargetMode="External"/><Relationship Id="rId4" Type="http://schemas.openxmlformats.org/officeDocument/2006/relationships/hyperlink" Target="https://www.aimsmddc.org/" TargetMode="External"/><Relationship Id="rId5" Type="http://schemas.openxmlformats.org/officeDocument/2006/relationships/hyperlink" Target="https://www.mdlib.org/" TargetMode="External"/><Relationship Id="rId6" Type="http://schemas.openxmlformats.org/officeDocument/2006/relationships/hyperlink" Target="https://www.ala.org/aasl" TargetMode="External"/><Relationship Id="rId7" Type="http://schemas.openxmlformats.org/officeDocument/2006/relationships/hyperlink" Target="https://amshq.org/" TargetMode="External"/><Relationship Id="rId8" Type="http://schemas.openxmlformats.org/officeDocument/2006/relationships/hyperlink" Target="https://www.ala.org/alsc" TargetMode="External"/><Relationship Id="rId9" Type="http://schemas.openxmlformats.org/officeDocument/2006/relationships/hyperlink" Target="https://www.juniorlibraryguild.com/publishers" TargetMode="External"/><Relationship Id="rId10" Type="http://schemas.openxmlformats.org/officeDocument/2006/relationships/hyperlink" Target="https://home.mackin.com/publisher-showcase/" TargetMode="External"/><Relationship Id="rId11" Type="http://schemas.openxmlformats.org/officeDocument/2006/relationships/hyperlink" Target="https://www.nais.org/" TargetMode="External"/><Relationship Id="rId12" Type="http://schemas.openxmlformats.org/officeDocument/2006/relationships/hyperlink" Target="https://www.naesp.org/" TargetMode="External"/><Relationship Id="rId13" Type="http://schemas.openxmlformats.org/officeDocument/2006/relationships/hyperlink" Target="https://www.follettcontent.com/" TargetMode="External"/><Relationship Id="rId14" Type="http://schemas.openxmlformats.org/officeDocument/2006/relationships/hyperlink" Target="https://maespmd.org/" TargetMode="External"/><Relationship Id="rId15" Type="http://schemas.openxmlformats.org/officeDocument/2006/relationships/hyperlink" Target="https://www.maslmd.org/" TargetMode="External"/><Relationship Id="rId16" Type="http://schemas.openxmlformats.org/officeDocument/2006/relationships/hyperlink" Target="https://www.somla.online/" TargetMode="External"/><Relationship Id="rId17" Type="http://schemas.openxmlformats.org/officeDocument/2006/relationships/hyperlink" Target="https://www.thereadingleague.org/" TargetMode="External"/><Relationship Id="rId18" Type="http://schemas.openxmlformats.org/officeDocument/2006/relationships/hyperlink" Target="https://www.schoolcounselor.org/" TargetMode="External"/><Relationship Id="rId19" Type="http://schemas.openxmlformats.org/officeDocument/2006/relationships/hyperlink" Target="https://www.acsi.org/" TargetMode="External"/><Relationship Id="rId20" Type="http://schemas.openxmlformats.org/officeDocument/2006/relationships/hyperlink" Target="https://www.booklistonline.com/" TargetMode="External"/><Relationship Id="rId21" Type="http://schemas.openxmlformats.org/officeDocument/2006/relationships/hyperlink" Target="https://cbcbooks.org/" TargetMode="External"/><Relationship Id="rId22" Type="http://schemas.openxmlformats.org/officeDocument/2006/relationships/hyperlink" Target="https://www.kirkusreviews.com/indie-reviews/" TargetMode="External"/><Relationship Id="rId23" Type="http://schemas.openxmlformats.org/officeDocument/2006/relationships/hyperlink" Target="https://www.arteducators.org/" TargetMode="External"/><Relationship Id="rId24" Type="http://schemas.openxmlformats.org/officeDocument/2006/relationships/hyperlink" Target="https://www.episcopalschools.org/" TargetMode="External"/><Relationship Id="rId25" Type="http://schemas.openxmlformats.org/officeDocument/2006/relationships/hyperlink" Target="https://ncea.org/" TargetMode="External"/><Relationship Id="rId26" Type="http://schemas.openxmlformats.org/officeDocument/2006/relationships/hyperlink" Target="https://prizmah.org/" TargetMode="External"/><Relationship Id="rId27" Type="http://schemas.openxmlformats.org/officeDocument/2006/relationships/hyperlink" Target="https://www.placonference.org/" TargetMode="External"/><Relationship Id="rId28" Type="http://schemas.openxmlformats.org/officeDocument/2006/relationships/hyperlink" Target="https://www.slj.com/" TargetMode="External"/><Relationship Id="rId29" Type="http://schemas.openxmlformats.org/officeDocument/2006/relationships/hyperlink" Target="https://www.weareteachers.com/advertise-with-weareteachers/" TargetMode="External"/><Relationship Id="rId30" Type="http://schemas.openxmlformats.org/officeDocument/2006/relationships/hyperlink" Target="https://2027.alaannual.org/" TargetMode="External"/><Relationship Id="rId31" Type="http://schemas.openxmlformats.org/officeDocument/2006/relationships/hyperlink" Target="https://convention.ncte.org/" TargetMode="External"/><Relationship Id="rId32" Type="http://schemas.openxmlformats.org/officeDocument/2006/relationships/hyperlink" Target="https://www.waldorfeducation.org/" TargetMode="External"/><Relationship Id="rId33" Type="http://schemas.openxmlformats.org/officeDocument/2006/relationships/hyperlink" Target="https://dey.org/" TargetMode="External"/><Relationship Id="rId34" Type="http://schemas.openxmlformats.org/officeDocument/2006/relationships/hyperlink" Target="https://firstbook.org/partners/" TargetMode="External"/><Relationship Id="rId35" Type="http://schemas.openxmlformats.org/officeDocument/2006/relationships/hyperlink" Target="https://adwcatholicschools.org/" TargetMode="External"/><Relationship Id="rId36" Type="http://schemas.openxmlformats.org/officeDocument/2006/relationships/hyperlink" Target="https://www.archbalt.org/schools/" TargetMode="External"/><Relationship Id="rId37" Type="http://schemas.openxmlformats.org/officeDocument/2006/relationships/hyperlink" Target="https://www.palibraries.org/" TargetMode="External"/><Relationship Id="rId38" Type="http://schemas.openxmlformats.org/officeDocument/2006/relationships/hyperlink" Target="https://www.vla.org/" TargetMode="External"/><Relationship Id="rId39" Type="http://schemas.openxmlformats.org/officeDocument/2006/relationships/hyperlink" Target="https://californiakindergartenassociation.org/" TargetMode="External"/><Relationship Id="rId40" Type="http://schemas.openxmlformats.org/officeDocument/2006/relationships/hyperlink" Target="https://www.mscaonline.org/" TargetMode="External"/><Relationship Id="rId41" Type="http://schemas.openxmlformats.org/officeDocument/2006/relationships/hyperlink" Target="https://www.marylandarted.org/" TargetMode="External"/><Relationship Id="rId42" Type="http://schemas.openxmlformats.org/officeDocument/2006/relationships/hyperlink" Target="https://conference.txla.org/" TargetMode="External"/><Relationship Id="rId43" Type="http://schemas.openxmlformats.org/officeDocument/2006/relationships/hyperlink" Target="https://www.edutopia.org/about/your-turn-write-us" TargetMode="External"/><Relationship Id="rId44" Type="http://schemas.openxmlformats.org/officeDocument/2006/relationships/hyperlink" Target="https://www.getyourteachon.com/sponsors" TargetMode="External"/><Relationship Id="rId45" Type="http://schemas.openxmlformats.org/officeDocument/2006/relationships/hyperlink" Target="https://publiccharters.org/conference/" TargetMode="External"/><Relationship Id="rId46" Type="http://schemas.openxmlformats.org/officeDocument/2006/relationships/hyperlink" Target="https://www.scholastic.com/profmedia/mediakit/rates.htm" TargetMode="External"/><Relationship Id="rId47" Type="http://schemas.openxmlformats.org/officeDocument/2006/relationships/hyperlink" Target="https://www.shapeamerica.org/" TargetMode="External"/><Relationship Id="rId48" Type="http://schemas.openxmlformats.org/officeDocument/2006/relationships/hyperlink" Target="https://www.kdp.org/" TargetMode="External"/><Relationship Id="rId49" Type="http://schemas.openxmlformats.org/officeDocument/2006/relationships/hyperlink" Target="https://aacte.org/" TargetMode="External"/><Relationship Id="rId50" Type="http://schemas.openxmlformats.org/officeDocument/2006/relationships/hyperlink" Target="https://www.actionforhealthykids.org/" TargetMode="External"/><Relationship Id="rId51" Type="http://schemas.openxmlformats.org/officeDocument/2006/relationships/hyperlink" Target="https://www.literacyworldwide.org/" TargetMode="External"/><Relationship Id="rId52" Type="http://schemas.openxmlformats.org/officeDocument/2006/relationships/hyperlink" Target="https://graduate.bankstreet.edu/educator-resources/conferences-institutes/kindergarten-conference/" TargetMode="External"/><Relationship Id="rId53" Type="http://schemas.openxmlformats.org/officeDocument/2006/relationships/hyperlink" Target="https://mdcharters.org/" TargetMode="External"/><Relationship Id="rId54"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www.ptotoday.com/" TargetMode="External"/><Relationship Id="rId2" Type="http://schemas.openxmlformats.org/officeDocument/2006/relationships/hyperlink" Target="https://1000booksbeforekindergarten.org/" TargetMode="External"/><Relationship Id="rId3" Type="http://schemas.openxmlformats.org/officeDocument/2006/relationships/hyperlink" Target="https://classwallet.com/" TargetMode="External"/><Relationship Id="rId4" Type="http://schemas.openxmlformats.org/officeDocument/2006/relationships/hyperlink" Target="https://greathomeschoolconventions.com/" TargetMode="External"/><Relationship Id="rId5" Type="http://schemas.openxmlformats.org/officeDocument/2006/relationships/hyperlink" Target="https://microschoolingcenter.org/" TargetMode="External"/><Relationship Id="rId6" Type="http://schemas.openxmlformats.org/officeDocument/2006/relationships/hyperlink" Target="https://withodyssey.com/" TargetMode="External"/><Relationship Id="rId7" Type="http://schemas.openxmlformats.org/officeDocument/2006/relationships/hyperlink" Target="https://www.bewildandfree.org/" TargetMode="External"/><Relationship Id="rId8" Type="http://schemas.openxmlformats.org/officeDocument/2006/relationships/hyperlink" Target="https://www.1000hoursoutside.com/" TargetMode="External"/><Relationship Id="rId9" Type="http://schemas.openxmlformats.org/officeDocument/2006/relationships/hyperlink" Target="https://www.homeschoolbuyersco-op.org/" TargetMode="External"/><Relationship Id="rId10" Type="http://schemas.openxmlformats.org/officeDocument/2006/relationships/hyperlink" Target="https://heav.org/" TargetMode="External"/><Relationship Id="rId11" Type="http://schemas.openxmlformats.org/officeDocument/2006/relationships/hyperlink" Target="https://fpea.com/" TargetMode="External"/><Relationship Id="rId12" Type="http://schemas.openxmlformats.org/officeDocument/2006/relationships/hyperlink" Target="https://www.pta.org/" TargetMode="External"/><Relationship Id="rId13" Type="http://schemas.openxmlformats.org/officeDocument/2006/relationships/hyperlink" Target="https://screenfree.org/" TargetMode="External"/><Relationship Id="rId14" Type="http://schemas.openxmlformats.org/officeDocument/2006/relationships/hyperlink" Target="https://www.allprodad.com/" TargetMode="External"/><Relationship Id="rId15" Type="http://schemas.openxmlformats.org/officeDocument/2006/relationships/hyperlink" Target="https://bluestarfam.org/" TargetMode="External"/><Relationship Id="rId16" Type="http://schemas.openxmlformats.org/officeDocument/2006/relationships/hyperlink" Target="https://www.themom.co/" TargetMode="External"/><Relationship Id="rId17" Type="http://schemas.openxmlformats.org/officeDocument/2006/relationships/hyperlink" Target="https://www.multiplesofamerica.org/" TargetMode="External"/><Relationship Id="rId18" Type="http://schemas.openxmlformats.org/officeDocument/2006/relationships/hyperlink" Target="https://www.ap-od.org/" TargetMode="External"/><Relationship Id="rId19" Type="http://schemas.openxmlformats.org/officeDocument/2006/relationships/hyperlink" Target="https://www.asymca.org/" TargetMode="External"/><Relationship Id="rId20" Type="http://schemas.openxmlformats.org/officeDocument/2006/relationships/hyperlink" Target="https://www.homeschool.com/" TargetMode="External"/><Relationship Id="rId21" Type="http://schemas.openxmlformats.org/officeDocument/2006/relationships/hyperlink" Target="https://hslda.org/" TargetMode="External"/><Relationship Id="rId22" Type="http://schemas.openxmlformats.org/officeDocument/2006/relationships/hyperlink" Target="https://www.militarychild.org/" TargetMode="External"/><Relationship Id="rId23" Type="http://schemas.openxmlformats.org/officeDocument/2006/relationships/hyperlink" Target="https://www.nafsce.org/" TargetMode="External"/><Relationship Id="rId24" Type="http://schemas.openxmlformats.org/officeDocument/2006/relationships/hyperlink" Target="https://www.nationaldayofunplugging.com/" TargetMode="External"/><Relationship Id="rId25" Type="http://schemas.openxmlformats.org/officeDocument/2006/relationships/hyperlink" Target="https://www.operationhomefront.org/" TargetMode="External"/><Relationship Id="rId26" Type="http://schemas.openxmlformats.org/officeDocument/2006/relationships/hyperlink" Target="https://www.seahomeschoolers.com/" TargetMode="External"/><Relationship Id="rId27" Type="http://schemas.openxmlformats.org/officeDocument/2006/relationships/hyperlink" Target="https://www.teachthemdiligently.net/" TargetMode="External"/><Relationship Id="rId28" Type="http://schemas.openxmlformats.org/officeDocument/2006/relationships/hyperlink" Target="https://www.theoldschoolhouse.com/" TargetMode="External"/><Relationship Id="rId29" Type="http://schemas.openxmlformats.org/officeDocument/2006/relationships/hyperlink" Target="https://www.wastatepta.org/" TargetMode="External"/><Relationship Id="rId30" Type="http://schemas.openxmlformats.org/officeDocument/2006/relationships/hyperlink" Target="https://www.afhe.org/" TargetMode="External"/><Relationship Id="rId31" Type="http://schemas.openxmlformats.org/officeDocument/2006/relationships/hyperlink" Target="https://www.capta.org/" TargetMode="External"/><Relationship Id="rId32" Type="http://schemas.openxmlformats.org/officeDocument/2006/relationships/hyperlink" Target="https://www.cheaofca.org/" TargetMode="External"/><Relationship Id="rId33" Type="http://schemas.openxmlformats.org/officeDocument/2006/relationships/hyperlink" Target="https://www.floridapta.org/" TargetMode="External"/><Relationship Id="rId34" Type="http://schemas.openxmlformats.org/officeDocument/2006/relationships/hyperlink" Target="https://www.hsc.org/" TargetMode="External"/><Relationship Id="rId35" Type="http://schemas.openxmlformats.org/officeDocument/2006/relationships/hyperlink" Target="https://www.machemd.org/" TargetMode="External"/><Relationship Id="rId36" Type="http://schemas.openxmlformats.org/officeDocument/2006/relationships/hyperlink" Target="https://nyspta.org/" TargetMode="External"/><Relationship Id="rId37" Type="http://schemas.openxmlformats.org/officeDocument/2006/relationships/hyperlink" Target="https://thsc.org/" TargetMode="External"/><Relationship Id="rId38" Type="http://schemas.openxmlformats.org/officeDocument/2006/relationships/hyperlink" Target="https://www.txpta.org/" TargetMode="External"/><Relationship Id="rId39" Type="http://schemas.openxmlformats.org/officeDocument/2006/relationships/hyperlink" Target="https://www.vapta.org/" TargetMode="External"/><Relationship Id="rId40" Type="http://schemas.openxmlformats.org/officeDocument/2006/relationships/hyperlink" Target="https://www.chaponline.com/" TargetMode="External"/><Relationship Id="rId41" Type="http://schemas.openxmlformats.org/officeDocument/2006/relationships/hyperlink" Target="https://www.chec.org/" TargetMode="External"/><Relationship Id="rId42" Type="http://schemas.openxmlformats.org/officeDocument/2006/relationships/hyperlink" Target="https://www.nche.com/" TargetMode="External"/><Relationship Id="rId43" Type="http://schemas.openxmlformats.org/officeDocument/2006/relationships/hyperlink" Target="https://www.mochamoms.org/" TargetMode="External"/><Relationship Id="rId44" Type="http://schemas.openxmlformats.org/officeDocument/2006/relationships/hyperlink" Target="https://www.momsclub.org/" TargetMode="External"/><Relationship Id="rId45" Type="http://schemas.openxmlformats.org/officeDocument/2006/relationships/hyperlink" Target="https://www.screensanity.org/" TargetMode="External"/><Relationship Id="rId46" Type="http://schemas.openxmlformats.org/officeDocument/2006/relationships/hyperlink" Target="https://unidosus.org/" TargetMode="External"/><Relationship Id="rId47" Type="http://schemas.openxmlformats.org/officeDocument/2006/relationships/hyperlink" Target="https://www.childrenandnature.org/" TargetMode="External"/><Relationship Id="rId48" Type="http://schemas.openxmlformats.org/officeDocument/2006/relationships/hyperlink" Target="https://www.colorincolorado.org/" TargetMode="External"/><Relationship Id="rId49" Type="http://schemas.openxmlformats.org/officeDocument/2006/relationships/hyperlink" Target="https://www.gu.org/" TargetMode="External"/><Relationship Id="rId50" Type="http://schemas.openxmlformats.org/officeDocument/2006/relationships/hyperlink" Target="https://www.kaipodlearning.com/" TargetMode="External"/><Relationship Id="rId51" Type="http://schemas.openxmlformats.org/officeDocument/2006/relationships/hyperlink" Target="https://letgrow.org/" TargetMode="External"/><Relationship Id="rId52" Type="http://schemas.openxmlformats.org/officeDocument/2006/relationships/hyperlink" Target="https://fathers.com/" TargetMode="External"/><Relationship Id="rId53" Type="http://schemas.openxmlformats.org/officeDocument/2006/relationships/hyperlink" Target="https://www.fatherhood.org/" TargetMode="External"/><Relationship Id="rId54" Type="http://schemas.openxmlformats.org/officeDocument/2006/relationships/hyperlink" Target="https://www.militaryfamily.org/" TargetMode="External"/><Relationship Id="rId55" Type="http://schemas.openxmlformats.org/officeDocument/2006/relationships/hyperlink" Target="https://www.piqe.org/" TargetMode="External"/><Relationship Id="rId56" Type="http://schemas.openxmlformats.org/officeDocument/2006/relationships/hyperlink" Target="https://www.screenstrong.org/" TargetMode="External"/><Relationship Id="rId57" Type="http://schemas.openxmlformats.org/officeDocument/2006/relationships/hyperlink" Target="https://www.smartphonefreechildhoodus.com/" TargetMode="External"/><Relationship Id="rId58" Type="http://schemas.openxmlformats.org/officeDocument/2006/relationships/hyperlink" Target="https://anxiousgeneration.com/" TargetMode="External"/><Relationship Id="rId59" Type="http://schemas.openxmlformats.org/officeDocument/2006/relationships/hyperlink" Target="https://www.waituntil8th.org/" TargetMode="External"/><Relationship Id="rId60" Type="http://schemas.openxmlformats.org/officeDocument/2006/relationships/hyperlink" Target="https://www.wildflowerschools.org/" TargetMode="External"/><Relationship Id="rId61" Type="http://schemas.openxmlformats.org/officeDocument/2006/relationships/hyperlink" Target="https://www.familiesinschools.org/" TargetMode="External"/><Relationship Id="rId62" Type="http://schemas.openxmlformats.org/officeDocument/2006/relationships/hyperlink" Target="https://www.illinoispta.org/" TargetMode="External"/><Relationship Id="rId63" Type="http://schemas.openxmlformats.org/officeDocument/2006/relationships/hyperlink" Target="https://www.papta.org/" TargetMode="External"/><Relationship Id="rId64" Type="http://schemas.openxmlformats.org/officeDocument/2006/relationships/hyperlink" Target="https://www.mdpta.org/" TargetMode="External"/><Relationship Id="rId65"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www.pacey.org.uk/" TargetMode="External"/><Relationship Id="rId2" Type="http://schemas.openxmlformats.org/officeDocument/2006/relationships/hyperlink" Target="https://www.playgroupaustralia.org.au/" TargetMode="External"/><Relationship Id="rId3" Type="http://schemas.openxmlformats.org/officeDocument/2006/relationships/hyperlink" Target="https://www.earlychildhoodaustralia.org.au/" TargetMode="External"/><Relationship Id="rId4" Type="http://schemas.openxmlformats.org/officeDocument/2006/relationships/hyperlink" Target="https://www.earlychildhoodireland.ie/" TargetMode="External"/><Relationship Id="rId5" Type="http://schemas.openxmlformats.org/officeDocument/2006/relationships/hyperlink" Target="https://www.eyalliance.org.uk/" TargetMode="External"/><Relationship Id="rId6" Type="http://schemas.openxmlformats.org/officeDocument/2006/relationships/hyperlink" Target="https://www.familydaycare.com.au/" TargetMode="External"/><Relationship Id="rId7" Type="http://schemas.openxmlformats.org/officeDocument/2006/relationships/hyperlink" Target="https://www.nurseryworld.co.uk/" TargetMode="External"/><Relationship Id="rId8" Type="http://schemas.openxmlformats.org/officeDocument/2006/relationships/hyperlink" Target="https://www.teachwire.net/" TargetMode="External"/><Relationship Id="rId9" Type="http://schemas.openxmlformats.org/officeDocument/2006/relationships/hyperlink" Target="https://www.cobis.org.uk/" TargetMode="External"/><Relationship Id="rId10" Type="http://schemas.openxmlformats.org/officeDocument/2006/relationships/hyperlink" Target="https://childcarealliance.org.au/" TargetMode="External"/><Relationship Id="rId11" Type="http://schemas.openxmlformats.org/officeDocument/2006/relationships/hyperlink" Target="https://www.childminding.ie/" TargetMode="External"/><Relationship Id="rId12" Type="http://schemas.openxmlformats.org/officeDocument/2006/relationships/hyperlink" Target="https://www.cela.org.au/" TargetMode="External"/><Relationship Id="rId13" Type="http://schemas.openxmlformats.org/officeDocument/2006/relationships/hyperlink" Target="https://www.ecc.org.nz/" TargetMode="External"/><Relationship Id="rId14" Type="http://schemas.openxmlformats.org/officeDocument/2006/relationships/hyperlink" Target="https://early-education.org.uk/" TargetMode="External"/><Relationship Id="rId15" Type="http://schemas.openxmlformats.org/officeDocument/2006/relationships/hyperlink" Target="https://earlyyearsscotland.org/" TargetMode="External"/><Relationship Id="rId16" Type="http://schemas.openxmlformats.org/officeDocument/2006/relationships/hyperlink" Target="https://frp.ca/" TargetMode="External"/><Relationship Id="rId17" Type="http://schemas.openxmlformats.org/officeDocument/2006/relationships/hyperlink" Target="https://www.ippn.ie/" TargetMode="External"/><Relationship Id="rId18" Type="http://schemas.openxmlformats.org/officeDocument/2006/relationships/hyperlink" Target="https://www.montessori.org.uk/" TargetMode="External"/><Relationship Id="rId19" Type="http://schemas.openxmlformats.org/officeDocument/2006/relationships/hyperlink" Target="https://ndna.org.uk/" TargetMode="External"/><Relationship Id="rId20" Type="http://schemas.openxmlformats.org/officeDocument/2006/relationships/hyperlink" Target="https://www.nicma.org/" TargetMode="External"/><Relationship Id="rId21" Type="http://schemas.openxmlformats.org/officeDocument/2006/relationships/hyperlink" Target="https://www.parenta.com/" TargetMode="External"/><Relationship Id="rId22" Type="http://schemas.openxmlformats.org/officeDocument/2006/relationships/hyperlink" Target="https://www.parentkind.org.uk/" TargetMode="External"/><Relationship Id="rId23" Type="http://schemas.openxmlformats.org/officeDocument/2006/relationships/hyperlink" Target="https://www.playcentre.org.nz/" TargetMode="External"/><Relationship Id="rId24" Type="http://schemas.openxmlformats.org/officeDocument/2006/relationships/hyperlink" Target="https://www.childminding.org/" TargetMode="External"/><Relationship Id="rId25" Type="http://schemas.openxmlformats.org/officeDocument/2006/relationships/hyperlink" Target="https://www.ecnz.ac.nz/" TargetMode="External"/><Relationship Id="rId26" Type="http://schemas.openxmlformats.org/officeDocument/2006/relationships/hyperlink" Target="https://thesector.com.au/" TargetMode="External"/><Relationship Id="rId27" Type="http://schemas.openxmlformats.org/officeDocument/2006/relationships/hyperlink" Target="https://www.ecebc.ca/" TargetMode="External"/><Relationship Id="rId28" Type="http://schemas.openxmlformats.org/officeDocument/2006/relationships/hyperlink" Target="https://elaa.org.au/" TargetMode="External"/><Relationship Id="rId29" Type="http://schemas.openxmlformats.org/officeDocument/2006/relationships/hyperlink" Target="https://accessola.com/" TargetMode="External"/><Relationship Id="rId30" Type="http://schemas.openxmlformats.org/officeDocument/2006/relationships/hyperlink" Target="https://montessori-ami.org/" TargetMode="External"/><Relationship Id="rId31" Type="http://schemas.openxmlformats.org/officeDocument/2006/relationships/hyperlink" Target="https://ceinternational1892.org/" TargetMode="External"/><Relationship Id="rId32" Type="http://schemas.openxmlformats.org/officeDocument/2006/relationships/hyperlink" Target="https://www.ecis.org/" TargetMode="External"/><Relationship Id="rId33" Type="http://schemas.openxmlformats.org/officeDocument/2006/relationships/hyperlink" Target="https://www.eecera.org/" TargetMode="External"/><Relationship Id="rId34" Type="http://schemas.openxmlformats.org/officeDocument/2006/relationships/hyperlink" Target="https://omepworld.org/" TargetMode="External"/><Relationship Id="rId35" Type="http://schemas.openxmlformats.org/officeDocument/2006/relationships/hyperlink" Target="https://www.nesacenter.org/" TargetMode="External"/><Relationship Id="rId36" Type="http://schemas.openxmlformats.org/officeDocument/2006/relationships/hyperlink" Target="https://smartphonefreechildhood.co.uk/" TargetMode="External"/><Relationship Id="rId37" Type="http://schemas.openxmlformats.org/officeDocument/2006/relationships/hyperlink" Target="https://www.waece.org/" TargetMode="External"/><Relationship Id="rId38" Type="http://schemas.openxmlformats.org/officeDocument/2006/relationships/hyperlink" Target="https://www.alia.org.au/" TargetMode="External"/><Relationship Id="rId39" Type="http://schemas.openxmlformats.org/officeDocument/2006/relationships/hyperlink" Target="https://asla.org.au/" TargetMode="External"/><Relationship Id="rId40" Type="http://schemas.openxmlformats.org/officeDocument/2006/relationships/hyperlink" Target="https://www.childcareexpo.co.uk/" TargetMode="External"/><Relationship Id="rId41" Type="http://schemas.openxmlformats.org/officeDocument/2006/relationships/hyperlink" Target="https://childrensbooksireland.ie/" TargetMode="External"/><Relationship Id="rId42" Type="http://schemas.openxmlformats.org/officeDocument/2006/relationships/hyperlink" Target="https://www.cilip.org.uk/" TargetMode="External"/><Relationship Id="rId43" Type="http://schemas.openxmlformats.org/officeDocument/2006/relationships/hyperlink" Target="https://www.earcos.org/" TargetMode="External"/><Relationship Id="rId44" Type="http://schemas.openxmlformats.org/officeDocument/2006/relationships/hyperlink" Target="https://www.early-years.org/" TargetMode="External"/><Relationship Id="rId45" Type="http://schemas.openxmlformats.org/officeDocument/2006/relationships/hyperlink" Target="https://www.earlyyears.wales/" TargetMode="External"/><Relationship Id="rId46" Type="http://schemas.openxmlformats.org/officeDocument/2006/relationships/hyperlink" Target="https://www.fcbg.org.uk/" TargetMode="External"/><Relationship Id="rId47" Type="http://schemas.openxmlformats.org/officeDocument/2006/relationships/hyperlink" Target="https://forestschoolassociation.org/" TargetMode="External"/><Relationship Id="rId48" Type="http://schemas.openxmlformats.org/officeDocument/2006/relationships/hyperlink" Target="https://www.lianza.org.nz/" TargetMode="External"/><Relationship Id="rId49" Type="http://schemas.openxmlformats.org/officeDocument/2006/relationships/hyperlink" Target="https://literacytrust.org.uk/" TargetMode="External"/><Relationship Id="rId50" Type="http://schemas.openxmlformats.org/officeDocument/2006/relationships/hyperlink" Target="https://www.npc.ie/" TargetMode="External"/><Relationship Id="rId51" Type="http://schemas.openxmlformats.org/officeDocument/2006/relationships/hyperlink" Target="https://www.sla.org.uk/" TargetMode="External"/><Relationship Id="rId52" Type="http://schemas.openxmlformats.org/officeDocument/2006/relationships/hyperlink" Target="https://www.steinerwaldorf.org/" TargetMode="External"/><Relationship Id="rId53" Type="http://schemas.openxmlformats.org/officeDocument/2006/relationships/hyperlink" Target="https://ukla.org/" TargetMode="External"/><Relationship Id="rId54" Type="http://schemas.openxmlformats.org/officeDocument/2006/relationships/hyperlink" Target="https://www.fil.com.mx/" TargetMode="External"/><Relationship Id="rId55" Type="http://schemas.openxmlformats.org/officeDocument/2006/relationships/hyperlink" Target="https://www.aeceo.ca/" TargetMode="External"/><Relationship Id="rId56" Type="http://schemas.openxmlformats.org/officeDocument/2006/relationships/hyperlink" Target="https://www.aqcpe.com/" TargetMode="External"/><Relationship Id="rId57" Type="http://schemas.openxmlformats.org/officeDocument/2006/relationships/hyperlink" Target="https://www.cccinc.org.au/" TargetMode="External"/><Relationship Id="rId58" Type="http://schemas.openxmlformats.org/officeDocument/2006/relationships/hyperlink" Target="https://www.parentsvictoria.asn.au/" TargetMode="External"/><Relationship Id="rId59" Type="http://schemas.openxmlformats.org/officeDocument/2006/relationships/hyperlink" Target="https://www.iaswece.org/" TargetMode="External"/><Relationship Id="rId60" Type="http://schemas.openxmlformats.org/officeDocument/2006/relationships/hyperlink" Target="https://www.booktrust.org.uk/" TargetMode="External"/><Relationship Id="rId61" Type="http://schemas.openxmlformats.org/officeDocument/2006/relationships/hyperlink" Target="https://www.cccf-fcsge.ca/" TargetMode="External"/><Relationship Id="rId62" Type="http://schemas.openxmlformats.org/officeDocument/2006/relationships/hyperlink" Target="https://cfla-fcab.ca/" TargetMode="External"/><Relationship Id="rId63" Type="http://schemas.openxmlformats.org/officeDocument/2006/relationships/hyperlink" Target="https://canadianhomeandschool.ca/" TargetMode="External"/><Relationship Id="rId64" Type="http://schemas.openxmlformats.org/officeDocument/2006/relationships/hyperlink" Target="https://www.ceapa.es/" TargetMode="External"/><Relationship Id="rId65" Type="http://schemas.openxmlformats.org/officeDocument/2006/relationships/hyperlink" Target="https://omepworld.org/" TargetMode="External"/><Relationship Id="rId66"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B705"/>
    <pageSetUpPr fitToPage="false"/>
  </sheetPr>
  <dimension ref="A1:H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6" min="3" style="0" width="10"/>
    <col collapsed="false" customWidth="true" hidden="false" outlineLevel="0" max="7" min="7" style="0" width="14"/>
    <col collapsed="false" customWidth="true" hidden="false" outlineLevel="0" max="8" min="8" style="0" width="16"/>
  </cols>
  <sheetData>
    <row r="1" customFormat="false" ht="25.5" hidden="false" customHeight="true" outlineLevel="0" collapsed="false">
      <c r="A1" s="1" t="s">
        <v>0</v>
      </c>
      <c r="B1" s="1"/>
      <c r="C1" s="1"/>
      <c r="D1" s="1"/>
      <c r="E1" s="1"/>
      <c r="F1" s="1"/>
      <c r="G1" s="1"/>
      <c r="H1" s="1"/>
    </row>
    <row r="2" customFormat="false" ht="28.5" hidden="false" customHeight="true" outlineLevel="0" collapsed="false">
      <c r="A2" s="2" t="s">
        <v>1</v>
      </c>
      <c r="B2" s="2"/>
      <c r="C2" s="2"/>
      <c r="D2" s="2"/>
      <c r="E2" s="2"/>
      <c r="F2" s="2"/>
      <c r="G2" s="2"/>
      <c r="H2" s="2"/>
    </row>
    <row r="3" customFormat="false" ht="15.75" hidden="false" customHeight="true" outlineLevel="0" collapsed="false">
      <c r="A3" s="3"/>
      <c r="B3" s="3"/>
      <c r="C3" s="3"/>
      <c r="D3" s="3"/>
      <c r="E3" s="3"/>
      <c r="F3" s="3"/>
      <c r="G3" s="3"/>
      <c r="H3" s="3"/>
    </row>
    <row r="4" customFormat="false" ht="19.5" hidden="false" customHeight="true" outlineLevel="0" collapsed="false">
      <c r="A4" s="4" t="s">
        <v>2</v>
      </c>
      <c r="B4" s="4"/>
      <c r="C4" s="4"/>
      <c r="D4" s="4"/>
      <c r="E4" s="4"/>
      <c r="F4" s="4"/>
      <c r="G4" s="4"/>
      <c r="H4" s="4"/>
    </row>
    <row r="5" customFormat="false" ht="30" hidden="false" customHeight="true" outlineLevel="0" collapsed="false">
      <c r="A5" s="5" t="s">
        <v>3</v>
      </c>
      <c r="B5" s="6" t="s">
        <v>4</v>
      </c>
      <c r="C5" s="6" t="s">
        <v>5</v>
      </c>
      <c r="D5" s="6" t="s">
        <v>6</v>
      </c>
      <c r="E5" s="6" t="s">
        <v>7</v>
      </c>
      <c r="F5" s="6" t="s">
        <v>8</v>
      </c>
      <c r="G5" s="6" t="s">
        <v>9</v>
      </c>
      <c r="H5" s="6" t="s">
        <v>10</v>
      </c>
    </row>
    <row r="6" customFormat="false" ht="15" hidden="false" customHeight="false" outlineLevel="0" collapsed="false">
      <c r="A6" s="7" t="s">
        <v>11</v>
      </c>
      <c r="B6" s="8" t="n">
        <f aca="false">COUNTA('All — ranked'!B2:B225)</f>
        <v>224</v>
      </c>
      <c r="C6" s="8" t="n">
        <f aca="false">COUNTIF('All — ranked'!A2:A225,5)</f>
        <v>10</v>
      </c>
      <c r="D6" s="8" t="n">
        <f aca="false">COUNTIF('All — ranked'!A2:A225,4)</f>
        <v>46</v>
      </c>
      <c r="E6" s="8" t="n">
        <f aca="false">COUNTIF('All — ranked'!A2:A225,3)</f>
        <v>95</v>
      </c>
      <c r="F6" s="8" t="n">
        <f aca="false">COUNTIF('All — ranked'!A2:A225,"&lt;=2")</f>
        <v>73</v>
      </c>
      <c r="G6" s="8" t="n">
        <f aca="false">COUNTIF('All — ranked'!L2:L225,"Y")</f>
        <v>82</v>
      </c>
      <c r="H6" s="8" t="n">
        <f aca="false">COUNTA('All — ranked'!N2:N225)-COUNTIF('All — ranked'!N2:N225,"Not started")</f>
        <v>0</v>
      </c>
    </row>
    <row r="7" customFormat="false" ht="15" hidden="false" customHeight="false" outlineLevel="0" collapsed="false">
      <c r="A7" s="9" t="s">
        <v>12</v>
      </c>
      <c r="B7" s="10" t="n">
        <f aca="false">COUNTA('Early Childhood &amp; Care'!B2:B49)</f>
        <v>48</v>
      </c>
      <c r="C7" s="10" t="n">
        <f aca="false">COUNTIF('Early Childhood &amp; Care'!A2:A49,5)</f>
        <v>4</v>
      </c>
      <c r="D7" s="10" t="n">
        <f aca="false">COUNTIF('Early Childhood &amp; Care'!A2:A49,4)</f>
        <v>20</v>
      </c>
      <c r="E7" s="10" t="n">
        <f aca="false">COUNTIF('Early Childhood &amp; Care'!A2:A49,3)</f>
        <v>20</v>
      </c>
      <c r="F7" s="10" t="n">
        <f aca="false">COUNTIF('Early Childhood &amp; Care'!A2:A49,"&lt;=2")</f>
        <v>4</v>
      </c>
      <c r="G7" s="10" t="n">
        <f aca="false">COUNTIF('Early Childhood &amp; Care'!L2:L49,"Y")</f>
        <v>38</v>
      </c>
      <c r="H7" s="10" t="n">
        <f aca="false">COUNTA('Early Childhood &amp; Care'!N2:N49)-COUNTIF('Early Childhood &amp; Care'!N2:N49,"Not started")</f>
        <v>0</v>
      </c>
    </row>
    <row r="8" customFormat="false" ht="15" hidden="false" customHeight="false" outlineLevel="0" collapsed="false">
      <c r="A8" s="9" t="s">
        <v>13</v>
      </c>
      <c r="B8" s="10" t="n">
        <f aca="false">COUNTA('K–12 &amp; Libraries'!B2:B54)</f>
        <v>53</v>
      </c>
      <c r="C8" s="10" t="n">
        <f aca="false">COUNTIF('K–12 &amp; Libraries'!A2:A54,5)</f>
        <v>5</v>
      </c>
      <c r="D8" s="10" t="n">
        <f aca="false">COUNTIF('K–12 &amp; Libraries'!A2:A54,4)</f>
        <v>11</v>
      </c>
      <c r="E8" s="10" t="n">
        <f aca="false">COUNTIF('K–12 &amp; Libraries'!A2:A54,3)</f>
        <v>26</v>
      </c>
      <c r="F8" s="10" t="n">
        <f aca="false">COUNTIF('K–12 &amp; Libraries'!A2:A54,"&lt;=2")</f>
        <v>11</v>
      </c>
      <c r="G8" s="10" t="n">
        <f aca="false">COUNTIF('K–12 &amp; Libraries'!L2:L54,"Y")</f>
        <v>39</v>
      </c>
      <c r="H8" s="10" t="n">
        <f aca="false">COUNTA('K–12 &amp; Libraries'!N2:N54)-COUNTIF('K–12 &amp; Libraries'!N2:N54,"Not started")</f>
        <v>0</v>
      </c>
    </row>
    <row r="9" customFormat="false" ht="15" hidden="false" customHeight="false" outlineLevel="0" collapsed="false">
      <c r="A9" s="9" t="s">
        <v>14</v>
      </c>
      <c r="B9" s="10" t="n">
        <f aca="false">COUNTA('Parents &amp; Advocacy'!B2:B65)</f>
        <v>64</v>
      </c>
      <c r="C9" s="10" t="n">
        <f aca="false">COUNTIF('Parents &amp; Advocacy'!A2:A65,5)</f>
        <v>1</v>
      </c>
      <c r="D9" s="10" t="n">
        <f aca="false">COUNTIF('Parents &amp; Advocacy'!A2:A65,4)</f>
        <v>10</v>
      </c>
      <c r="E9" s="10" t="n">
        <f aca="false">COUNTIF('Parents &amp; Advocacy'!A2:A65,3)</f>
        <v>31</v>
      </c>
      <c r="F9" s="10" t="n">
        <f aca="false">COUNTIF('Parents &amp; Advocacy'!A2:A65,"&lt;=2")</f>
        <v>22</v>
      </c>
      <c r="G9" s="10" t="n">
        <f aca="false">COUNTIF('Parents &amp; Advocacy'!L2:L65,"Y")</f>
        <v>10</v>
      </c>
      <c r="H9" s="10" t="n">
        <f aca="false">COUNTA('Parents &amp; Advocacy'!N2:N65)-COUNTIF('Parents &amp; Advocacy'!N2:N65,"Not started")</f>
        <v>0</v>
      </c>
    </row>
    <row r="10" customFormat="false" ht="15" hidden="false" customHeight="false" outlineLevel="0" collapsed="false">
      <c r="A10" s="9" t="s">
        <v>15</v>
      </c>
      <c r="B10" s="10" t="n">
        <f aca="false">COUNTA(International!B2:B66)</f>
        <v>65</v>
      </c>
      <c r="C10" s="10" t="n">
        <f aca="false">COUNTIF(International!A2:A66,5)</f>
        <v>1</v>
      </c>
      <c r="D10" s="10" t="n">
        <f aca="false">COUNTIF(International!A2:A66,4)</f>
        <v>7</v>
      </c>
      <c r="E10" s="10" t="n">
        <f aca="false">COUNTIF(International!A2:A66,3)</f>
        <v>21</v>
      </c>
      <c r="F10" s="10" t="n">
        <f aca="false">COUNTIF(International!A2:A66,"&lt;=2")</f>
        <v>36</v>
      </c>
      <c r="G10" s="10" t="n">
        <f aca="false">COUNTIF(International!L2:L66,"Y")</f>
        <v>0</v>
      </c>
      <c r="H10" s="10" t="n">
        <f aca="false">COUNTA(International!N2:N66)-COUNTIF(International!N2:N66,"Not started")</f>
        <v>0</v>
      </c>
    </row>
    <row r="11" customFormat="false" ht="15" hidden="false" customHeight="false" outlineLevel="0" collapsed="false">
      <c r="A11" s="11" t="s">
        <v>16</v>
      </c>
      <c r="B11" s="12" t="n">
        <f aca="false">SUM(B7:B10)</f>
        <v>230</v>
      </c>
      <c r="C11" s="12" t="n">
        <f aca="false">SUM(C7:C10)</f>
        <v>11</v>
      </c>
      <c r="D11" s="12" t="n">
        <f aca="false">SUM(D7:D10)</f>
        <v>48</v>
      </c>
      <c r="E11" s="12" t="n">
        <f aca="false">SUM(E7:E10)</f>
        <v>98</v>
      </c>
      <c r="F11" s="12" t="n">
        <f aca="false">SUM(F7:F10)</f>
        <v>73</v>
      </c>
      <c r="G11" s="12" t="n">
        <f aca="false">SUM(G7:G10)</f>
        <v>87</v>
      </c>
      <c r="H11" s="12" t="n">
        <f aca="false">SUM(H7:H10)</f>
        <v>0</v>
      </c>
    </row>
    <row r="12" customFormat="false" ht="15" hidden="false" customHeight="false" outlineLevel="0" collapsed="false">
      <c r="A12" s="13" t="s">
        <v>17</v>
      </c>
      <c r="B12" s="14" t="n">
        <f aca="false">COUNTA(Excluded!B2:B33)</f>
        <v>32</v>
      </c>
    </row>
    <row r="13" customFormat="false" ht="42" hidden="false" customHeight="true" outlineLevel="0" collapsed="false">
      <c r="A13" s="3" t="s">
        <v>18</v>
      </c>
      <c r="B13" s="3"/>
      <c r="C13" s="3"/>
      <c r="D13" s="3"/>
      <c r="E13" s="3"/>
      <c r="F13" s="3"/>
      <c r="G13" s="3"/>
      <c r="H13" s="3"/>
    </row>
    <row r="14" customFormat="false" ht="15.75" hidden="false" customHeight="true" outlineLevel="0" collapsed="false">
      <c r="A14" s="3"/>
      <c r="B14" s="3"/>
      <c r="C14" s="3"/>
      <c r="D14" s="3"/>
      <c r="E14" s="3"/>
      <c r="F14" s="3"/>
      <c r="G14" s="3"/>
      <c r="H14" s="3"/>
    </row>
    <row r="15" customFormat="false" ht="19.5" hidden="false" customHeight="true" outlineLevel="0" collapsed="false">
      <c r="A15" s="4" t="s">
        <v>19</v>
      </c>
      <c r="B15" s="4"/>
      <c r="C15" s="4"/>
      <c r="D15" s="4"/>
      <c r="E15" s="4"/>
      <c r="F15" s="4"/>
      <c r="G15" s="4"/>
      <c r="H15" s="4"/>
    </row>
    <row r="16" customFormat="false" ht="42" hidden="false" customHeight="true" outlineLevel="0" collapsed="false">
      <c r="A16" s="3" t="s">
        <v>20</v>
      </c>
      <c r="B16" s="3"/>
      <c r="C16" s="3"/>
      <c r="D16" s="3"/>
      <c r="E16" s="3"/>
      <c r="F16" s="3"/>
      <c r="G16" s="3"/>
      <c r="H16" s="3"/>
    </row>
    <row r="17" customFormat="false" ht="54.75" hidden="false" customHeight="true" outlineLevel="0" collapsed="false">
      <c r="A17" s="3" t="s">
        <v>21</v>
      </c>
      <c r="B17" s="3"/>
      <c r="C17" s="3"/>
      <c r="D17" s="3"/>
      <c r="E17" s="3"/>
      <c r="F17" s="3"/>
      <c r="G17" s="3"/>
      <c r="H17" s="3"/>
    </row>
    <row r="18" customFormat="false" ht="42" hidden="false" customHeight="true" outlineLevel="0" collapsed="false">
      <c r="A18" s="3" t="s">
        <v>22</v>
      </c>
      <c r="B18" s="3"/>
      <c r="C18" s="3"/>
      <c r="D18" s="3"/>
      <c r="E18" s="3"/>
      <c r="F18" s="3"/>
      <c r="G18" s="3"/>
      <c r="H18" s="3"/>
    </row>
    <row r="19" customFormat="false" ht="28.5" hidden="false" customHeight="true" outlineLevel="0" collapsed="false">
      <c r="A19" s="3" t="s">
        <v>23</v>
      </c>
      <c r="B19" s="3"/>
      <c r="C19" s="3"/>
      <c r="D19" s="3"/>
      <c r="E19" s="3"/>
      <c r="F19" s="3"/>
      <c r="G19" s="3"/>
      <c r="H19" s="3"/>
    </row>
    <row r="20" customFormat="false" ht="28.5" hidden="false" customHeight="true" outlineLevel="0" collapsed="false">
      <c r="A20" s="3" t="s">
        <v>24</v>
      </c>
      <c r="B20" s="3"/>
      <c r="C20" s="3"/>
      <c r="D20" s="3"/>
      <c r="E20" s="3"/>
      <c r="F20" s="3"/>
      <c r="G20" s="3"/>
      <c r="H20" s="3"/>
    </row>
    <row r="21" customFormat="false" ht="15.75" hidden="false" customHeight="true" outlineLevel="0" collapsed="false">
      <c r="A21" s="3"/>
      <c r="B21" s="3"/>
      <c r="C21" s="3"/>
      <c r="D21" s="3"/>
      <c r="E21" s="3"/>
      <c r="F21" s="3"/>
      <c r="G21" s="3"/>
      <c r="H21" s="3"/>
    </row>
    <row r="22" customFormat="false" ht="19.5" hidden="false" customHeight="true" outlineLevel="0" collapsed="false">
      <c r="A22" s="4" t="s">
        <v>25</v>
      </c>
      <c r="B22" s="4"/>
      <c r="C22" s="4"/>
      <c r="D22" s="4"/>
      <c r="E22" s="4"/>
      <c r="F22" s="4"/>
      <c r="G22" s="4"/>
      <c r="H22" s="4"/>
    </row>
    <row r="23" customFormat="false" ht="42" hidden="false" customHeight="true" outlineLevel="0" collapsed="false">
      <c r="A23" s="3" t="s">
        <v>26</v>
      </c>
      <c r="B23" s="3"/>
      <c r="C23" s="3"/>
      <c r="D23" s="3"/>
      <c r="E23" s="3"/>
      <c r="F23" s="3"/>
      <c r="G23" s="3"/>
      <c r="H23" s="3"/>
    </row>
    <row r="24" customFormat="false" ht="28.5" hidden="false" customHeight="true" outlineLevel="0" collapsed="false">
      <c r="A24" s="3" t="s">
        <v>27</v>
      </c>
      <c r="B24" s="3"/>
      <c r="C24" s="3"/>
      <c r="D24" s="3"/>
      <c r="E24" s="3"/>
      <c r="F24" s="3"/>
      <c r="G24" s="3"/>
      <c r="H24" s="3"/>
    </row>
    <row r="25" customFormat="false" ht="28.5" hidden="false" customHeight="true" outlineLevel="0" collapsed="false">
      <c r="A25" s="3" t="s">
        <v>28</v>
      </c>
      <c r="B25" s="3"/>
      <c r="C25" s="3"/>
      <c r="D25" s="3"/>
      <c r="E25" s="3"/>
      <c r="F25" s="3"/>
      <c r="G25" s="3"/>
      <c r="H25" s="3"/>
    </row>
    <row r="26" customFormat="false" ht="42" hidden="false" customHeight="true" outlineLevel="0" collapsed="false">
      <c r="A26" s="3" t="s">
        <v>29</v>
      </c>
      <c r="B26" s="3"/>
      <c r="C26" s="3"/>
      <c r="D26" s="3"/>
      <c r="E26" s="3"/>
      <c r="F26" s="3"/>
      <c r="G26" s="3"/>
      <c r="H26" s="3"/>
    </row>
    <row r="27" customFormat="false" ht="42" hidden="false" customHeight="true" outlineLevel="0" collapsed="false">
      <c r="A27" s="3" t="s">
        <v>30</v>
      </c>
      <c r="B27" s="3"/>
      <c r="C27" s="3"/>
      <c r="D27" s="3"/>
      <c r="E27" s="3"/>
      <c r="F27" s="3"/>
      <c r="G27" s="3"/>
      <c r="H27" s="3"/>
    </row>
    <row r="28" customFormat="false" ht="15.75" hidden="false" customHeight="true" outlineLevel="0" collapsed="false">
      <c r="A28" s="3"/>
      <c r="B28" s="3"/>
      <c r="C28" s="3"/>
      <c r="D28" s="3"/>
      <c r="E28" s="3"/>
      <c r="F28" s="3"/>
      <c r="G28" s="3"/>
      <c r="H28" s="3"/>
    </row>
    <row r="29" customFormat="false" ht="19.5" hidden="false" customHeight="true" outlineLevel="0" collapsed="false">
      <c r="A29" s="4" t="s">
        <v>31</v>
      </c>
      <c r="B29" s="4"/>
      <c r="C29" s="4"/>
      <c r="D29" s="4"/>
      <c r="E29" s="4"/>
      <c r="F29" s="4"/>
      <c r="G29" s="4"/>
      <c r="H29" s="4"/>
    </row>
    <row r="30" customFormat="false" ht="54.75" hidden="false" customHeight="true" outlineLevel="0" collapsed="false">
      <c r="A30" s="3" t="s">
        <v>32</v>
      </c>
      <c r="B30" s="3"/>
      <c r="C30" s="3"/>
      <c r="D30" s="3"/>
      <c r="E30" s="3"/>
      <c r="F30" s="3"/>
      <c r="G30" s="3"/>
      <c r="H30" s="3"/>
    </row>
    <row r="31" customFormat="false" ht="15.75" hidden="false" customHeight="true" outlineLevel="0" collapsed="false">
      <c r="A31" s="3" t="s">
        <v>33</v>
      </c>
      <c r="B31" s="3"/>
      <c r="C31" s="3"/>
      <c r="D31" s="3"/>
      <c r="E31" s="3"/>
      <c r="F31" s="3"/>
      <c r="G31" s="3"/>
      <c r="H31" s="3"/>
    </row>
    <row r="32" customFormat="false" ht="15.75" hidden="false" customHeight="true" outlineLevel="0" collapsed="false">
      <c r="A32" s="3"/>
      <c r="B32" s="3"/>
      <c r="C32" s="3"/>
      <c r="D32" s="3"/>
      <c r="E32" s="3"/>
      <c r="F32" s="3"/>
      <c r="G32" s="3"/>
      <c r="H32" s="3"/>
    </row>
    <row r="33" customFormat="false" ht="19.5" hidden="false" customHeight="true" outlineLevel="0" collapsed="false">
      <c r="A33" s="4" t="s">
        <v>34</v>
      </c>
      <c r="B33" s="4"/>
      <c r="C33" s="4"/>
      <c r="D33" s="4"/>
      <c r="E33" s="4"/>
      <c r="F33" s="4"/>
      <c r="G33" s="4"/>
      <c r="H33" s="4"/>
    </row>
    <row r="34" customFormat="false" ht="28.5" hidden="false" customHeight="true" outlineLevel="0" collapsed="false">
      <c r="A34" s="3" t="s">
        <v>35</v>
      </c>
      <c r="B34" s="3"/>
      <c r="C34" s="3"/>
      <c r="D34" s="3"/>
      <c r="E34" s="3"/>
      <c r="F34" s="3"/>
      <c r="G34" s="3"/>
      <c r="H34" s="3"/>
    </row>
    <row r="35" customFormat="false" ht="28.5" hidden="false" customHeight="true" outlineLevel="0" collapsed="false">
      <c r="A35" s="3" t="s">
        <v>36</v>
      </c>
      <c r="B35" s="3"/>
      <c r="C35" s="3"/>
      <c r="D35" s="3"/>
      <c r="E35" s="3"/>
      <c r="F35" s="3"/>
      <c r="G35" s="3"/>
      <c r="H35" s="3"/>
    </row>
    <row r="36" customFormat="false" ht="28.5" hidden="false" customHeight="true" outlineLevel="0" collapsed="false">
      <c r="A36" s="3" t="s">
        <v>37</v>
      </c>
      <c r="B36" s="3"/>
      <c r="C36" s="3"/>
      <c r="D36" s="3"/>
      <c r="E36" s="3"/>
      <c r="F36" s="3"/>
      <c r="G36" s="3"/>
      <c r="H36" s="3"/>
    </row>
    <row r="37" customFormat="false" ht="28.5" hidden="false" customHeight="true" outlineLevel="0" collapsed="false">
      <c r="A37" s="3" t="s">
        <v>38</v>
      </c>
      <c r="B37" s="3"/>
      <c r="C37" s="3"/>
      <c r="D37" s="3"/>
      <c r="E37" s="3"/>
      <c r="F37" s="3"/>
      <c r="G37" s="3"/>
      <c r="H37" s="3"/>
    </row>
    <row r="38" customFormat="false" ht="15.75" hidden="false" customHeight="true" outlineLevel="0" collapsed="false">
      <c r="A38" s="3"/>
      <c r="B38" s="3"/>
      <c r="C38" s="3"/>
      <c r="D38" s="3"/>
      <c r="E38" s="3"/>
      <c r="F38" s="3"/>
      <c r="G38" s="3"/>
      <c r="H38" s="3"/>
    </row>
    <row r="39" customFormat="false" ht="19.5" hidden="false" customHeight="true" outlineLevel="0" collapsed="false">
      <c r="A39" s="4" t="s">
        <v>39</v>
      </c>
      <c r="B39" s="4"/>
      <c r="C39" s="4"/>
      <c r="D39" s="4"/>
      <c r="E39" s="4"/>
      <c r="F39" s="4"/>
      <c r="G39" s="4"/>
      <c r="H39" s="4"/>
    </row>
    <row r="40" customFormat="false" ht="81" hidden="false" customHeight="true" outlineLevel="0" collapsed="false">
      <c r="A40" s="3" t="s">
        <v>40</v>
      </c>
      <c r="B40" s="3"/>
      <c r="C40" s="3"/>
      <c r="D40" s="3"/>
      <c r="E40" s="3"/>
      <c r="F40" s="3"/>
      <c r="G40" s="3"/>
      <c r="H40" s="3"/>
    </row>
    <row r="41" customFormat="false" ht="42" hidden="false" customHeight="true" outlineLevel="0" collapsed="false">
      <c r="A41" s="3" t="s">
        <v>41</v>
      </c>
      <c r="B41" s="3"/>
      <c r="C41" s="3"/>
      <c r="D41" s="3"/>
      <c r="E41" s="3"/>
      <c r="F41" s="3"/>
      <c r="G41" s="3"/>
      <c r="H41" s="3"/>
    </row>
    <row r="42" customFormat="false" ht="15.75" hidden="false" customHeight="true" outlineLevel="0" collapsed="false">
      <c r="A42" s="3" t="s">
        <v>42</v>
      </c>
      <c r="B42" s="3"/>
      <c r="C42" s="3"/>
      <c r="D42" s="3"/>
      <c r="E42" s="3"/>
      <c r="F42" s="3"/>
      <c r="G42" s="3"/>
      <c r="H42" s="3"/>
    </row>
    <row r="43" customFormat="false" ht="15.75" hidden="false" customHeight="true" outlineLevel="0" collapsed="false">
      <c r="A43" s="3"/>
      <c r="B43" s="3"/>
      <c r="C43" s="3"/>
      <c r="D43" s="3"/>
      <c r="E43" s="3"/>
      <c r="F43" s="3"/>
      <c r="G43" s="3"/>
      <c r="H43" s="3"/>
    </row>
    <row r="44" customFormat="false" ht="19.5" hidden="false" customHeight="true" outlineLevel="0" collapsed="false">
      <c r="A44" s="4" t="s">
        <v>43</v>
      </c>
      <c r="B44" s="4"/>
      <c r="C44" s="4"/>
      <c r="D44" s="4"/>
      <c r="E44" s="4"/>
      <c r="F44" s="4"/>
      <c r="G44" s="4"/>
      <c r="H44" s="4"/>
    </row>
    <row r="45" customFormat="false" ht="42" hidden="false" customHeight="true" outlineLevel="0" collapsed="false">
      <c r="A45" s="3" t="s">
        <v>44</v>
      </c>
      <c r="B45" s="3"/>
      <c r="C45" s="3"/>
      <c r="D45" s="3"/>
      <c r="E45" s="3"/>
      <c r="F45" s="3"/>
      <c r="G45" s="3"/>
      <c r="H45" s="3"/>
    </row>
  </sheetData>
  <mergeCells count="37">
    <mergeCell ref="A1:H1"/>
    <mergeCell ref="A2:H2"/>
    <mergeCell ref="A3:H3"/>
    <mergeCell ref="A4:H4"/>
    <mergeCell ref="A13:H13"/>
    <mergeCell ref="A14:H14"/>
    <mergeCell ref="A15:H15"/>
    <mergeCell ref="A16:H16"/>
    <mergeCell ref="A17:H17"/>
    <mergeCell ref="A18:H18"/>
    <mergeCell ref="A19:H19"/>
    <mergeCell ref="A20:H20"/>
    <mergeCell ref="A21:H21"/>
    <mergeCell ref="A22:H22"/>
    <mergeCell ref="A23:H23"/>
    <mergeCell ref="A24:H24"/>
    <mergeCell ref="A25:H25"/>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s>
  <hyperlinks>
    <hyperlink ref="A6" r:id="rId1" location="'All%20—%20ranked'!A1" display="All — ranked"/>
    <hyperlink ref="A7" r:id="rId2" location="'Early%20Childhood%20&amp;%20Care'!A1" display="Early Childhood &amp; Care"/>
    <hyperlink ref="A8" r:id="rId3" location="'K–12%20&amp;%20Libraries'!A1" display="K–12 &amp; Libraries"/>
    <hyperlink ref="A9" r:id="rId4" location="'Parents%20&amp;%20Advocacy'!A1" display="Parents &amp; Advocacy"/>
    <hyperlink ref="A10" r:id="rId5" location="'International'!A1" display="International"/>
    <hyperlink ref="A12" r:id="rId6" location="'Excluded'!A1" display="Excluded (not targ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2940"/>
    <pageSetUpPr fitToPage="true"/>
  </sheetPr>
  <dimension ref="A1:P4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34"/>
    <col collapsed="false" customWidth="true" hidden="false" outlineLevel="0" max="6" min="6" style="0" width="38"/>
    <col collapsed="false" customWidth="true" hidden="false" outlineLevel="0" max="7" min="7" style="0" width="32"/>
    <col collapsed="false" customWidth="true" hidden="false" outlineLevel="0" max="8" min="8" style="0" width="28"/>
    <col collapsed="false" customWidth="true" hidden="false" outlineLevel="0" max="9" min="9" style="0" width="40"/>
    <col collapsed="false" customWidth="true" hidden="false" outlineLevel="0" max="11" min="10" style="0" width="32"/>
    <col collapsed="false" customWidth="true" hidden="false" outlineLevel="0" max="12" min="12" style="0" width="11"/>
    <col collapsed="false" customWidth="true" hidden="false" outlineLevel="0" max="13" min="13" style="0" width="70"/>
    <col collapsed="false" customWidth="true" hidden="false" outlineLevel="0" max="14" min="14" style="0" width="14"/>
    <col collapsed="false" customWidth="true" hidden="false" outlineLevel="0" max="15" min="15" style="0" width="42"/>
    <col collapsed="false" customWidth="true" hidden="false" outlineLevel="0" max="16" min="16" style="0" width="12"/>
  </cols>
  <sheetData>
    <row r="1" customFormat="false" ht="30" hidden="false" customHeight="true" outlineLevel="0" collapsed="false">
      <c r="A1" s="6" t="s">
        <v>45</v>
      </c>
      <c r="B1" s="5" t="s">
        <v>46</v>
      </c>
      <c r="C1" s="5" t="s">
        <v>47</v>
      </c>
      <c r="D1" s="5" t="s">
        <v>48</v>
      </c>
      <c r="E1" s="5" t="s">
        <v>49</v>
      </c>
      <c r="F1" s="5" t="s">
        <v>50</v>
      </c>
      <c r="G1" s="5" t="s">
        <v>51</v>
      </c>
      <c r="H1" s="5" t="s">
        <v>52</v>
      </c>
      <c r="I1" s="5" t="s">
        <v>53</v>
      </c>
      <c r="J1" s="5" t="s">
        <v>54</v>
      </c>
      <c r="K1" s="5" t="s">
        <v>55</v>
      </c>
      <c r="L1" s="6" t="s">
        <v>56</v>
      </c>
      <c r="M1" s="5" t="s">
        <v>57</v>
      </c>
      <c r="N1" s="5" t="s">
        <v>58</v>
      </c>
      <c r="O1" s="5" t="s">
        <v>59</v>
      </c>
      <c r="P1" s="6" t="s">
        <v>60</v>
      </c>
    </row>
    <row r="2" customFormat="false" ht="67.5" hidden="false" customHeight="true" outlineLevel="0" collapsed="false">
      <c r="A2" s="15" t="n">
        <v>5</v>
      </c>
      <c r="B2" s="16" t="s">
        <v>61</v>
      </c>
      <c r="C2" s="17" t="s">
        <v>62</v>
      </c>
      <c r="D2" s="17" t="s">
        <v>63</v>
      </c>
      <c r="E2" s="17" t="s">
        <v>64</v>
      </c>
      <c r="F2" s="17" t="s">
        <v>65</v>
      </c>
      <c r="G2" s="17" t="s">
        <v>66</v>
      </c>
      <c r="H2" s="17" t="s">
        <v>67</v>
      </c>
      <c r="I2" s="17" t="s">
        <v>68</v>
      </c>
      <c r="J2" s="17" t="s">
        <v>69</v>
      </c>
      <c r="K2" s="18" t="s">
        <v>70</v>
      </c>
      <c r="L2" s="15" t="s">
        <v>71</v>
      </c>
      <c r="M2" s="17" t="s">
        <v>72</v>
      </c>
      <c r="N2" s="19" t="s">
        <v>73</v>
      </c>
      <c r="O2" s="19" t="s">
        <v>74</v>
      </c>
      <c r="P2" s="20"/>
    </row>
    <row r="3" customFormat="false" ht="67.5" hidden="false" customHeight="true" outlineLevel="0" collapsed="false">
      <c r="A3" s="15" t="n">
        <v>5</v>
      </c>
      <c r="B3" s="16" t="s">
        <v>75</v>
      </c>
      <c r="C3" s="17" t="s">
        <v>76</v>
      </c>
      <c r="D3" s="17" t="s">
        <v>77</v>
      </c>
      <c r="E3" s="17" t="s">
        <v>78</v>
      </c>
      <c r="F3" s="17" t="s">
        <v>79</v>
      </c>
      <c r="G3" s="17" t="s">
        <v>80</v>
      </c>
      <c r="H3" s="17" t="s">
        <v>81</v>
      </c>
      <c r="I3" s="17" t="s">
        <v>82</v>
      </c>
      <c r="J3" s="17" t="s">
        <v>83</v>
      </c>
      <c r="K3" s="18" t="s">
        <v>84</v>
      </c>
      <c r="L3" s="15" t="s">
        <v>71</v>
      </c>
      <c r="M3" s="17" t="s">
        <v>85</v>
      </c>
      <c r="N3" s="19" t="s">
        <v>73</v>
      </c>
      <c r="O3" s="19" t="s">
        <v>86</v>
      </c>
      <c r="P3" s="20"/>
    </row>
    <row r="4" customFormat="false" ht="105.75" hidden="false" customHeight="true" outlineLevel="0" collapsed="false">
      <c r="A4" s="15" t="n">
        <v>5</v>
      </c>
      <c r="B4" s="16" t="s">
        <v>87</v>
      </c>
      <c r="C4" s="17" t="s">
        <v>62</v>
      </c>
      <c r="D4" s="17" t="s">
        <v>88</v>
      </c>
      <c r="E4" s="17" t="s">
        <v>89</v>
      </c>
      <c r="F4" s="17" t="s">
        <v>90</v>
      </c>
      <c r="G4" s="17" t="s">
        <v>91</v>
      </c>
      <c r="H4" s="17" t="s">
        <v>92</v>
      </c>
      <c r="I4" s="17" t="s">
        <v>93</v>
      </c>
      <c r="J4" s="17" t="s">
        <v>94</v>
      </c>
      <c r="K4" s="18" t="s">
        <v>95</v>
      </c>
      <c r="L4" s="15" t="s">
        <v>71</v>
      </c>
      <c r="M4" s="17" t="s">
        <v>96</v>
      </c>
      <c r="N4" s="19" t="s">
        <v>73</v>
      </c>
      <c r="O4" s="19" t="s">
        <v>97</v>
      </c>
      <c r="P4" s="20"/>
    </row>
    <row r="5" customFormat="false" ht="144.75" hidden="false" customHeight="true" outlineLevel="0" collapsed="false">
      <c r="A5" s="15" t="n">
        <v>5</v>
      </c>
      <c r="B5" s="16" t="s">
        <v>98</v>
      </c>
      <c r="C5" s="17" t="s">
        <v>99</v>
      </c>
      <c r="D5" s="17" t="s">
        <v>100</v>
      </c>
      <c r="E5" s="17" t="s">
        <v>101</v>
      </c>
      <c r="F5" s="17" t="s">
        <v>102</v>
      </c>
      <c r="G5" s="17" t="s">
        <v>103</v>
      </c>
      <c r="H5" s="17" t="s">
        <v>104</v>
      </c>
      <c r="I5" s="17" t="s">
        <v>105</v>
      </c>
      <c r="J5" s="17" t="s">
        <v>106</v>
      </c>
      <c r="K5" s="18" t="s">
        <v>107</v>
      </c>
      <c r="L5" s="15" t="s">
        <v>71</v>
      </c>
      <c r="M5" s="17" t="s">
        <v>108</v>
      </c>
      <c r="N5" s="19" t="s">
        <v>73</v>
      </c>
      <c r="O5" s="19" t="s">
        <v>109</v>
      </c>
      <c r="P5" s="20"/>
    </row>
    <row r="6" customFormat="false" ht="93" hidden="false" customHeight="true" outlineLevel="0" collapsed="false">
      <c r="A6" s="15" t="n">
        <v>5</v>
      </c>
      <c r="B6" s="16" t="s">
        <v>110</v>
      </c>
      <c r="C6" s="17" t="s">
        <v>111</v>
      </c>
      <c r="D6" s="17" t="s">
        <v>112</v>
      </c>
      <c r="E6" s="17" t="s">
        <v>113</v>
      </c>
      <c r="F6" s="17" t="s">
        <v>114</v>
      </c>
      <c r="G6" s="17" t="s">
        <v>115</v>
      </c>
      <c r="H6" s="17" t="s">
        <v>116</v>
      </c>
      <c r="I6" s="17" t="s">
        <v>117</v>
      </c>
      <c r="J6" s="17" t="s">
        <v>118</v>
      </c>
      <c r="K6" s="18" t="s">
        <v>119</v>
      </c>
      <c r="L6" s="15" t="s">
        <v>71</v>
      </c>
      <c r="M6" s="17" t="s">
        <v>120</v>
      </c>
      <c r="N6" s="19" t="s">
        <v>73</v>
      </c>
      <c r="O6" s="19" t="s">
        <v>121</v>
      </c>
      <c r="P6" s="20"/>
    </row>
    <row r="7" customFormat="false" ht="80.25" hidden="false" customHeight="true" outlineLevel="0" collapsed="false">
      <c r="A7" s="15" t="n">
        <v>5</v>
      </c>
      <c r="B7" s="16" t="s">
        <v>122</v>
      </c>
      <c r="C7" s="17" t="s">
        <v>111</v>
      </c>
      <c r="D7" s="17" t="s">
        <v>123</v>
      </c>
      <c r="E7" s="17" t="s">
        <v>124</v>
      </c>
      <c r="F7" s="17" t="s">
        <v>125</v>
      </c>
      <c r="G7" s="17" t="s">
        <v>126</v>
      </c>
      <c r="H7" s="17" t="s">
        <v>127</v>
      </c>
      <c r="I7" s="17" t="s">
        <v>128</v>
      </c>
      <c r="J7" s="17" t="s">
        <v>129</v>
      </c>
      <c r="K7" s="18" t="s">
        <v>130</v>
      </c>
      <c r="L7" s="15" t="s">
        <v>131</v>
      </c>
      <c r="M7" s="17" t="s">
        <v>132</v>
      </c>
      <c r="N7" s="19" t="s">
        <v>73</v>
      </c>
      <c r="O7" s="19" t="s">
        <v>133</v>
      </c>
      <c r="P7" s="20"/>
    </row>
    <row r="8" customFormat="false" ht="42" hidden="false" customHeight="true" outlineLevel="0" collapsed="false">
      <c r="A8" s="15" t="n">
        <v>5</v>
      </c>
      <c r="B8" s="16" t="s">
        <v>134</v>
      </c>
      <c r="C8" s="17" t="s">
        <v>111</v>
      </c>
      <c r="D8" s="17" t="s">
        <v>135</v>
      </c>
      <c r="E8" s="17" t="s">
        <v>136</v>
      </c>
      <c r="F8" s="17" t="s">
        <v>137</v>
      </c>
      <c r="G8" s="17" t="s">
        <v>138</v>
      </c>
      <c r="H8" s="17" t="s">
        <v>139</v>
      </c>
      <c r="I8" s="17" t="s">
        <v>140</v>
      </c>
      <c r="J8" s="17" t="s">
        <v>141</v>
      </c>
      <c r="K8" s="18" t="s">
        <v>142</v>
      </c>
      <c r="L8" s="15" t="s">
        <v>71</v>
      </c>
      <c r="M8" s="17" t="s">
        <v>143</v>
      </c>
      <c r="N8" s="19" t="s">
        <v>73</v>
      </c>
      <c r="O8" s="19" t="s">
        <v>144</v>
      </c>
      <c r="P8" s="20"/>
    </row>
    <row r="9" customFormat="false" ht="42" hidden="false" customHeight="true" outlineLevel="0" collapsed="false">
      <c r="A9" s="15" t="n">
        <v>5</v>
      </c>
      <c r="B9" s="16" t="s">
        <v>145</v>
      </c>
      <c r="C9" s="17" t="s">
        <v>111</v>
      </c>
      <c r="D9" s="17" t="s">
        <v>146</v>
      </c>
      <c r="E9" s="17" t="s">
        <v>147</v>
      </c>
      <c r="F9" s="17" t="s">
        <v>148</v>
      </c>
      <c r="G9" s="17" t="s">
        <v>149</v>
      </c>
      <c r="H9" s="17" t="s">
        <v>150</v>
      </c>
      <c r="I9" s="17" t="s">
        <v>151</v>
      </c>
      <c r="J9" s="17" t="s">
        <v>152</v>
      </c>
      <c r="K9" s="18" t="s">
        <v>153</v>
      </c>
      <c r="L9" s="15" t="s">
        <v>71</v>
      </c>
      <c r="M9" s="17" t="s">
        <v>154</v>
      </c>
      <c r="N9" s="19" t="s">
        <v>73</v>
      </c>
      <c r="O9" s="19" t="s">
        <v>155</v>
      </c>
      <c r="P9" s="20"/>
    </row>
    <row r="10" customFormat="false" ht="54.75" hidden="false" customHeight="true" outlineLevel="0" collapsed="false">
      <c r="A10" s="15" t="n">
        <v>5</v>
      </c>
      <c r="B10" s="16" t="s">
        <v>156</v>
      </c>
      <c r="C10" s="17" t="s">
        <v>111</v>
      </c>
      <c r="D10" s="17" t="s">
        <v>157</v>
      </c>
      <c r="E10" s="17" t="s">
        <v>158</v>
      </c>
      <c r="F10" s="17" t="s">
        <v>159</v>
      </c>
      <c r="G10" s="17" t="s">
        <v>160</v>
      </c>
      <c r="H10" s="17" t="s">
        <v>161</v>
      </c>
      <c r="I10" s="17" t="s">
        <v>162</v>
      </c>
      <c r="J10" s="17" t="s">
        <v>163</v>
      </c>
      <c r="K10" s="18" t="s">
        <v>164</v>
      </c>
      <c r="L10" s="15" t="s">
        <v>71</v>
      </c>
      <c r="M10" s="17" t="s">
        <v>165</v>
      </c>
      <c r="N10" s="19" t="s">
        <v>73</v>
      </c>
      <c r="O10" s="19" t="s">
        <v>166</v>
      </c>
      <c r="P10" s="20"/>
    </row>
    <row r="11" customFormat="false" ht="54.75" hidden="false" customHeight="true" outlineLevel="0" collapsed="false">
      <c r="A11" s="15" t="n">
        <v>5</v>
      </c>
      <c r="B11" s="16" t="s">
        <v>167</v>
      </c>
      <c r="C11" s="17" t="s">
        <v>76</v>
      </c>
      <c r="D11" s="17" t="s">
        <v>146</v>
      </c>
      <c r="E11" s="17" t="s">
        <v>168</v>
      </c>
      <c r="F11" s="17" t="s">
        <v>169</v>
      </c>
      <c r="G11" s="17" t="s">
        <v>170</v>
      </c>
      <c r="H11" s="17" t="s">
        <v>171</v>
      </c>
      <c r="I11" s="17" t="s">
        <v>172</v>
      </c>
      <c r="J11" s="17" t="s">
        <v>173</v>
      </c>
      <c r="K11" s="18" t="s">
        <v>174</v>
      </c>
      <c r="L11" s="15" t="s">
        <v>71</v>
      </c>
      <c r="M11" s="17" t="s">
        <v>175</v>
      </c>
      <c r="N11" s="19" t="s">
        <v>73</v>
      </c>
      <c r="O11" s="19" t="s">
        <v>176</v>
      </c>
      <c r="P11" s="20"/>
    </row>
    <row r="12" customFormat="false" ht="67.5" hidden="false" customHeight="true" outlineLevel="0" collapsed="false">
      <c r="A12" s="15" t="n">
        <v>4</v>
      </c>
      <c r="B12" s="16" t="s">
        <v>177</v>
      </c>
      <c r="C12" s="17" t="s">
        <v>178</v>
      </c>
      <c r="D12" s="17" t="s">
        <v>179</v>
      </c>
      <c r="E12" s="17" t="s">
        <v>180</v>
      </c>
      <c r="F12" s="17" t="s">
        <v>181</v>
      </c>
      <c r="G12" s="17" t="s">
        <v>182</v>
      </c>
      <c r="H12" s="17" t="s">
        <v>183</v>
      </c>
      <c r="I12" s="17" t="s">
        <v>184</v>
      </c>
      <c r="J12" s="17" t="s">
        <v>185</v>
      </c>
      <c r="K12" s="18" t="s">
        <v>186</v>
      </c>
      <c r="L12" s="15" t="s">
        <v>71</v>
      </c>
      <c r="M12" s="17" t="s">
        <v>187</v>
      </c>
      <c r="N12" s="19" t="s">
        <v>73</v>
      </c>
      <c r="O12" s="19" t="s">
        <v>188</v>
      </c>
      <c r="P12" s="20"/>
    </row>
    <row r="13" customFormat="false" ht="67.5" hidden="false" customHeight="true" outlineLevel="0" collapsed="false">
      <c r="A13" s="15" t="n">
        <v>4</v>
      </c>
      <c r="B13" s="16" t="s">
        <v>189</v>
      </c>
      <c r="C13" s="17" t="s">
        <v>62</v>
      </c>
      <c r="D13" s="17" t="s">
        <v>190</v>
      </c>
      <c r="E13" s="17" t="s">
        <v>191</v>
      </c>
      <c r="F13" s="17" t="s">
        <v>192</v>
      </c>
      <c r="G13" s="17" t="s">
        <v>193</v>
      </c>
      <c r="H13" s="17" t="s">
        <v>194</v>
      </c>
      <c r="I13" s="17" t="s">
        <v>195</v>
      </c>
      <c r="J13" s="17" t="s">
        <v>196</v>
      </c>
      <c r="K13" s="18" t="s">
        <v>197</v>
      </c>
      <c r="L13" s="15" t="s">
        <v>71</v>
      </c>
      <c r="M13" s="17" t="s">
        <v>198</v>
      </c>
      <c r="N13" s="19" t="s">
        <v>73</v>
      </c>
      <c r="O13" s="19" t="s">
        <v>199</v>
      </c>
      <c r="P13" s="20"/>
    </row>
    <row r="14" customFormat="false" ht="67.5" hidden="false" customHeight="true" outlineLevel="0" collapsed="false">
      <c r="A14" s="15" t="n">
        <v>4</v>
      </c>
      <c r="B14" s="16" t="s">
        <v>200</v>
      </c>
      <c r="C14" s="17" t="s">
        <v>201</v>
      </c>
      <c r="D14" s="17" t="s">
        <v>202</v>
      </c>
      <c r="E14" s="17" t="s">
        <v>203</v>
      </c>
      <c r="F14" s="17" t="s">
        <v>204</v>
      </c>
      <c r="G14" s="17" t="s">
        <v>205</v>
      </c>
      <c r="H14" s="17" t="s">
        <v>206</v>
      </c>
      <c r="I14" s="17" t="s">
        <v>207</v>
      </c>
      <c r="J14" s="17" t="s">
        <v>208</v>
      </c>
      <c r="K14" s="18" t="s">
        <v>209</v>
      </c>
      <c r="L14" s="15" t="s">
        <v>71</v>
      </c>
      <c r="M14" s="17" t="s">
        <v>210</v>
      </c>
      <c r="N14" s="19" t="s">
        <v>73</v>
      </c>
      <c r="O14" s="19" t="s">
        <v>211</v>
      </c>
      <c r="P14" s="20"/>
    </row>
    <row r="15" customFormat="false" ht="42" hidden="false" customHeight="true" outlineLevel="0" collapsed="false">
      <c r="A15" s="15" t="n">
        <v>4</v>
      </c>
      <c r="B15" s="16" t="s">
        <v>212</v>
      </c>
      <c r="C15" s="17" t="s">
        <v>111</v>
      </c>
      <c r="D15" s="17" t="s">
        <v>88</v>
      </c>
      <c r="E15" s="17" t="s">
        <v>213</v>
      </c>
      <c r="F15" s="17" t="s">
        <v>214</v>
      </c>
      <c r="G15" s="17" t="s">
        <v>215</v>
      </c>
      <c r="H15" s="17" t="s">
        <v>216</v>
      </c>
      <c r="I15" s="17" t="s">
        <v>217</v>
      </c>
      <c r="J15" s="17" t="s">
        <v>218</v>
      </c>
      <c r="K15" s="18" t="s">
        <v>219</v>
      </c>
      <c r="L15" s="15" t="s">
        <v>71</v>
      </c>
      <c r="M15" s="17" t="s">
        <v>220</v>
      </c>
      <c r="N15" s="19" t="s">
        <v>73</v>
      </c>
      <c r="O15" s="19" t="s">
        <v>221</v>
      </c>
      <c r="P15" s="20"/>
    </row>
    <row r="16" customFormat="false" ht="54.75" hidden="false" customHeight="true" outlineLevel="0" collapsed="false">
      <c r="A16" s="15" t="n">
        <v>4</v>
      </c>
      <c r="B16" s="16" t="s">
        <v>222</v>
      </c>
      <c r="C16" s="17" t="s">
        <v>223</v>
      </c>
      <c r="D16" s="17" t="s">
        <v>179</v>
      </c>
      <c r="E16" s="17" t="s">
        <v>224</v>
      </c>
      <c r="F16" s="17" t="s">
        <v>225</v>
      </c>
      <c r="G16" s="17" t="s">
        <v>226</v>
      </c>
      <c r="H16" s="17" t="s">
        <v>227</v>
      </c>
      <c r="I16" s="17" t="s">
        <v>228</v>
      </c>
      <c r="J16" s="17" t="s">
        <v>229</v>
      </c>
      <c r="K16" s="18" t="s">
        <v>230</v>
      </c>
      <c r="L16" s="15" t="s">
        <v>71</v>
      </c>
      <c r="M16" s="17" t="s">
        <v>231</v>
      </c>
      <c r="N16" s="19" t="s">
        <v>73</v>
      </c>
      <c r="O16" s="19" t="s">
        <v>232</v>
      </c>
      <c r="P16" s="20"/>
    </row>
    <row r="17" customFormat="false" ht="54.75" hidden="false" customHeight="true" outlineLevel="0" collapsed="false">
      <c r="A17" s="15" t="n">
        <v>4</v>
      </c>
      <c r="B17" s="16" t="s">
        <v>233</v>
      </c>
      <c r="C17" s="17" t="s">
        <v>76</v>
      </c>
      <c r="D17" s="17" t="s">
        <v>88</v>
      </c>
      <c r="E17" s="17" t="s">
        <v>234</v>
      </c>
      <c r="F17" s="17" t="s">
        <v>235</v>
      </c>
      <c r="G17" s="17" t="s">
        <v>236</v>
      </c>
      <c r="H17" s="17" t="s">
        <v>237</v>
      </c>
      <c r="I17" s="17" t="s">
        <v>238</v>
      </c>
      <c r="J17" s="17" t="s">
        <v>239</v>
      </c>
      <c r="K17" s="18" t="s">
        <v>240</v>
      </c>
      <c r="L17" s="15" t="s">
        <v>71</v>
      </c>
      <c r="M17" s="17" t="s">
        <v>241</v>
      </c>
      <c r="N17" s="19" t="s">
        <v>73</v>
      </c>
      <c r="O17" s="19" t="s">
        <v>242</v>
      </c>
      <c r="P17" s="20"/>
    </row>
    <row r="18" customFormat="false" ht="54.75" hidden="false" customHeight="true" outlineLevel="0" collapsed="false">
      <c r="A18" s="15" t="n">
        <v>4</v>
      </c>
      <c r="B18" s="16" t="s">
        <v>243</v>
      </c>
      <c r="C18" s="17" t="s">
        <v>111</v>
      </c>
      <c r="D18" s="17" t="s">
        <v>88</v>
      </c>
      <c r="E18" s="17" t="s">
        <v>244</v>
      </c>
      <c r="F18" s="17" t="s">
        <v>245</v>
      </c>
      <c r="G18" s="17" t="s">
        <v>246</v>
      </c>
      <c r="H18" s="17" t="s">
        <v>247</v>
      </c>
      <c r="I18" s="17" t="s">
        <v>248</v>
      </c>
      <c r="J18" s="17" t="s">
        <v>249</v>
      </c>
      <c r="K18" s="18" t="s">
        <v>250</v>
      </c>
      <c r="L18" s="15" t="s">
        <v>71</v>
      </c>
      <c r="M18" s="17" t="s">
        <v>251</v>
      </c>
      <c r="N18" s="19" t="s">
        <v>73</v>
      </c>
      <c r="O18" s="19" t="s">
        <v>252</v>
      </c>
      <c r="P18" s="20"/>
    </row>
    <row r="19" customFormat="false" ht="42" hidden="false" customHeight="true" outlineLevel="0" collapsed="false">
      <c r="A19" s="15" t="n">
        <v>4</v>
      </c>
      <c r="B19" s="16" t="s">
        <v>253</v>
      </c>
      <c r="C19" s="17" t="s">
        <v>111</v>
      </c>
      <c r="D19" s="17" t="s">
        <v>254</v>
      </c>
      <c r="E19" s="17" t="s">
        <v>255</v>
      </c>
      <c r="F19" s="17" t="s">
        <v>256</v>
      </c>
      <c r="G19" s="17" t="s">
        <v>257</v>
      </c>
      <c r="H19" s="17" t="s">
        <v>258</v>
      </c>
      <c r="I19" s="17" t="s">
        <v>259</v>
      </c>
      <c r="J19" s="17" t="s">
        <v>260</v>
      </c>
      <c r="K19" s="18" t="s">
        <v>261</v>
      </c>
      <c r="L19" s="15" t="s">
        <v>71</v>
      </c>
      <c r="M19" s="17" t="s">
        <v>262</v>
      </c>
      <c r="N19" s="19" t="s">
        <v>73</v>
      </c>
      <c r="O19" s="19" t="s">
        <v>263</v>
      </c>
      <c r="P19" s="20"/>
    </row>
    <row r="20" customFormat="false" ht="54.75" hidden="false" customHeight="true" outlineLevel="0" collapsed="false">
      <c r="A20" s="15" t="n">
        <v>4</v>
      </c>
      <c r="B20" s="16" t="s">
        <v>264</v>
      </c>
      <c r="C20" s="17" t="s">
        <v>265</v>
      </c>
      <c r="D20" s="17" t="s">
        <v>266</v>
      </c>
      <c r="E20" s="17" t="s">
        <v>267</v>
      </c>
      <c r="F20" s="17" t="s">
        <v>268</v>
      </c>
      <c r="G20" s="17" t="s">
        <v>269</v>
      </c>
      <c r="H20" s="17" t="s">
        <v>270</v>
      </c>
      <c r="I20" s="17" t="s">
        <v>271</v>
      </c>
      <c r="J20" s="17" t="s">
        <v>272</v>
      </c>
      <c r="K20" s="18" t="s">
        <v>273</v>
      </c>
      <c r="L20" s="15" t="s">
        <v>71</v>
      </c>
      <c r="M20" s="17" t="s">
        <v>274</v>
      </c>
      <c r="N20" s="19" t="s">
        <v>73</v>
      </c>
      <c r="O20" s="19" t="s">
        <v>275</v>
      </c>
      <c r="P20" s="20"/>
    </row>
    <row r="21" customFormat="false" ht="42" hidden="false" customHeight="true" outlineLevel="0" collapsed="false">
      <c r="A21" s="15" t="n">
        <v>4</v>
      </c>
      <c r="B21" s="16" t="s">
        <v>276</v>
      </c>
      <c r="C21" s="17" t="s">
        <v>277</v>
      </c>
      <c r="D21" s="17" t="s">
        <v>278</v>
      </c>
      <c r="E21" s="17" t="s">
        <v>279</v>
      </c>
      <c r="F21" s="17" t="s">
        <v>280</v>
      </c>
      <c r="G21" s="17" t="s">
        <v>281</v>
      </c>
      <c r="H21" s="17" t="s">
        <v>282</v>
      </c>
      <c r="I21" s="17" t="s">
        <v>283</v>
      </c>
      <c r="J21" s="17" t="s">
        <v>284</v>
      </c>
      <c r="K21" s="18" t="s">
        <v>285</v>
      </c>
      <c r="L21" s="15" t="s">
        <v>71</v>
      </c>
      <c r="M21" s="17" t="s">
        <v>286</v>
      </c>
      <c r="N21" s="19" t="s">
        <v>73</v>
      </c>
      <c r="O21" s="19" t="s">
        <v>287</v>
      </c>
      <c r="P21" s="20"/>
    </row>
    <row r="22" customFormat="false" ht="80.25" hidden="false" customHeight="true" outlineLevel="0" collapsed="false">
      <c r="A22" s="15" t="n">
        <v>4</v>
      </c>
      <c r="B22" s="16" t="s">
        <v>288</v>
      </c>
      <c r="C22" s="17" t="s">
        <v>289</v>
      </c>
      <c r="D22" s="17" t="s">
        <v>290</v>
      </c>
      <c r="E22" s="17" t="s">
        <v>291</v>
      </c>
      <c r="F22" s="17" t="s">
        <v>292</v>
      </c>
      <c r="G22" s="17" t="s">
        <v>293</v>
      </c>
      <c r="H22" s="17" t="s">
        <v>294</v>
      </c>
      <c r="I22" s="17" t="s">
        <v>295</v>
      </c>
      <c r="J22" s="17" t="s">
        <v>296</v>
      </c>
      <c r="K22" s="18" t="s">
        <v>297</v>
      </c>
      <c r="L22" s="15" t="s">
        <v>71</v>
      </c>
      <c r="M22" s="17" t="s">
        <v>298</v>
      </c>
      <c r="N22" s="19" t="s">
        <v>73</v>
      </c>
      <c r="O22" s="19" t="s">
        <v>299</v>
      </c>
      <c r="P22" s="20"/>
    </row>
    <row r="23" customFormat="false" ht="80.25" hidden="false" customHeight="true" outlineLevel="0" collapsed="false">
      <c r="A23" s="15" t="n">
        <v>4</v>
      </c>
      <c r="B23" s="16" t="s">
        <v>300</v>
      </c>
      <c r="C23" s="17" t="s">
        <v>62</v>
      </c>
      <c r="D23" s="17" t="s">
        <v>88</v>
      </c>
      <c r="E23" s="17" t="s">
        <v>301</v>
      </c>
      <c r="F23" s="17" t="s">
        <v>302</v>
      </c>
      <c r="G23" s="17" t="s">
        <v>303</v>
      </c>
      <c r="H23" s="17" t="s">
        <v>304</v>
      </c>
      <c r="I23" s="17" t="s">
        <v>305</v>
      </c>
      <c r="J23" s="17" t="s">
        <v>306</v>
      </c>
      <c r="K23" s="18" t="s">
        <v>307</v>
      </c>
      <c r="L23" s="15" t="s">
        <v>71</v>
      </c>
      <c r="M23" s="17" t="s">
        <v>308</v>
      </c>
      <c r="N23" s="19" t="s">
        <v>73</v>
      </c>
      <c r="O23" s="19" t="s">
        <v>309</v>
      </c>
      <c r="P23" s="20"/>
    </row>
    <row r="24" customFormat="false" ht="54.75" hidden="false" customHeight="true" outlineLevel="0" collapsed="false">
      <c r="A24" s="15" t="n">
        <v>4</v>
      </c>
      <c r="B24" s="16" t="s">
        <v>310</v>
      </c>
      <c r="C24" s="17" t="s">
        <v>62</v>
      </c>
      <c r="D24" s="17" t="s">
        <v>311</v>
      </c>
      <c r="E24" s="17" t="s">
        <v>312</v>
      </c>
      <c r="F24" s="17" t="s">
        <v>313</v>
      </c>
      <c r="G24" s="17" t="s">
        <v>314</v>
      </c>
      <c r="H24" s="17" t="s">
        <v>315</v>
      </c>
      <c r="I24" s="17" t="s">
        <v>316</v>
      </c>
      <c r="J24" s="17" t="s">
        <v>208</v>
      </c>
      <c r="K24" s="18" t="s">
        <v>317</v>
      </c>
      <c r="L24" s="15" t="s">
        <v>71</v>
      </c>
      <c r="M24" s="17" t="s">
        <v>318</v>
      </c>
      <c r="N24" s="19" t="s">
        <v>73</v>
      </c>
      <c r="O24" s="19" t="s">
        <v>319</v>
      </c>
      <c r="P24" s="20"/>
    </row>
    <row r="25" customFormat="false" ht="54.75" hidden="false" customHeight="true" outlineLevel="0" collapsed="false">
      <c r="A25" s="15" t="n">
        <v>4</v>
      </c>
      <c r="B25" s="16" t="s">
        <v>320</v>
      </c>
      <c r="C25" s="17" t="s">
        <v>265</v>
      </c>
      <c r="D25" s="17" t="s">
        <v>88</v>
      </c>
      <c r="E25" s="17" t="s">
        <v>321</v>
      </c>
      <c r="F25" s="17" t="s">
        <v>322</v>
      </c>
      <c r="G25" s="17" t="s">
        <v>323</v>
      </c>
      <c r="H25" s="17" t="s">
        <v>324</v>
      </c>
      <c r="I25" s="17" t="s">
        <v>325</v>
      </c>
      <c r="J25" s="17" t="s">
        <v>326</v>
      </c>
      <c r="K25" s="18" t="s">
        <v>327</v>
      </c>
      <c r="L25" s="15" t="s">
        <v>71</v>
      </c>
      <c r="M25" s="17" t="s">
        <v>328</v>
      </c>
      <c r="N25" s="19" t="s">
        <v>73</v>
      </c>
      <c r="O25" s="19" t="s">
        <v>329</v>
      </c>
      <c r="P25" s="20"/>
    </row>
    <row r="26" customFormat="false" ht="105.75" hidden="false" customHeight="true" outlineLevel="0" collapsed="false">
      <c r="A26" s="15" t="n">
        <v>4</v>
      </c>
      <c r="B26" s="16" t="s">
        <v>330</v>
      </c>
      <c r="C26" s="17" t="s">
        <v>223</v>
      </c>
      <c r="D26" s="17" t="s">
        <v>88</v>
      </c>
      <c r="E26" s="17" t="s">
        <v>331</v>
      </c>
      <c r="F26" s="17" t="s">
        <v>332</v>
      </c>
      <c r="G26" s="17" t="s">
        <v>333</v>
      </c>
      <c r="H26" s="17" t="s">
        <v>334</v>
      </c>
      <c r="I26" s="17" t="s">
        <v>335</v>
      </c>
      <c r="J26" s="17" t="s">
        <v>336</v>
      </c>
      <c r="K26" s="18" t="s">
        <v>337</v>
      </c>
      <c r="L26" s="15" t="s">
        <v>71</v>
      </c>
      <c r="M26" s="17" t="s">
        <v>338</v>
      </c>
      <c r="N26" s="19" t="s">
        <v>73</v>
      </c>
      <c r="O26" s="19" t="s">
        <v>339</v>
      </c>
      <c r="P26" s="20"/>
    </row>
    <row r="27" customFormat="false" ht="67.5" hidden="false" customHeight="true" outlineLevel="0" collapsed="false">
      <c r="A27" s="15" t="n">
        <v>4</v>
      </c>
      <c r="B27" s="16" t="s">
        <v>340</v>
      </c>
      <c r="C27" s="17" t="s">
        <v>111</v>
      </c>
      <c r="D27" s="17" t="s">
        <v>88</v>
      </c>
      <c r="E27" s="17" t="s">
        <v>341</v>
      </c>
      <c r="F27" s="17" t="s">
        <v>342</v>
      </c>
      <c r="G27" s="17" t="s">
        <v>138</v>
      </c>
      <c r="H27" s="17" t="s">
        <v>343</v>
      </c>
      <c r="I27" s="17" t="s">
        <v>344</v>
      </c>
      <c r="J27" s="17" t="s">
        <v>345</v>
      </c>
      <c r="K27" s="18" t="s">
        <v>346</v>
      </c>
      <c r="L27" s="15" t="s">
        <v>71</v>
      </c>
      <c r="M27" s="17" t="s">
        <v>347</v>
      </c>
      <c r="N27" s="19" t="s">
        <v>73</v>
      </c>
      <c r="O27" s="19" t="s">
        <v>348</v>
      </c>
      <c r="P27" s="20"/>
    </row>
    <row r="28" customFormat="false" ht="54.75" hidden="false" customHeight="true" outlineLevel="0" collapsed="false">
      <c r="A28" s="15" t="n">
        <v>4</v>
      </c>
      <c r="B28" s="16" t="s">
        <v>349</v>
      </c>
      <c r="C28" s="17" t="s">
        <v>111</v>
      </c>
      <c r="D28" s="17" t="s">
        <v>88</v>
      </c>
      <c r="E28" s="17" t="s">
        <v>350</v>
      </c>
      <c r="F28" s="17" t="s">
        <v>351</v>
      </c>
      <c r="G28" s="17" t="s">
        <v>352</v>
      </c>
      <c r="H28" s="17" t="s">
        <v>161</v>
      </c>
      <c r="I28" s="17" t="s">
        <v>353</v>
      </c>
      <c r="J28" s="17" t="s">
        <v>354</v>
      </c>
      <c r="K28" s="18" t="s">
        <v>355</v>
      </c>
      <c r="L28" s="15" t="s">
        <v>71</v>
      </c>
      <c r="M28" s="17" t="s">
        <v>356</v>
      </c>
      <c r="N28" s="19" t="s">
        <v>73</v>
      </c>
      <c r="O28" s="19" t="s">
        <v>357</v>
      </c>
      <c r="P28" s="20"/>
    </row>
    <row r="29" customFormat="false" ht="67.5" hidden="false" customHeight="true" outlineLevel="0" collapsed="false">
      <c r="A29" s="15" t="n">
        <v>4</v>
      </c>
      <c r="B29" s="16" t="s">
        <v>358</v>
      </c>
      <c r="C29" s="17" t="s">
        <v>76</v>
      </c>
      <c r="D29" s="17" t="s">
        <v>88</v>
      </c>
      <c r="E29" s="17" t="s">
        <v>359</v>
      </c>
      <c r="F29" s="17" t="s">
        <v>360</v>
      </c>
      <c r="G29" s="17" t="s">
        <v>361</v>
      </c>
      <c r="H29" s="17" t="s">
        <v>161</v>
      </c>
      <c r="I29" s="17" t="s">
        <v>362</v>
      </c>
      <c r="J29" s="17" t="s">
        <v>363</v>
      </c>
      <c r="K29" s="18" t="s">
        <v>364</v>
      </c>
      <c r="L29" s="15" t="s">
        <v>71</v>
      </c>
      <c r="M29" s="17" t="s">
        <v>365</v>
      </c>
      <c r="N29" s="19" t="s">
        <v>73</v>
      </c>
      <c r="O29" s="19" t="s">
        <v>366</v>
      </c>
      <c r="P29" s="20"/>
    </row>
    <row r="30" customFormat="false" ht="67.5" hidden="false" customHeight="true" outlineLevel="0" collapsed="false">
      <c r="A30" s="15" t="n">
        <v>4</v>
      </c>
      <c r="B30" s="16" t="s">
        <v>367</v>
      </c>
      <c r="C30" s="17" t="s">
        <v>368</v>
      </c>
      <c r="D30" s="17" t="s">
        <v>100</v>
      </c>
      <c r="E30" s="17" t="s">
        <v>369</v>
      </c>
      <c r="F30" s="17" t="s">
        <v>370</v>
      </c>
      <c r="G30" s="17" t="s">
        <v>371</v>
      </c>
      <c r="H30" s="17" t="s">
        <v>372</v>
      </c>
      <c r="I30" s="17" t="s">
        <v>373</v>
      </c>
      <c r="J30" s="17" t="s">
        <v>208</v>
      </c>
      <c r="K30" s="18" t="s">
        <v>374</v>
      </c>
      <c r="L30" s="15" t="s">
        <v>71</v>
      </c>
      <c r="M30" s="17" t="s">
        <v>375</v>
      </c>
      <c r="N30" s="19" t="s">
        <v>73</v>
      </c>
      <c r="O30" s="19" t="s">
        <v>376</v>
      </c>
      <c r="P30" s="20"/>
    </row>
    <row r="31" customFormat="false" ht="54.75" hidden="false" customHeight="true" outlineLevel="0" collapsed="false">
      <c r="A31" s="15" t="n">
        <v>4</v>
      </c>
      <c r="B31" s="16" t="s">
        <v>377</v>
      </c>
      <c r="C31" s="17" t="s">
        <v>178</v>
      </c>
      <c r="D31" s="17" t="s">
        <v>88</v>
      </c>
      <c r="E31" s="17" t="s">
        <v>378</v>
      </c>
      <c r="F31" s="17" t="s">
        <v>379</v>
      </c>
      <c r="G31" s="17" t="s">
        <v>380</v>
      </c>
      <c r="H31" s="17" t="s">
        <v>381</v>
      </c>
      <c r="I31" s="17" t="s">
        <v>382</v>
      </c>
      <c r="J31" s="17" t="s">
        <v>383</v>
      </c>
      <c r="K31" s="18" t="s">
        <v>384</v>
      </c>
      <c r="L31" s="15" t="s">
        <v>71</v>
      </c>
      <c r="M31" s="17" t="s">
        <v>385</v>
      </c>
      <c r="N31" s="19" t="s">
        <v>73</v>
      </c>
      <c r="O31" s="19" t="s">
        <v>386</v>
      </c>
      <c r="P31" s="20"/>
    </row>
    <row r="32" customFormat="false" ht="80.25" hidden="false" customHeight="true" outlineLevel="0" collapsed="false">
      <c r="A32" s="15" t="n">
        <v>4</v>
      </c>
      <c r="B32" s="16" t="s">
        <v>387</v>
      </c>
      <c r="C32" s="17" t="s">
        <v>265</v>
      </c>
      <c r="D32" s="17" t="s">
        <v>266</v>
      </c>
      <c r="E32" s="17" t="s">
        <v>388</v>
      </c>
      <c r="F32" s="17" t="s">
        <v>389</v>
      </c>
      <c r="G32" s="17" t="s">
        <v>390</v>
      </c>
      <c r="H32" s="17" t="s">
        <v>391</v>
      </c>
      <c r="I32" s="17" t="s">
        <v>392</v>
      </c>
      <c r="J32" s="17" t="s">
        <v>393</v>
      </c>
      <c r="K32" s="18" t="s">
        <v>394</v>
      </c>
      <c r="L32" s="15" t="s">
        <v>71</v>
      </c>
      <c r="M32" s="17" t="s">
        <v>395</v>
      </c>
      <c r="N32" s="19" t="s">
        <v>73</v>
      </c>
      <c r="O32" s="19" t="s">
        <v>396</v>
      </c>
      <c r="P32" s="20"/>
    </row>
    <row r="33" customFormat="false" ht="67.5" hidden="false" customHeight="true" outlineLevel="0" collapsed="false">
      <c r="A33" s="15" t="n">
        <v>4</v>
      </c>
      <c r="B33" s="16" t="s">
        <v>397</v>
      </c>
      <c r="C33" s="17" t="s">
        <v>76</v>
      </c>
      <c r="D33" s="17" t="s">
        <v>88</v>
      </c>
      <c r="E33" s="17" t="s">
        <v>398</v>
      </c>
      <c r="F33" s="17" t="s">
        <v>399</v>
      </c>
      <c r="G33" s="17" t="s">
        <v>400</v>
      </c>
      <c r="H33" s="17" t="s">
        <v>401</v>
      </c>
      <c r="I33" s="17" t="s">
        <v>402</v>
      </c>
      <c r="J33" s="17" t="s">
        <v>403</v>
      </c>
      <c r="K33" s="18" t="s">
        <v>404</v>
      </c>
      <c r="L33" s="15" t="s">
        <v>71</v>
      </c>
      <c r="M33" s="17" t="s">
        <v>405</v>
      </c>
      <c r="N33" s="19" t="s">
        <v>73</v>
      </c>
      <c r="O33" s="19" t="s">
        <v>406</v>
      </c>
      <c r="P33" s="20"/>
    </row>
    <row r="34" customFormat="false" ht="54.75" hidden="false" customHeight="true" outlineLevel="0" collapsed="false">
      <c r="A34" s="15" t="n">
        <v>4</v>
      </c>
      <c r="B34" s="16" t="s">
        <v>407</v>
      </c>
      <c r="C34" s="17" t="s">
        <v>178</v>
      </c>
      <c r="D34" s="17" t="s">
        <v>408</v>
      </c>
      <c r="E34" s="17" t="s">
        <v>409</v>
      </c>
      <c r="F34" s="17" t="s">
        <v>410</v>
      </c>
      <c r="G34" s="17" t="s">
        <v>411</v>
      </c>
      <c r="H34" s="17" t="s">
        <v>412</v>
      </c>
      <c r="I34" s="17" t="s">
        <v>413</v>
      </c>
      <c r="J34" s="17" t="s">
        <v>414</v>
      </c>
      <c r="K34" s="18" t="s">
        <v>415</v>
      </c>
      <c r="L34" s="15" t="s">
        <v>131</v>
      </c>
      <c r="M34" s="17" t="s">
        <v>416</v>
      </c>
      <c r="N34" s="19" t="s">
        <v>73</v>
      </c>
      <c r="O34" s="19" t="s">
        <v>417</v>
      </c>
      <c r="P34" s="20"/>
    </row>
    <row r="35" customFormat="false" ht="42" hidden="false" customHeight="true" outlineLevel="0" collapsed="false">
      <c r="A35" s="15" t="n">
        <v>4</v>
      </c>
      <c r="B35" s="16" t="s">
        <v>418</v>
      </c>
      <c r="C35" s="17" t="s">
        <v>419</v>
      </c>
      <c r="D35" s="17" t="s">
        <v>179</v>
      </c>
      <c r="E35" s="17" t="s">
        <v>420</v>
      </c>
      <c r="F35" s="17" t="s">
        <v>421</v>
      </c>
      <c r="G35" s="17" t="s">
        <v>422</v>
      </c>
      <c r="H35" s="17" t="s">
        <v>423</v>
      </c>
      <c r="I35" s="17" t="s">
        <v>424</v>
      </c>
      <c r="J35" s="17" t="s">
        <v>208</v>
      </c>
      <c r="K35" s="18" t="s">
        <v>425</v>
      </c>
      <c r="L35" s="15" t="s">
        <v>131</v>
      </c>
      <c r="M35" s="17" t="s">
        <v>426</v>
      </c>
      <c r="N35" s="19" t="s">
        <v>73</v>
      </c>
      <c r="O35" s="19" t="s">
        <v>417</v>
      </c>
      <c r="P35" s="20"/>
    </row>
    <row r="36" customFormat="false" ht="67.5" hidden="false" customHeight="true" outlineLevel="0" collapsed="false">
      <c r="A36" s="15" t="n">
        <v>4</v>
      </c>
      <c r="B36" s="16" t="s">
        <v>427</v>
      </c>
      <c r="C36" s="17" t="s">
        <v>265</v>
      </c>
      <c r="D36" s="17" t="s">
        <v>88</v>
      </c>
      <c r="E36" s="17" t="s">
        <v>428</v>
      </c>
      <c r="F36" s="17" t="s">
        <v>429</v>
      </c>
      <c r="G36" s="17" t="s">
        <v>430</v>
      </c>
      <c r="H36" s="17" t="s">
        <v>431</v>
      </c>
      <c r="I36" s="17" t="s">
        <v>432</v>
      </c>
      <c r="J36" s="17" t="s">
        <v>326</v>
      </c>
      <c r="K36" s="18" t="s">
        <v>433</v>
      </c>
      <c r="L36" s="15" t="s">
        <v>131</v>
      </c>
      <c r="M36" s="17" t="s">
        <v>434</v>
      </c>
      <c r="N36" s="19" t="s">
        <v>73</v>
      </c>
      <c r="O36" s="19" t="s">
        <v>435</v>
      </c>
      <c r="P36" s="20"/>
    </row>
    <row r="37" customFormat="false" ht="42" hidden="false" customHeight="true" outlineLevel="0" collapsed="false">
      <c r="A37" s="15" t="n">
        <v>4</v>
      </c>
      <c r="B37" s="16" t="s">
        <v>436</v>
      </c>
      <c r="C37" s="17" t="s">
        <v>437</v>
      </c>
      <c r="D37" s="17" t="s">
        <v>100</v>
      </c>
      <c r="E37" s="17" t="s">
        <v>438</v>
      </c>
      <c r="F37" s="17" t="s">
        <v>439</v>
      </c>
      <c r="G37" s="17" t="s">
        <v>440</v>
      </c>
      <c r="H37" s="17" t="s">
        <v>441</v>
      </c>
      <c r="I37" s="17" t="s">
        <v>442</v>
      </c>
      <c r="J37" s="17" t="s">
        <v>208</v>
      </c>
      <c r="K37" s="18" t="s">
        <v>443</v>
      </c>
      <c r="L37" s="15" t="s">
        <v>131</v>
      </c>
      <c r="M37" s="17" t="s">
        <v>444</v>
      </c>
      <c r="N37" s="19" t="s">
        <v>73</v>
      </c>
      <c r="O37" s="19" t="s">
        <v>417</v>
      </c>
      <c r="P37" s="20"/>
    </row>
    <row r="38" customFormat="false" ht="54.75" hidden="false" customHeight="true" outlineLevel="0" collapsed="false">
      <c r="A38" s="15" t="n">
        <v>4</v>
      </c>
      <c r="B38" s="16" t="s">
        <v>445</v>
      </c>
      <c r="C38" s="17" t="s">
        <v>76</v>
      </c>
      <c r="D38" s="17" t="s">
        <v>88</v>
      </c>
      <c r="E38" s="17" t="s">
        <v>446</v>
      </c>
      <c r="F38" s="17" t="s">
        <v>447</v>
      </c>
      <c r="G38" s="17" t="s">
        <v>448</v>
      </c>
      <c r="H38" s="17" t="s">
        <v>449</v>
      </c>
      <c r="I38" s="17" t="s">
        <v>450</v>
      </c>
      <c r="J38" s="17" t="s">
        <v>451</v>
      </c>
      <c r="K38" s="18" t="s">
        <v>452</v>
      </c>
      <c r="L38" s="15" t="s">
        <v>131</v>
      </c>
      <c r="M38" s="17" t="s">
        <v>453</v>
      </c>
      <c r="N38" s="19" t="s">
        <v>73</v>
      </c>
      <c r="O38" s="19" t="s">
        <v>417</v>
      </c>
      <c r="P38" s="20"/>
    </row>
    <row r="39" customFormat="false" ht="42" hidden="false" customHeight="true" outlineLevel="0" collapsed="false">
      <c r="A39" s="15" t="n">
        <v>4</v>
      </c>
      <c r="B39" s="16" t="s">
        <v>454</v>
      </c>
      <c r="C39" s="17" t="s">
        <v>62</v>
      </c>
      <c r="D39" s="17" t="s">
        <v>455</v>
      </c>
      <c r="E39" s="17" t="s">
        <v>456</v>
      </c>
      <c r="F39" s="17" t="s">
        <v>457</v>
      </c>
      <c r="G39" s="17" t="s">
        <v>458</v>
      </c>
      <c r="H39" s="17" t="s">
        <v>459</v>
      </c>
      <c r="I39" s="17" t="s">
        <v>413</v>
      </c>
      <c r="J39" s="17" t="s">
        <v>460</v>
      </c>
      <c r="K39" s="18" t="s">
        <v>461</v>
      </c>
      <c r="L39" s="15" t="s">
        <v>131</v>
      </c>
      <c r="M39" s="17" t="s">
        <v>462</v>
      </c>
      <c r="N39" s="19" t="s">
        <v>73</v>
      </c>
      <c r="O39" s="19" t="s">
        <v>463</v>
      </c>
      <c r="P39" s="20"/>
    </row>
    <row r="40" customFormat="false" ht="54.75" hidden="false" customHeight="true" outlineLevel="0" collapsed="false">
      <c r="A40" s="15" t="n">
        <v>4</v>
      </c>
      <c r="B40" s="16" t="s">
        <v>464</v>
      </c>
      <c r="C40" s="17" t="s">
        <v>111</v>
      </c>
      <c r="D40" s="17" t="s">
        <v>455</v>
      </c>
      <c r="E40" s="17" t="s">
        <v>465</v>
      </c>
      <c r="F40" s="17" t="s">
        <v>466</v>
      </c>
      <c r="G40" s="17" t="s">
        <v>467</v>
      </c>
      <c r="H40" s="17" t="s">
        <v>468</v>
      </c>
      <c r="I40" s="17" t="s">
        <v>469</v>
      </c>
      <c r="J40" s="17" t="s">
        <v>470</v>
      </c>
      <c r="K40" s="18" t="s">
        <v>471</v>
      </c>
      <c r="L40" s="15" t="s">
        <v>131</v>
      </c>
      <c r="M40" s="17" t="s">
        <v>472</v>
      </c>
      <c r="N40" s="19" t="s">
        <v>73</v>
      </c>
      <c r="O40" s="19" t="s">
        <v>463</v>
      </c>
      <c r="P40" s="20"/>
    </row>
    <row r="41" customFormat="false" ht="42" hidden="false" customHeight="true" outlineLevel="0" collapsed="false">
      <c r="A41" s="15" t="n">
        <v>4</v>
      </c>
      <c r="B41" s="16" t="s">
        <v>473</v>
      </c>
      <c r="C41" s="17" t="s">
        <v>111</v>
      </c>
      <c r="D41" s="17" t="s">
        <v>474</v>
      </c>
      <c r="E41" s="17" t="s">
        <v>475</v>
      </c>
      <c r="F41" s="17" t="s">
        <v>476</v>
      </c>
      <c r="G41" s="17" t="s">
        <v>477</v>
      </c>
      <c r="H41" s="17" t="s">
        <v>478</v>
      </c>
      <c r="I41" s="17" t="s">
        <v>479</v>
      </c>
      <c r="J41" s="17" t="s">
        <v>480</v>
      </c>
      <c r="K41" s="18" t="s">
        <v>481</v>
      </c>
      <c r="L41" s="15" t="s">
        <v>131</v>
      </c>
      <c r="M41" s="17" t="s">
        <v>482</v>
      </c>
      <c r="N41" s="19" t="s">
        <v>73</v>
      </c>
      <c r="O41" s="19" t="s">
        <v>463</v>
      </c>
      <c r="P41" s="20"/>
    </row>
    <row r="42" customFormat="false" ht="67.5" hidden="false" customHeight="true" outlineLevel="0" collapsed="false">
      <c r="A42" s="15" t="n">
        <v>4</v>
      </c>
      <c r="B42" s="16" t="s">
        <v>483</v>
      </c>
      <c r="C42" s="17" t="s">
        <v>111</v>
      </c>
      <c r="D42" s="17" t="s">
        <v>484</v>
      </c>
      <c r="E42" s="17" t="s">
        <v>485</v>
      </c>
      <c r="F42" s="17" t="s">
        <v>486</v>
      </c>
      <c r="G42" s="17" t="s">
        <v>487</v>
      </c>
      <c r="H42" s="17" t="s">
        <v>488</v>
      </c>
      <c r="I42" s="17" t="s">
        <v>489</v>
      </c>
      <c r="J42" s="17" t="s">
        <v>490</v>
      </c>
      <c r="K42" s="18" t="s">
        <v>491</v>
      </c>
      <c r="L42" s="15" t="s">
        <v>131</v>
      </c>
      <c r="M42" s="17" t="s">
        <v>492</v>
      </c>
      <c r="N42" s="19" t="s">
        <v>73</v>
      </c>
      <c r="O42" s="19" t="s">
        <v>463</v>
      </c>
      <c r="P42" s="20"/>
    </row>
    <row r="43" customFormat="false" ht="42" hidden="false" customHeight="true" outlineLevel="0" collapsed="false">
      <c r="A43" s="15" t="n">
        <v>4</v>
      </c>
      <c r="B43" s="16" t="s">
        <v>493</v>
      </c>
      <c r="C43" s="17" t="s">
        <v>111</v>
      </c>
      <c r="D43" s="17" t="s">
        <v>455</v>
      </c>
      <c r="E43" s="17" t="s">
        <v>494</v>
      </c>
      <c r="F43" s="17" t="s">
        <v>495</v>
      </c>
      <c r="G43" s="17" t="s">
        <v>496</v>
      </c>
      <c r="H43" s="17" t="s">
        <v>497</v>
      </c>
      <c r="I43" s="17" t="s">
        <v>498</v>
      </c>
      <c r="J43" s="17" t="s">
        <v>499</v>
      </c>
      <c r="K43" s="18" t="s">
        <v>500</v>
      </c>
      <c r="L43" s="15" t="s">
        <v>131</v>
      </c>
      <c r="M43" s="17" t="s">
        <v>501</v>
      </c>
      <c r="N43" s="19" t="s">
        <v>73</v>
      </c>
      <c r="O43" s="19" t="s">
        <v>463</v>
      </c>
      <c r="P43" s="20"/>
    </row>
    <row r="44" customFormat="false" ht="54.75" hidden="false" customHeight="true" outlineLevel="0" collapsed="false">
      <c r="A44" s="15" t="n">
        <v>4</v>
      </c>
      <c r="B44" s="16" t="s">
        <v>502</v>
      </c>
      <c r="C44" s="17" t="s">
        <v>277</v>
      </c>
      <c r="D44" s="17" t="s">
        <v>503</v>
      </c>
      <c r="E44" s="17" t="s">
        <v>504</v>
      </c>
      <c r="F44" s="17" t="s">
        <v>505</v>
      </c>
      <c r="G44" s="17" t="s">
        <v>506</v>
      </c>
      <c r="H44" s="17" t="s">
        <v>507</v>
      </c>
      <c r="I44" s="17" t="s">
        <v>508</v>
      </c>
      <c r="J44" s="17" t="s">
        <v>509</v>
      </c>
      <c r="K44" s="18" t="s">
        <v>510</v>
      </c>
      <c r="L44" s="15" t="s">
        <v>131</v>
      </c>
      <c r="M44" s="17" t="s">
        <v>511</v>
      </c>
      <c r="N44" s="19" t="s">
        <v>73</v>
      </c>
      <c r="O44" s="19" t="s">
        <v>512</v>
      </c>
      <c r="P44" s="20"/>
    </row>
    <row r="45" customFormat="false" ht="67.5" hidden="false" customHeight="true" outlineLevel="0" collapsed="false">
      <c r="A45" s="15" t="n">
        <v>4</v>
      </c>
      <c r="B45" s="16" t="s">
        <v>513</v>
      </c>
      <c r="C45" s="17" t="s">
        <v>277</v>
      </c>
      <c r="D45" s="17" t="s">
        <v>503</v>
      </c>
      <c r="E45" s="17" t="s">
        <v>514</v>
      </c>
      <c r="F45" s="17" t="s">
        <v>515</v>
      </c>
      <c r="G45" s="17" t="s">
        <v>516</v>
      </c>
      <c r="H45" s="17" t="s">
        <v>517</v>
      </c>
      <c r="I45" s="17" t="s">
        <v>518</v>
      </c>
      <c r="J45" s="17" t="s">
        <v>519</v>
      </c>
      <c r="K45" s="18" t="s">
        <v>520</v>
      </c>
      <c r="L45" s="15" t="s">
        <v>131</v>
      </c>
      <c r="M45" s="17" t="s">
        <v>521</v>
      </c>
      <c r="N45" s="19" t="s">
        <v>73</v>
      </c>
      <c r="O45" s="19" t="s">
        <v>463</v>
      </c>
      <c r="P45" s="20"/>
    </row>
    <row r="46" customFormat="false" ht="67.5" hidden="false" customHeight="true" outlineLevel="0" collapsed="false">
      <c r="A46" s="15" t="n">
        <v>4</v>
      </c>
      <c r="B46" s="16" t="s">
        <v>522</v>
      </c>
      <c r="C46" s="17" t="s">
        <v>76</v>
      </c>
      <c r="D46" s="17" t="s">
        <v>523</v>
      </c>
      <c r="E46" s="17" t="s">
        <v>524</v>
      </c>
      <c r="F46" s="17" t="s">
        <v>525</v>
      </c>
      <c r="G46" s="17" t="s">
        <v>526</v>
      </c>
      <c r="H46" s="17" t="s">
        <v>161</v>
      </c>
      <c r="I46" s="17" t="s">
        <v>527</v>
      </c>
      <c r="J46" s="17" t="s">
        <v>528</v>
      </c>
      <c r="K46" s="18" t="s">
        <v>529</v>
      </c>
      <c r="L46" s="15" t="s">
        <v>71</v>
      </c>
      <c r="M46" s="17" t="s">
        <v>530</v>
      </c>
      <c r="N46" s="19" t="s">
        <v>73</v>
      </c>
      <c r="O46" s="19" t="s">
        <v>531</v>
      </c>
      <c r="P46" s="20"/>
    </row>
    <row r="47" customFormat="false" ht="42" hidden="false" customHeight="true" outlineLevel="0" collapsed="false">
      <c r="A47" s="15" t="n">
        <v>4</v>
      </c>
      <c r="B47" s="16" t="s">
        <v>532</v>
      </c>
      <c r="C47" s="17" t="s">
        <v>111</v>
      </c>
      <c r="D47" s="17" t="s">
        <v>533</v>
      </c>
      <c r="E47" s="17" t="s">
        <v>534</v>
      </c>
      <c r="F47" s="17" t="s">
        <v>535</v>
      </c>
      <c r="G47" s="17" t="s">
        <v>536</v>
      </c>
      <c r="H47" s="17" t="s">
        <v>537</v>
      </c>
      <c r="I47" s="17" t="s">
        <v>538</v>
      </c>
      <c r="J47" s="17" t="s">
        <v>539</v>
      </c>
      <c r="K47" s="18" t="s">
        <v>540</v>
      </c>
      <c r="L47" s="15" t="s">
        <v>71</v>
      </c>
      <c r="M47" s="17" t="s">
        <v>541</v>
      </c>
      <c r="N47" s="19" t="s">
        <v>73</v>
      </c>
      <c r="O47" s="19" t="s">
        <v>542</v>
      </c>
      <c r="P47" s="20"/>
    </row>
    <row r="48" customFormat="false" ht="80.25" hidden="false" customHeight="true" outlineLevel="0" collapsed="false">
      <c r="A48" s="15" t="n">
        <v>4</v>
      </c>
      <c r="B48" s="16" t="s">
        <v>543</v>
      </c>
      <c r="C48" s="17" t="s">
        <v>76</v>
      </c>
      <c r="D48" s="17" t="s">
        <v>544</v>
      </c>
      <c r="E48" s="17" t="s">
        <v>545</v>
      </c>
      <c r="F48" s="17" t="s">
        <v>546</v>
      </c>
      <c r="G48" s="17" t="s">
        <v>547</v>
      </c>
      <c r="H48" s="17" t="s">
        <v>548</v>
      </c>
      <c r="I48" s="17" t="s">
        <v>549</v>
      </c>
      <c r="J48" s="17" t="s">
        <v>550</v>
      </c>
      <c r="K48" s="18" t="s">
        <v>551</v>
      </c>
      <c r="L48" s="15" t="s">
        <v>71</v>
      </c>
      <c r="M48" s="17" t="s">
        <v>552</v>
      </c>
      <c r="N48" s="19" t="s">
        <v>73</v>
      </c>
      <c r="O48" s="19" t="s">
        <v>553</v>
      </c>
      <c r="P48" s="20"/>
    </row>
    <row r="49" customFormat="false" ht="93" hidden="false" customHeight="true" outlineLevel="0" collapsed="false">
      <c r="A49" s="15" t="n">
        <v>4</v>
      </c>
      <c r="B49" s="16" t="s">
        <v>554</v>
      </c>
      <c r="C49" s="17" t="s">
        <v>111</v>
      </c>
      <c r="D49" s="17" t="s">
        <v>146</v>
      </c>
      <c r="E49" s="17" t="s">
        <v>555</v>
      </c>
      <c r="F49" s="17" t="s">
        <v>556</v>
      </c>
      <c r="G49" s="17" t="s">
        <v>557</v>
      </c>
      <c r="H49" s="17" t="s">
        <v>161</v>
      </c>
      <c r="I49" s="17" t="s">
        <v>558</v>
      </c>
      <c r="J49" s="17" t="s">
        <v>559</v>
      </c>
      <c r="K49" s="18" t="s">
        <v>560</v>
      </c>
      <c r="L49" s="15" t="s">
        <v>71</v>
      </c>
      <c r="M49" s="17" t="s">
        <v>561</v>
      </c>
      <c r="N49" s="19" t="s">
        <v>73</v>
      </c>
      <c r="O49" s="19" t="s">
        <v>562</v>
      </c>
      <c r="P49" s="20"/>
    </row>
    <row r="50" customFormat="false" ht="67.5" hidden="false" customHeight="true" outlineLevel="0" collapsed="false">
      <c r="A50" s="15" t="n">
        <v>4</v>
      </c>
      <c r="B50" s="16" t="s">
        <v>563</v>
      </c>
      <c r="C50" s="17" t="s">
        <v>111</v>
      </c>
      <c r="D50" s="17" t="s">
        <v>146</v>
      </c>
      <c r="E50" s="17" t="s">
        <v>564</v>
      </c>
      <c r="F50" s="17" t="s">
        <v>565</v>
      </c>
      <c r="G50" s="17" t="s">
        <v>566</v>
      </c>
      <c r="H50" s="17" t="s">
        <v>161</v>
      </c>
      <c r="I50" s="17" t="s">
        <v>567</v>
      </c>
      <c r="J50" s="17" t="s">
        <v>568</v>
      </c>
      <c r="K50" s="18" t="s">
        <v>569</v>
      </c>
      <c r="L50" s="15" t="s">
        <v>71</v>
      </c>
      <c r="M50" s="17" t="s">
        <v>570</v>
      </c>
      <c r="N50" s="19" t="s">
        <v>73</v>
      </c>
      <c r="O50" s="19" t="s">
        <v>571</v>
      </c>
      <c r="P50" s="20"/>
    </row>
    <row r="51" customFormat="false" ht="67.5" hidden="false" customHeight="true" outlineLevel="0" collapsed="false">
      <c r="A51" s="15" t="n">
        <v>4</v>
      </c>
      <c r="B51" s="16" t="s">
        <v>572</v>
      </c>
      <c r="C51" s="17" t="s">
        <v>62</v>
      </c>
      <c r="D51" s="17" t="s">
        <v>573</v>
      </c>
      <c r="E51" s="17" t="s">
        <v>574</v>
      </c>
      <c r="F51" s="17" t="s">
        <v>575</v>
      </c>
      <c r="G51" s="17" t="s">
        <v>576</v>
      </c>
      <c r="H51" s="17" t="s">
        <v>577</v>
      </c>
      <c r="I51" s="17" t="s">
        <v>578</v>
      </c>
      <c r="J51" s="17" t="s">
        <v>208</v>
      </c>
      <c r="K51" s="18" t="s">
        <v>579</v>
      </c>
      <c r="L51" s="15" t="s">
        <v>71</v>
      </c>
      <c r="M51" s="17" t="s">
        <v>580</v>
      </c>
      <c r="N51" s="19" t="s">
        <v>73</v>
      </c>
      <c r="O51" s="19" t="s">
        <v>581</v>
      </c>
      <c r="P51" s="20"/>
    </row>
    <row r="52" customFormat="false" ht="42" hidden="false" customHeight="true" outlineLevel="0" collapsed="false">
      <c r="A52" s="15" t="n">
        <v>4</v>
      </c>
      <c r="B52" s="16" t="s">
        <v>582</v>
      </c>
      <c r="C52" s="17" t="s">
        <v>76</v>
      </c>
      <c r="D52" s="17" t="s">
        <v>146</v>
      </c>
      <c r="E52" s="17" t="s">
        <v>583</v>
      </c>
      <c r="F52" s="17" t="s">
        <v>584</v>
      </c>
      <c r="G52" s="17" t="s">
        <v>585</v>
      </c>
      <c r="H52" s="17" t="s">
        <v>586</v>
      </c>
      <c r="I52" s="17" t="s">
        <v>587</v>
      </c>
      <c r="J52" s="17" t="s">
        <v>588</v>
      </c>
      <c r="K52" s="18" t="s">
        <v>589</v>
      </c>
      <c r="L52" s="15" t="s">
        <v>71</v>
      </c>
      <c r="M52" s="17" t="s">
        <v>590</v>
      </c>
      <c r="N52" s="19" t="s">
        <v>73</v>
      </c>
      <c r="O52" s="19" t="s">
        <v>591</v>
      </c>
      <c r="P52" s="20"/>
    </row>
    <row r="53" customFormat="false" ht="54.75" hidden="false" customHeight="true" outlineLevel="0" collapsed="false">
      <c r="A53" s="15" t="n">
        <v>4</v>
      </c>
      <c r="B53" s="16" t="s">
        <v>592</v>
      </c>
      <c r="C53" s="17" t="s">
        <v>76</v>
      </c>
      <c r="D53" s="17" t="s">
        <v>544</v>
      </c>
      <c r="E53" s="17" t="s">
        <v>593</v>
      </c>
      <c r="F53" s="17" t="s">
        <v>594</v>
      </c>
      <c r="G53" s="17" t="s">
        <v>595</v>
      </c>
      <c r="H53" s="17" t="s">
        <v>161</v>
      </c>
      <c r="I53" s="17" t="s">
        <v>596</v>
      </c>
      <c r="J53" s="17" t="s">
        <v>597</v>
      </c>
      <c r="K53" s="18" t="s">
        <v>598</v>
      </c>
      <c r="L53" s="15" t="s">
        <v>71</v>
      </c>
      <c r="M53" s="17" t="s">
        <v>599</v>
      </c>
      <c r="N53" s="19" t="s">
        <v>73</v>
      </c>
      <c r="O53" s="19" t="s">
        <v>600</v>
      </c>
      <c r="P53" s="20"/>
    </row>
    <row r="54" customFormat="false" ht="54.75" hidden="false" customHeight="true" outlineLevel="0" collapsed="false">
      <c r="A54" s="15" t="n">
        <v>4</v>
      </c>
      <c r="B54" s="16" t="s">
        <v>601</v>
      </c>
      <c r="C54" s="17" t="s">
        <v>289</v>
      </c>
      <c r="D54" s="17" t="s">
        <v>602</v>
      </c>
      <c r="E54" s="17" t="s">
        <v>603</v>
      </c>
      <c r="F54" s="17" t="s">
        <v>604</v>
      </c>
      <c r="G54" s="17" t="s">
        <v>605</v>
      </c>
      <c r="H54" s="17" t="s">
        <v>116</v>
      </c>
      <c r="I54" s="17" t="s">
        <v>606</v>
      </c>
      <c r="J54" s="17" t="s">
        <v>607</v>
      </c>
      <c r="K54" s="18" t="s">
        <v>608</v>
      </c>
      <c r="L54" s="15" t="s">
        <v>71</v>
      </c>
      <c r="M54" s="17" t="s">
        <v>609</v>
      </c>
      <c r="N54" s="19" t="s">
        <v>73</v>
      </c>
      <c r="O54" s="19" t="s">
        <v>610</v>
      </c>
      <c r="P54" s="20"/>
    </row>
    <row r="55" customFormat="false" ht="54.75" hidden="false" customHeight="true" outlineLevel="0" collapsed="false">
      <c r="A55" s="15" t="n">
        <v>4</v>
      </c>
      <c r="B55" s="16" t="s">
        <v>611</v>
      </c>
      <c r="C55" s="17" t="s">
        <v>76</v>
      </c>
      <c r="D55" s="17" t="s">
        <v>612</v>
      </c>
      <c r="E55" s="17" t="s">
        <v>613</v>
      </c>
      <c r="F55" s="17" t="s">
        <v>614</v>
      </c>
      <c r="G55" s="17" t="s">
        <v>615</v>
      </c>
      <c r="H55" s="17" t="s">
        <v>616</v>
      </c>
      <c r="I55" s="17" t="s">
        <v>617</v>
      </c>
      <c r="J55" s="17" t="s">
        <v>618</v>
      </c>
      <c r="K55" s="18" t="s">
        <v>619</v>
      </c>
      <c r="L55" s="15" t="s">
        <v>131</v>
      </c>
      <c r="M55" s="17" t="s">
        <v>620</v>
      </c>
      <c r="N55" s="19" t="s">
        <v>73</v>
      </c>
      <c r="O55" s="19" t="s">
        <v>621</v>
      </c>
      <c r="P55" s="20"/>
    </row>
    <row r="56" customFormat="false" ht="54.75" hidden="false" customHeight="true" outlineLevel="0" collapsed="false">
      <c r="A56" s="15" t="n">
        <v>4</v>
      </c>
      <c r="B56" s="16" t="s">
        <v>622</v>
      </c>
      <c r="C56" s="17" t="s">
        <v>111</v>
      </c>
      <c r="D56" s="17" t="s">
        <v>146</v>
      </c>
      <c r="E56" s="17" t="s">
        <v>623</v>
      </c>
      <c r="F56" s="17" t="s">
        <v>624</v>
      </c>
      <c r="G56" s="17" t="s">
        <v>193</v>
      </c>
      <c r="H56" s="17" t="s">
        <v>625</v>
      </c>
      <c r="I56" s="17" t="s">
        <v>626</v>
      </c>
      <c r="J56" s="17" t="s">
        <v>627</v>
      </c>
      <c r="K56" s="18" t="s">
        <v>628</v>
      </c>
      <c r="L56" s="15" t="s">
        <v>131</v>
      </c>
      <c r="M56" s="17" t="s">
        <v>629</v>
      </c>
      <c r="N56" s="19" t="s">
        <v>73</v>
      </c>
      <c r="O56" s="19" t="s">
        <v>630</v>
      </c>
      <c r="P56" s="20"/>
    </row>
    <row r="57" customFormat="false" ht="54.75" hidden="false" customHeight="true" outlineLevel="0" collapsed="false">
      <c r="A57" s="15" t="n">
        <v>4</v>
      </c>
      <c r="B57" s="16" t="s">
        <v>631</v>
      </c>
      <c r="C57" s="17" t="s">
        <v>111</v>
      </c>
      <c r="D57" s="17" t="s">
        <v>146</v>
      </c>
      <c r="E57" s="17" t="s">
        <v>632</v>
      </c>
      <c r="F57" s="17" t="s">
        <v>633</v>
      </c>
      <c r="G57" s="17" t="s">
        <v>634</v>
      </c>
      <c r="H57" s="17" t="s">
        <v>635</v>
      </c>
      <c r="I57" s="17" t="s">
        <v>636</v>
      </c>
      <c r="J57" s="17" t="s">
        <v>637</v>
      </c>
      <c r="K57" s="18" t="s">
        <v>638</v>
      </c>
      <c r="L57" s="15" t="s">
        <v>131</v>
      </c>
      <c r="M57" s="17" t="s">
        <v>639</v>
      </c>
      <c r="N57" s="19" t="s">
        <v>73</v>
      </c>
      <c r="O57" s="19" t="s">
        <v>621</v>
      </c>
      <c r="P57" s="20"/>
    </row>
    <row r="58" customFormat="false" ht="42" hidden="false" customHeight="true" outlineLevel="0" collapsed="false">
      <c r="A58" s="15" t="n">
        <v>3</v>
      </c>
      <c r="B58" s="16" t="s">
        <v>640</v>
      </c>
      <c r="C58" s="17" t="s">
        <v>111</v>
      </c>
      <c r="D58" s="17" t="s">
        <v>641</v>
      </c>
      <c r="E58" s="17" t="s">
        <v>642</v>
      </c>
      <c r="F58" s="17" t="s">
        <v>643</v>
      </c>
      <c r="G58" s="17" t="s">
        <v>644</v>
      </c>
      <c r="H58" s="17" t="s">
        <v>645</v>
      </c>
      <c r="I58" s="17" t="s">
        <v>259</v>
      </c>
      <c r="J58" s="17" t="s">
        <v>646</v>
      </c>
      <c r="K58" s="18" t="s">
        <v>647</v>
      </c>
      <c r="L58" s="15" t="s">
        <v>71</v>
      </c>
      <c r="M58" s="17" t="s">
        <v>648</v>
      </c>
      <c r="N58" s="19" t="s">
        <v>73</v>
      </c>
      <c r="O58" s="19" t="s">
        <v>649</v>
      </c>
      <c r="P58" s="20"/>
    </row>
    <row r="59" customFormat="false" ht="42" hidden="false" customHeight="true" outlineLevel="0" collapsed="false">
      <c r="A59" s="15" t="n">
        <v>3</v>
      </c>
      <c r="B59" s="16" t="s">
        <v>650</v>
      </c>
      <c r="C59" s="17" t="s">
        <v>76</v>
      </c>
      <c r="D59" s="17" t="s">
        <v>88</v>
      </c>
      <c r="E59" s="17" t="s">
        <v>651</v>
      </c>
      <c r="F59" s="17" t="s">
        <v>652</v>
      </c>
      <c r="G59" s="17" t="s">
        <v>653</v>
      </c>
      <c r="H59" s="17" t="s">
        <v>654</v>
      </c>
      <c r="I59" s="17" t="s">
        <v>259</v>
      </c>
      <c r="J59" s="17" t="s">
        <v>655</v>
      </c>
      <c r="K59" s="18" t="s">
        <v>656</v>
      </c>
      <c r="L59" s="15" t="s">
        <v>71</v>
      </c>
      <c r="M59" s="17" t="s">
        <v>657</v>
      </c>
      <c r="N59" s="19" t="s">
        <v>73</v>
      </c>
      <c r="O59" s="19" t="s">
        <v>658</v>
      </c>
      <c r="P59" s="20"/>
    </row>
    <row r="60" customFormat="false" ht="54.75" hidden="false" customHeight="true" outlineLevel="0" collapsed="false">
      <c r="A60" s="15" t="n">
        <v>3</v>
      </c>
      <c r="B60" s="16" t="s">
        <v>659</v>
      </c>
      <c r="C60" s="17" t="s">
        <v>111</v>
      </c>
      <c r="D60" s="17" t="s">
        <v>88</v>
      </c>
      <c r="E60" s="17" t="s">
        <v>660</v>
      </c>
      <c r="F60" s="17" t="s">
        <v>661</v>
      </c>
      <c r="G60" s="17" t="s">
        <v>662</v>
      </c>
      <c r="H60" s="17" t="s">
        <v>663</v>
      </c>
      <c r="I60" s="17" t="s">
        <v>664</v>
      </c>
      <c r="J60" s="17" t="s">
        <v>665</v>
      </c>
      <c r="K60" s="18" t="s">
        <v>666</v>
      </c>
      <c r="L60" s="15" t="s">
        <v>71</v>
      </c>
      <c r="M60" s="17" t="s">
        <v>667</v>
      </c>
      <c r="N60" s="19" t="s">
        <v>73</v>
      </c>
      <c r="O60" s="19" t="s">
        <v>668</v>
      </c>
      <c r="P60" s="20"/>
    </row>
    <row r="61" customFormat="false" ht="80.25" hidden="false" customHeight="true" outlineLevel="0" collapsed="false">
      <c r="A61" s="15" t="n">
        <v>3</v>
      </c>
      <c r="B61" s="16" t="s">
        <v>669</v>
      </c>
      <c r="C61" s="17" t="s">
        <v>111</v>
      </c>
      <c r="D61" s="17" t="s">
        <v>670</v>
      </c>
      <c r="E61" s="17" t="s">
        <v>671</v>
      </c>
      <c r="F61" s="17" t="s">
        <v>672</v>
      </c>
      <c r="G61" s="17" t="s">
        <v>673</v>
      </c>
      <c r="H61" s="17" t="s">
        <v>674</v>
      </c>
      <c r="I61" s="17" t="s">
        <v>675</v>
      </c>
      <c r="J61" s="17" t="s">
        <v>676</v>
      </c>
      <c r="K61" s="18" t="s">
        <v>677</v>
      </c>
      <c r="L61" s="15" t="s">
        <v>71</v>
      </c>
      <c r="M61" s="17" t="s">
        <v>678</v>
      </c>
      <c r="N61" s="19" t="s">
        <v>73</v>
      </c>
      <c r="O61" s="19" t="s">
        <v>679</v>
      </c>
      <c r="P61" s="20"/>
    </row>
    <row r="62" customFormat="false" ht="67.5" hidden="false" customHeight="true" outlineLevel="0" collapsed="false">
      <c r="A62" s="15" t="n">
        <v>3</v>
      </c>
      <c r="B62" s="16" t="s">
        <v>680</v>
      </c>
      <c r="C62" s="17" t="s">
        <v>277</v>
      </c>
      <c r="D62" s="17" t="s">
        <v>88</v>
      </c>
      <c r="E62" s="17" t="s">
        <v>681</v>
      </c>
      <c r="F62" s="17" t="s">
        <v>682</v>
      </c>
      <c r="G62" s="17" t="s">
        <v>683</v>
      </c>
      <c r="H62" s="17" t="s">
        <v>684</v>
      </c>
      <c r="I62" s="17" t="s">
        <v>685</v>
      </c>
      <c r="J62" s="17" t="s">
        <v>686</v>
      </c>
      <c r="K62" s="18" t="s">
        <v>687</v>
      </c>
      <c r="L62" s="15" t="s">
        <v>71</v>
      </c>
      <c r="M62" s="17" t="s">
        <v>688</v>
      </c>
      <c r="N62" s="19" t="s">
        <v>73</v>
      </c>
      <c r="O62" s="19" t="s">
        <v>689</v>
      </c>
      <c r="P62" s="20"/>
    </row>
    <row r="63" customFormat="false" ht="54.75" hidden="false" customHeight="true" outlineLevel="0" collapsed="false">
      <c r="A63" s="15" t="n">
        <v>3</v>
      </c>
      <c r="B63" s="16" t="s">
        <v>690</v>
      </c>
      <c r="C63" s="17" t="s">
        <v>178</v>
      </c>
      <c r="D63" s="17" t="s">
        <v>88</v>
      </c>
      <c r="E63" s="17" t="s">
        <v>691</v>
      </c>
      <c r="F63" s="17" t="s">
        <v>692</v>
      </c>
      <c r="G63" s="17" t="s">
        <v>693</v>
      </c>
      <c r="H63" s="17" t="s">
        <v>694</v>
      </c>
      <c r="I63" s="17" t="s">
        <v>695</v>
      </c>
      <c r="J63" s="17" t="s">
        <v>696</v>
      </c>
      <c r="K63" s="18" t="s">
        <v>697</v>
      </c>
      <c r="L63" s="15" t="s">
        <v>71</v>
      </c>
      <c r="M63" s="17" t="s">
        <v>698</v>
      </c>
      <c r="N63" s="19" t="s">
        <v>73</v>
      </c>
      <c r="O63" s="19" t="s">
        <v>699</v>
      </c>
      <c r="P63" s="20"/>
    </row>
    <row r="64" customFormat="false" ht="54.75" hidden="false" customHeight="true" outlineLevel="0" collapsed="false">
      <c r="A64" s="15" t="n">
        <v>3</v>
      </c>
      <c r="B64" s="16" t="s">
        <v>700</v>
      </c>
      <c r="C64" s="17" t="s">
        <v>111</v>
      </c>
      <c r="D64" s="17" t="s">
        <v>88</v>
      </c>
      <c r="E64" s="17" t="s">
        <v>701</v>
      </c>
      <c r="F64" s="17" t="s">
        <v>702</v>
      </c>
      <c r="G64" s="17" t="s">
        <v>703</v>
      </c>
      <c r="H64" s="17" t="s">
        <v>704</v>
      </c>
      <c r="I64" s="17" t="s">
        <v>705</v>
      </c>
      <c r="J64" s="17" t="s">
        <v>706</v>
      </c>
      <c r="K64" s="18" t="s">
        <v>707</v>
      </c>
      <c r="L64" s="15" t="s">
        <v>71</v>
      </c>
      <c r="M64" s="17" t="s">
        <v>708</v>
      </c>
      <c r="N64" s="19" t="s">
        <v>73</v>
      </c>
      <c r="O64" s="19" t="s">
        <v>709</v>
      </c>
      <c r="P64" s="20"/>
    </row>
    <row r="65" customFormat="false" ht="42" hidden="false" customHeight="true" outlineLevel="0" collapsed="false">
      <c r="A65" s="15" t="n">
        <v>3</v>
      </c>
      <c r="B65" s="16" t="s">
        <v>710</v>
      </c>
      <c r="C65" s="17" t="s">
        <v>178</v>
      </c>
      <c r="D65" s="17" t="s">
        <v>711</v>
      </c>
      <c r="E65" s="17" t="s">
        <v>712</v>
      </c>
      <c r="F65" s="17" t="s">
        <v>713</v>
      </c>
      <c r="G65" s="17" t="s">
        <v>714</v>
      </c>
      <c r="H65" s="17" t="s">
        <v>161</v>
      </c>
      <c r="I65" s="17" t="s">
        <v>259</v>
      </c>
      <c r="J65" s="17" t="s">
        <v>715</v>
      </c>
      <c r="K65" s="18" t="s">
        <v>716</v>
      </c>
      <c r="L65" s="15" t="s">
        <v>71</v>
      </c>
      <c r="M65" s="17" t="s">
        <v>717</v>
      </c>
      <c r="N65" s="19" t="s">
        <v>73</v>
      </c>
      <c r="O65" s="19" t="s">
        <v>649</v>
      </c>
      <c r="P65" s="20"/>
    </row>
    <row r="66" customFormat="false" ht="42" hidden="false" customHeight="true" outlineLevel="0" collapsed="false">
      <c r="A66" s="15" t="n">
        <v>3</v>
      </c>
      <c r="B66" s="16" t="s">
        <v>718</v>
      </c>
      <c r="C66" s="17" t="s">
        <v>719</v>
      </c>
      <c r="D66" s="17" t="s">
        <v>88</v>
      </c>
      <c r="E66" s="17" t="s">
        <v>720</v>
      </c>
      <c r="F66" s="17" t="s">
        <v>721</v>
      </c>
      <c r="G66" s="17" t="s">
        <v>722</v>
      </c>
      <c r="H66" s="17" t="s">
        <v>723</v>
      </c>
      <c r="I66" s="17" t="s">
        <v>259</v>
      </c>
      <c r="J66" s="17" t="s">
        <v>724</v>
      </c>
      <c r="K66" s="18" t="s">
        <v>725</v>
      </c>
      <c r="L66" s="15" t="s">
        <v>71</v>
      </c>
      <c r="M66" s="17" t="s">
        <v>726</v>
      </c>
      <c r="N66" s="19" t="s">
        <v>73</v>
      </c>
      <c r="O66" s="19" t="s">
        <v>727</v>
      </c>
      <c r="P66" s="20"/>
    </row>
    <row r="67" customFormat="false" ht="29.25" hidden="false" customHeight="true" outlineLevel="0" collapsed="false">
      <c r="A67" s="15" t="n">
        <v>3</v>
      </c>
      <c r="B67" s="16" t="s">
        <v>728</v>
      </c>
      <c r="C67" s="17" t="s">
        <v>178</v>
      </c>
      <c r="D67" s="17" t="s">
        <v>88</v>
      </c>
      <c r="E67" s="17" t="s">
        <v>729</v>
      </c>
      <c r="F67" s="17" t="s">
        <v>730</v>
      </c>
      <c r="G67" s="17" t="s">
        <v>731</v>
      </c>
      <c r="H67" s="17" t="s">
        <v>732</v>
      </c>
      <c r="I67" s="17" t="s">
        <v>259</v>
      </c>
      <c r="J67" s="17" t="s">
        <v>733</v>
      </c>
      <c r="K67" s="18" t="s">
        <v>734</v>
      </c>
      <c r="L67" s="15" t="s">
        <v>71</v>
      </c>
      <c r="M67" s="17" t="s">
        <v>735</v>
      </c>
      <c r="N67" s="19" t="s">
        <v>73</v>
      </c>
      <c r="O67" s="19" t="s">
        <v>649</v>
      </c>
      <c r="P67" s="20"/>
    </row>
    <row r="68" customFormat="false" ht="42" hidden="false" customHeight="true" outlineLevel="0" collapsed="false">
      <c r="A68" s="15" t="n">
        <v>3</v>
      </c>
      <c r="B68" s="16" t="s">
        <v>736</v>
      </c>
      <c r="C68" s="17" t="s">
        <v>178</v>
      </c>
      <c r="D68" s="17" t="s">
        <v>88</v>
      </c>
      <c r="E68" s="17" t="s">
        <v>737</v>
      </c>
      <c r="F68" s="17" t="s">
        <v>738</v>
      </c>
      <c r="G68" s="17" t="s">
        <v>739</v>
      </c>
      <c r="H68" s="17" t="s">
        <v>740</v>
      </c>
      <c r="I68" s="17" t="s">
        <v>259</v>
      </c>
      <c r="J68" s="17" t="s">
        <v>741</v>
      </c>
      <c r="K68" s="18" t="s">
        <v>742</v>
      </c>
      <c r="L68" s="15" t="s">
        <v>71</v>
      </c>
      <c r="M68" s="17" t="s">
        <v>743</v>
      </c>
      <c r="N68" s="19" t="s">
        <v>73</v>
      </c>
      <c r="O68" s="19" t="s">
        <v>649</v>
      </c>
      <c r="P68" s="20"/>
    </row>
    <row r="69" customFormat="false" ht="54.75" hidden="false" customHeight="true" outlineLevel="0" collapsed="false">
      <c r="A69" s="15" t="n">
        <v>3</v>
      </c>
      <c r="B69" s="16" t="s">
        <v>744</v>
      </c>
      <c r="C69" s="17" t="s">
        <v>277</v>
      </c>
      <c r="D69" s="17" t="s">
        <v>88</v>
      </c>
      <c r="E69" s="17" t="s">
        <v>745</v>
      </c>
      <c r="F69" s="17" t="s">
        <v>746</v>
      </c>
      <c r="G69" s="17" t="s">
        <v>303</v>
      </c>
      <c r="H69" s="17" t="s">
        <v>747</v>
      </c>
      <c r="I69" s="17" t="s">
        <v>748</v>
      </c>
      <c r="J69" s="17" t="s">
        <v>326</v>
      </c>
      <c r="K69" s="18" t="s">
        <v>749</v>
      </c>
      <c r="L69" s="15" t="s">
        <v>71</v>
      </c>
      <c r="M69" s="17" t="s">
        <v>750</v>
      </c>
      <c r="N69" s="19" t="s">
        <v>73</v>
      </c>
      <c r="O69" s="19" t="s">
        <v>751</v>
      </c>
      <c r="P69" s="20"/>
    </row>
    <row r="70" customFormat="false" ht="29.25" hidden="false" customHeight="true" outlineLevel="0" collapsed="false">
      <c r="A70" s="15" t="n">
        <v>3</v>
      </c>
      <c r="B70" s="16" t="s">
        <v>752</v>
      </c>
      <c r="C70" s="17" t="s">
        <v>111</v>
      </c>
      <c r="D70" s="17" t="s">
        <v>88</v>
      </c>
      <c r="E70" s="17" t="s">
        <v>753</v>
      </c>
      <c r="F70" s="17" t="s">
        <v>754</v>
      </c>
      <c r="G70" s="17" t="s">
        <v>755</v>
      </c>
      <c r="H70" s="17" t="s">
        <v>161</v>
      </c>
      <c r="I70" s="17" t="s">
        <v>756</v>
      </c>
      <c r="J70" s="17" t="s">
        <v>757</v>
      </c>
      <c r="K70" s="18" t="s">
        <v>758</v>
      </c>
      <c r="L70" s="15" t="s">
        <v>71</v>
      </c>
      <c r="M70" s="17" t="s">
        <v>759</v>
      </c>
      <c r="N70" s="19" t="s">
        <v>73</v>
      </c>
      <c r="O70" s="19" t="s">
        <v>760</v>
      </c>
      <c r="P70" s="20"/>
    </row>
    <row r="71" customFormat="false" ht="42" hidden="false" customHeight="true" outlineLevel="0" collapsed="false">
      <c r="A71" s="15" t="n">
        <v>3</v>
      </c>
      <c r="B71" s="16" t="s">
        <v>761</v>
      </c>
      <c r="C71" s="17" t="s">
        <v>111</v>
      </c>
      <c r="D71" s="17" t="s">
        <v>88</v>
      </c>
      <c r="E71" s="17" t="s">
        <v>762</v>
      </c>
      <c r="F71" s="17" t="s">
        <v>763</v>
      </c>
      <c r="G71" s="17" t="s">
        <v>764</v>
      </c>
      <c r="H71" s="17" t="s">
        <v>161</v>
      </c>
      <c r="I71" s="17" t="s">
        <v>765</v>
      </c>
      <c r="J71" s="17" t="s">
        <v>766</v>
      </c>
      <c r="K71" s="18" t="s">
        <v>767</v>
      </c>
      <c r="L71" s="15" t="s">
        <v>71</v>
      </c>
      <c r="M71" s="17" t="s">
        <v>768</v>
      </c>
      <c r="N71" s="19" t="s">
        <v>73</v>
      </c>
      <c r="O71" s="19" t="s">
        <v>769</v>
      </c>
      <c r="P71" s="20"/>
    </row>
    <row r="72" customFormat="false" ht="42" hidden="false" customHeight="true" outlineLevel="0" collapsed="false">
      <c r="A72" s="15" t="n">
        <v>3</v>
      </c>
      <c r="B72" s="16" t="s">
        <v>770</v>
      </c>
      <c r="C72" s="17" t="s">
        <v>111</v>
      </c>
      <c r="D72" s="17" t="s">
        <v>88</v>
      </c>
      <c r="E72" s="17" t="s">
        <v>771</v>
      </c>
      <c r="F72" s="17" t="s">
        <v>772</v>
      </c>
      <c r="G72" s="17" t="s">
        <v>773</v>
      </c>
      <c r="H72" s="17" t="s">
        <v>774</v>
      </c>
      <c r="I72" s="17" t="s">
        <v>259</v>
      </c>
      <c r="J72" s="17" t="s">
        <v>775</v>
      </c>
      <c r="K72" s="18" t="s">
        <v>776</v>
      </c>
      <c r="L72" s="15" t="s">
        <v>71</v>
      </c>
      <c r="M72" s="17" t="s">
        <v>777</v>
      </c>
      <c r="N72" s="19" t="s">
        <v>73</v>
      </c>
      <c r="O72" s="19" t="s">
        <v>649</v>
      </c>
      <c r="P72" s="20"/>
    </row>
    <row r="73" customFormat="false" ht="42" hidden="false" customHeight="true" outlineLevel="0" collapsed="false">
      <c r="A73" s="15" t="n">
        <v>3</v>
      </c>
      <c r="B73" s="16" t="s">
        <v>778</v>
      </c>
      <c r="C73" s="17" t="s">
        <v>178</v>
      </c>
      <c r="D73" s="17" t="s">
        <v>88</v>
      </c>
      <c r="E73" s="17" t="s">
        <v>779</v>
      </c>
      <c r="F73" s="17" t="s">
        <v>780</v>
      </c>
      <c r="G73" s="17" t="s">
        <v>281</v>
      </c>
      <c r="H73" s="17" t="s">
        <v>781</v>
      </c>
      <c r="I73" s="17" t="s">
        <v>259</v>
      </c>
      <c r="J73" s="17" t="s">
        <v>782</v>
      </c>
      <c r="K73" s="18" t="s">
        <v>783</v>
      </c>
      <c r="L73" s="15" t="s">
        <v>71</v>
      </c>
      <c r="M73" s="17" t="s">
        <v>784</v>
      </c>
      <c r="N73" s="19" t="s">
        <v>73</v>
      </c>
      <c r="O73" s="19" t="s">
        <v>658</v>
      </c>
      <c r="P73" s="20"/>
    </row>
    <row r="74" customFormat="false" ht="93" hidden="false" customHeight="true" outlineLevel="0" collapsed="false">
      <c r="A74" s="15" t="n">
        <v>3</v>
      </c>
      <c r="B74" s="16" t="s">
        <v>785</v>
      </c>
      <c r="C74" s="17" t="s">
        <v>76</v>
      </c>
      <c r="D74" s="17" t="s">
        <v>100</v>
      </c>
      <c r="E74" s="17" t="s">
        <v>786</v>
      </c>
      <c r="F74" s="17" t="s">
        <v>787</v>
      </c>
      <c r="G74" s="17" t="s">
        <v>788</v>
      </c>
      <c r="H74" s="17" t="s">
        <v>789</v>
      </c>
      <c r="I74" s="17" t="s">
        <v>790</v>
      </c>
      <c r="J74" s="17" t="s">
        <v>791</v>
      </c>
      <c r="K74" s="18" t="s">
        <v>792</v>
      </c>
      <c r="L74" s="15" t="s">
        <v>71</v>
      </c>
      <c r="M74" s="17" t="s">
        <v>793</v>
      </c>
      <c r="N74" s="19" t="s">
        <v>73</v>
      </c>
      <c r="O74" s="19" t="s">
        <v>649</v>
      </c>
      <c r="P74" s="20"/>
    </row>
    <row r="75" customFormat="false" ht="42" hidden="false" customHeight="true" outlineLevel="0" collapsed="false">
      <c r="A75" s="15" t="n">
        <v>3</v>
      </c>
      <c r="B75" s="16" t="s">
        <v>794</v>
      </c>
      <c r="C75" s="17" t="s">
        <v>178</v>
      </c>
      <c r="D75" s="17" t="s">
        <v>795</v>
      </c>
      <c r="E75" s="17" t="s">
        <v>796</v>
      </c>
      <c r="F75" s="17" t="s">
        <v>797</v>
      </c>
      <c r="G75" s="17" t="s">
        <v>798</v>
      </c>
      <c r="H75" s="17" t="s">
        <v>799</v>
      </c>
      <c r="I75" s="17" t="s">
        <v>259</v>
      </c>
      <c r="J75" s="17" t="s">
        <v>800</v>
      </c>
      <c r="K75" s="18" t="s">
        <v>801</v>
      </c>
      <c r="L75" s="15" t="s">
        <v>71</v>
      </c>
      <c r="M75" s="17" t="s">
        <v>802</v>
      </c>
      <c r="N75" s="19" t="s">
        <v>73</v>
      </c>
      <c r="O75" s="19" t="s">
        <v>658</v>
      </c>
      <c r="P75" s="20"/>
    </row>
    <row r="76" customFormat="false" ht="42" hidden="false" customHeight="true" outlineLevel="0" collapsed="false">
      <c r="A76" s="15" t="n">
        <v>3</v>
      </c>
      <c r="B76" s="16" t="s">
        <v>803</v>
      </c>
      <c r="C76" s="17" t="s">
        <v>111</v>
      </c>
      <c r="D76" s="17" t="s">
        <v>112</v>
      </c>
      <c r="E76" s="17" t="s">
        <v>804</v>
      </c>
      <c r="F76" s="17" t="s">
        <v>805</v>
      </c>
      <c r="G76" s="17" t="s">
        <v>806</v>
      </c>
      <c r="H76" s="17" t="s">
        <v>161</v>
      </c>
      <c r="I76" s="17" t="s">
        <v>807</v>
      </c>
      <c r="J76" s="17" t="s">
        <v>808</v>
      </c>
      <c r="K76" s="18" t="s">
        <v>809</v>
      </c>
      <c r="L76" s="15" t="s">
        <v>71</v>
      </c>
      <c r="M76" s="17" t="s">
        <v>810</v>
      </c>
      <c r="N76" s="19" t="s">
        <v>73</v>
      </c>
      <c r="O76" s="19" t="s">
        <v>811</v>
      </c>
      <c r="P76" s="20"/>
    </row>
    <row r="77" customFormat="false" ht="42" hidden="false" customHeight="true" outlineLevel="0" collapsed="false">
      <c r="A77" s="15" t="n">
        <v>3</v>
      </c>
      <c r="B77" s="16" t="s">
        <v>812</v>
      </c>
      <c r="C77" s="17" t="s">
        <v>111</v>
      </c>
      <c r="D77" s="17" t="s">
        <v>88</v>
      </c>
      <c r="E77" s="17" t="s">
        <v>813</v>
      </c>
      <c r="F77" s="17" t="s">
        <v>814</v>
      </c>
      <c r="G77" s="17" t="s">
        <v>815</v>
      </c>
      <c r="H77" s="17" t="s">
        <v>161</v>
      </c>
      <c r="I77" s="17" t="s">
        <v>816</v>
      </c>
      <c r="J77" s="17" t="s">
        <v>817</v>
      </c>
      <c r="K77" s="18" t="s">
        <v>818</v>
      </c>
      <c r="L77" s="15" t="s">
        <v>71</v>
      </c>
      <c r="M77" s="17" t="s">
        <v>819</v>
      </c>
      <c r="N77" s="19" t="s">
        <v>73</v>
      </c>
      <c r="O77" s="19" t="s">
        <v>820</v>
      </c>
      <c r="P77" s="20"/>
    </row>
    <row r="78" customFormat="false" ht="54.75" hidden="false" customHeight="true" outlineLevel="0" collapsed="false">
      <c r="A78" s="15" t="n">
        <v>3</v>
      </c>
      <c r="B78" s="16" t="s">
        <v>821</v>
      </c>
      <c r="C78" s="17" t="s">
        <v>277</v>
      </c>
      <c r="D78" s="17" t="s">
        <v>88</v>
      </c>
      <c r="E78" s="17" t="s">
        <v>822</v>
      </c>
      <c r="F78" s="17" t="s">
        <v>823</v>
      </c>
      <c r="G78" s="17" t="s">
        <v>824</v>
      </c>
      <c r="H78" s="17" t="s">
        <v>825</v>
      </c>
      <c r="I78" s="17" t="s">
        <v>826</v>
      </c>
      <c r="J78" s="17" t="s">
        <v>827</v>
      </c>
      <c r="K78" s="18" t="s">
        <v>828</v>
      </c>
      <c r="L78" s="15" t="s">
        <v>71</v>
      </c>
      <c r="M78" s="17" t="s">
        <v>829</v>
      </c>
      <c r="N78" s="19" t="s">
        <v>73</v>
      </c>
      <c r="O78" s="19" t="s">
        <v>830</v>
      </c>
      <c r="P78" s="20"/>
    </row>
    <row r="79" customFormat="false" ht="80.25" hidden="false" customHeight="true" outlineLevel="0" collapsed="false">
      <c r="A79" s="15" t="n">
        <v>3</v>
      </c>
      <c r="B79" s="16" t="s">
        <v>831</v>
      </c>
      <c r="C79" s="17" t="s">
        <v>832</v>
      </c>
      <c r="D79" s="17" t="s">
        <v>833</v>
      </c>
      <c r="E79" s="17" t="s">
        <v>834</v>
      </c>
      <c r="F79" s="17" t="s">
        <v>835</v>
      </c>
      <c r="G79" s="17" t="s">
        <v>836</v>
      </c>
      <c r="H79" s="17" t="s">
        <v>837</v>
      </c>
      <c r="I79" s="17" t="s">
        <v>838</v>
      </c>
      <c r="J79" s="17" t="s">
        <v>839</v>
      </c>
      <c r="K79" s="18" t="s">
        <v>840</v>
      </c>
      <c r="L79" s="15" t="s">
        <v>71</v>
      </c>
      <c r="M79" s="17" t="s">
        <v>841</v>
      </c>
      <c r="N79" s="19" t="s">
        <v>73</v>
      </c>
      <c r="O79" s="19" t="s">
        <v>842</v>
      </c>
      <c r="P79" s="20"/>
    </row>
    <row r="80" customFormat="false" ht="29.25" hidden="false" customHeight="true" outlineLevel="0" collapsed="false">
      <c r="A80" s="15" t="n">
        <v>3</v>
      </c>
      <c r="B80" s="16" t="s">
        <v>843</v>
      </c>
      <c r="C80" s="17" t="s">
        <v>289</v>
      </c>
      <c r="D80" s="17" t="s">
        <v>88</v>
      </c>
      <c r="E80" s="17" t="s">
        <v>844</v>
      </c>
      <c r="F80" s="17" t="s">
        <v>845</v>
      </c>
      <c r="G80" s="17" t="s">
        <v>846</v>
      </c>
      <c r="H80" s="17" t="s">
        <v>847</v>
      </c>
      <c r="I80" s="17" t="s">
        <v>848</v>
      </c>
      <c r="J80" s="17" t="s">
        <v>849</v>
      </c>
      <c r="K80" s="18" t="s">
        <v>850</v>
      </c>
      <c r="L80" s="15" t="s">
        <v>71</v>
      </c>
      <c r="M80" s="17" t="s">
        <v>851</v>
      </c>
      <c r="N80" s="19" t="s">
        <v>73</v>
      </c>
      <c r="O80" s="19" t="s">
        <v>852</v>
      </c>
      <c r="P80" s="20"/>
    </row>
    <row r="81" customFormat="false" ht="42" hidden="false" customHeight="true" outlineLevel="0" collapsed="false">
      <c r="A81" s="15" t="n">
        <v>3</v>
      </c>
      <c r="B81" s="16" t="s">
        <v>853</v>
      </c>
      <c r="C81" s="17" t="s">
        <v>277</v>
      </c>
      <c r="D81" s="17" t="s">
        <v>88</v>
      </c>
      <c r="E81" s="17" t="s">
        <v>854</v>
      </c>
      <c r="F81" s="17" t="s">
        <v>855</v>
      </c>
      <c r="G81" s="17" t="s">
        <v>856</v>
      </c>
      <c r="H81" s="17" t="s">
        <v>857</v>
      </c>
      <c r="I81" s="17" t="s">
        <v>858</v>
      </c>
      <c r="J81" s="17" t="s">
        <v>326</v>
      </c>
      <c r="K81" s="18" t="s">
        <v>859</v>
      </c>
      <c r="L81" s="15" t="s">
        <v>71</v>
      </c>
      <c r="M81" s="17" t="s">
        <v>860</v>
      </c>
      <c r="N81" s="19" t="s">
        <v>73</v>
      </c>
      <c r="O81" s="19" t="s">
        <v>861</v>
      </c>
      <c r="P81" s="20"/>
    </row>
    <row r="82" customFormat="false" ht="67.5" hidden="false" customHeight="true" outlineLevel="0" collapsed="false">
      <c r="A82" s="15" t="n">
        <v>3</v>
      </c>
      <c r="B82" s="16" t="s">
        <v>862</v>
      </c>
      <c r="C82" s="17" t="s">
        <v>289</v>
      </c>
      <c r="D82" s="17" t="s">
        <v>88</v>
      </c>
      <c r="E82" s="17" t="s">
        <v>863</v>
      </c>
      <c r="F82" s="17" t="s">
        <v>864</v>
      </c>
      <c r="G82" s="17" t="s">
        <v>430</v>
      </c>
      <c r="H82" s="17" t="s">
        <v>865</v>
      </c>
      <c r="I82" s="17" t="s">
        <v>866</v>
      </c>
      <c r="J82" s="17" t="s">
        <v>867</v>
      </c>
      <c r="K82" s="18" t="s">
        <v>868</v>
      </c>
      <c r="L82" s="15" t="s">
        <v>71</v>
      </c>
      <c r="M82" s="17" t="s">
        <v>869</v>
      </c>
      <c r="N82" s="19" t="s">
        <v>73</v>
      </c>
      <c r="O82" s="19" t="s">
        <v>870</v>
      </c>
      <c r="P82" s="20"/>
    </row>
    <row r="83" customFormat="false" ht="54.75" hidden="false" customHeight="true" outlineLevel="0" collapsed="false">
      <c r="A83" s="15" t="n">
        <v>3</v>
      </c>
      <c r="B83" s="16" t="s">
        <v>871</v>
      </c>
      <c r="C83" s="17" t="s">
        <v>76</v>
      </c>
      <c r="D83" s="17" t="s">
        <v>88</v>
      </c>
      <c r="E83" s="17" t="s">
        <v>872</v>
      </c>
      <c r="F83" s="17" t="s">
        <v>873</v>
      </c>
      <c r="G83" s="17" t="s">
        <v>874</v>
      </c>
      <c r="H83" s="17" t="s">
        <v>875</v>
      </c>
      <c r="I83" s="17" t="s">
        <v>259</v>
      </c>
      <c r="J83" s="17" t="s">
        <v>876</v>
      </c>
      <c r="K83" s="18" t="s">
        <v>877</v>
      </c>
      <c r="L83" s="15" t="s">
        <v>71</v>
      </c>
      <c r="M83" s="17" t="s">
        <v>878</v>
      </c>
      <c r="N83" s="19" t="s">
        <v>73</v>
      </c>
      <c r="O83" s="19" t="s">
        <v>879</v>
      </c>
      <c r="P83" s="20"/>
    </row>
    <row r="84" customFormat="false" ht="54.75" hidden="false" customHeight="true" outlineLevel="0" collapsed="false">
      <c r="A84" s="15" t="n">
        <v>3</v>
      </c>
      <c r="B84" s="16" t="s">
        <v>880</v>
      </c>
      <c r="C84" s="17" t="s">
        <v>289</v>
      </c>
      <c r="D84" s="17" t="s">
        <v>881</v>
      </c>
      <c r="E84" s="17" t="s">
        <v>882</v>
      </c>
      <c r="F84" s="17" t="s">
        <v>883</v>
      </c>
      <c r="G84" s="17" t="s">
        <v>884</v>
      </c>
      <c r="H84" s="17" t="s">
        <v>116</v>
      </c>
      <c r="I84" s="17" t="s">
        <v>885</v>
      </c>
      <c r="J84" s="17" t="s">
        <v>886</v>
      </c>
      <c r="K84" s="18" t="s">
        <v>887</v>
      </c>
      <c r="L84" s="15" t="s">
        <v>71</v>
      </c>
      <c r="M84" s="17" t="s">
        <v>888</v>
      </c>
      <c r="N84" s="19" t="s">
        <v>73</v>
      </c>
      <c r="O84" s="19" t="s">
        <v>879</v>
      </c>
      <c r="P84" s="20"/>
    </row>
    <row r="85" customFormat="false" ht="54.75" hidden="false" customHeight="true" outlineLevel="0" collapsed="false">
      <c r="A85" s="15" t="n">
        <v>3</v>
      </c>
      <c r="B85" s="16" t="s">
        <v>889</v>
      </c>
      <c r="C85" s="17" t="s">
        <v>111</v>
      </c>
      <c r="D85" s="17" t="s">
        <v>88</v>
      </c>
      <c r="E85" s="17" t="s">
        <v>890</v>
      </c>
      <c r="F85" s="17" t="s">
        <v>891</v>
      </c>
      <c r="G85" s="17" t="s">
        <v>892</v>
      </c>
      <c r="H85" s="17" t="s">
        <v>875</v>
      </c>
      <c r="I85" s="17" t="s">
        <v>893</v>
      </c>
      <c r="J85" s="17" t="s">
        <v>894</v>
      </c>
      <c r="K85" s="18" t="s">
        <v>895</v>
      </c>
      <c r="L85" s="15" t="s">
        <v>71</v>
      </c>
      <c r="M85" s="17" t="s">
        <v>896</v>
      </c>
      <c r="N85" s="19" t="s">
        <v>73</v>
      </c>
      <c r="O85" s="19" t="s">
        <v>897</v>
      </c>
      <c r="P85" s="20"/>
    </row>
    <row r="86" customFormat="false" ht="42" hidden="false" customHeight="true" outlineLevel="0" collapsed="false">
      <c r="A86" s="15" t="n">
        <v>3</v>
      </c>
      <c r="B86" s="16" t="s">
        <v>898</v>
      </c>
      <c r="C86" s="17" t="s">
        <v>419</v>
      </c>
      <c r="D86" s="17" t="s">
        <v>100</v>
      </c>
      <c r="E86" s="17" t="s">
        <v>899</v>
      </c>
      <c r="F86" s="17" t="s">
        <v>900</v>
      </c>
      <c r="G86" s="17" t="s">
        <v>901</v>
      </c>
      <c r="H86" s="17" t="s">
        <v>902</v>
      </c>
      <c r="I86" s="17" t="s">
        <v>413</v>
      </c>
      <c r="J86" s="17" t="s">
        <v>208</v>
      </c>
      <c r="K86" s="18" t="s">
        <v>903</v>
      </c>
      <c r="L86" s="15" t="s">
        <v>131</v>
      </c>
      <c r="M86" s="17" t="s">
        <v>904</v>
      </c>
      <c r="N86" s="19" t="s">
        <v>73</v>
      </c>
      <c r="O86" s="19" t="s">
        <v>905</v>
      </c>
      <c r="P86" s="20"/>
    </row>
    <row r="87" customFormat="false" ht="42" hidden="false" customHeight="true" outlineLevel="0" collapsed="false">
      <c r="A87" s="15" t="n">
        <v>3</v>
      </c>
      <c r="B87" s="16" t="s">
        <v>906</v>
      </c>
      <c r="C87" s="17" t="s">
        <v>201</v>
      </c>
      <c r="D87" s="17" t="s">
        <v>100</v>
      </c>
      <c r="E87" s="17" t="s">
        <v>907</v>
      </c>
      <c r="F87" s="17" t="s">
        <v>908</v>
      </c>
      <c r="G87" s="17" t="s">
        <v>909</v>
      </c>
      <c r="H87" s="17" t="s">
        <v>910</v>
      </c>
      <c r="I87" s="17" t="s">
        <v>911</v>
      </c>
      <c r="J87" s="17" t="s">
        <v>208</v>
      </c>
      <c r="K87" s="18" t="s">
        <v>912</v>
      </c>
      <c r="L87" s="15" t="s">
        <v>131</v>
      </c>
      <c r="M87" s="17" t="s">
        <v>913</v>
      </c>
      <c r="N87" s="19" t="s">
        <v>73</v>
      </c>
      <c r="O87" s="19" t="s">
        <v>417</v>
      </c>
      <c r="P87" s="20"/>
    </row>
    <row r="88" customFormat="false" ht="54.75" hidden="false" customHeight="true" outlineLevel="0" collapsed="false">
      <c r="A88" s="15" t="n">
        <v>3</v>
      </c>
      <c r="B88" s="16" t="s">
        <v>914</v>
      </c>
      <c r="C88" s="17" t="s">
        <v>178</v>
      </c>
      <c r="D88" s="17" t="s">
        <v>88</v>
      </c>
      <c r="E88" s="17" t="s">
        <v>915</v>
      </c>
      <c r="F88" s="17" t="s">
        <v>916</v>
      </c>
      <c r="G88" s="17" t="s">
        <v>917</v>
      </c>
      <c r="H88" s="17" t="s">
        <v>918</v>
      </c>
      <c r="I88" s="17" t="s">
        <v>259</v>
      </c>
      <c r="J88" s="17" t="s">
        <v>919</v>
      </c>
      <c r="K88" s="18" t="s">
        <v>920</v>
      </c>
      <c r="L88" s="15" t="s">
        <v>131</v>
      </c>
      <c r="M88" s="17" t="s">
        <v>921</v>
      </c>
      <c r="N88" s="19" t="s">
        <v>73</v>
      </c>
      <c r="O88" s="19" t="s">
        <v>417</v>
      </c>
      <c r="P88" s="20"/>
    </row>
    <row r="89" customFormat="false" ht="80.25" hidden="false" customHeight="true" outlineLevel="0" collapsed="false">
      <c r="A89" s="15" t="n">
        <v>3</v>
      </c>
      <c r="B89" s="16" t="s">
        <v>922</v>
      </c>
      <c r="C89" s="17" t="s">
        <v>62</v>
      </c>
      <c r="D89" s="17" t="s">
        <v>179</v>
      </c>
      <c r="E89" s="17" t="s">
        <v>923</v>
      </c>
      <c r="F89" s="17" t="s">
        <v>924</v>
      </c>
      <c r="G89" s="17" t="s">
        <v>925</v>
      </c>
      <c r="H89" s="17" t="s">
        <v>926</v>
      </c>
      <c r="I89" s="17" t="s">
        <v>413</v>
      </c>
      <c r="J89" s="17" t="s">
        <v>208</v>
      </c>
      <c r="K89" s="18" t="s">
        <v>927</v>
      </c>
      <c r="L89" s="15" t="s">
        <v>131</v>
      </c>
      <c r="M89" s="17" t="s">
        <v>928</v>
      </c>
      <c r="N89" s="19" t="s">
        <v>73</v>
      </c>
      <c r="O89" s="19" t="s">
        <v>417</v>
      </c>
      <c r="P89" s="20"/>
    </row>
    <row r="90" customFormat="false" ht="54.75" hidden="false" customHeight="true" outlineLevel="0" collapsed="false">
      <c r="A90" s="15" t="n">
        <v>3</v>
      </c>
      <c r="B90" s="16" t="s">
        <v>929</v>
      </c>
      <c r="C90" s="17" t="s">
        <v>76</v>
      </c>
      <c r="D90" s="17" t="s">
        <v>930</v>
      </c>
      <c r="E90" s="17" t="s">
        <v>931</v>
      </c>
      <c r="F90" s="17" t="s">
        <v>932</v>
      </c>
      <c r="G90" s="17" t="s">
        <v>933</v>
      </c>
      <c r="H90" s="17" t="s">
        <v>934</v>
      </c>
      <c r="I90" s="17" t="s">
        <v>413</v>
      </c>
      <c r="J90" s="17" t="s">
        <v>935</v>
      </c>
      <c r="K90" s="18" t="s">
        <v>936</v>
      </c>
      <c r="L90" s="15" t="s">
        <v>131</v>
      </c>
      <c r="M90" s="17" t="s">
        <v>937</v>
      </c>
      <c r="N90" s="19" t="s">
        <v>73</v>
      </c>
      <c r="O90" s="19" t="s">
        <v>938</v>
      </c>
      <c r="P90" s="20"/>
    </row>
    <row r="91" customFormat="false" ht="54.75" hidden="false" customHeight="true" outlineLevel="0" collapsed="false">
      <c r="A91" s="15" t="n">
        <v>3</v>
      </c>
      <c r="B91" s="16" t="s">
        <v>939</v>
      </c>
      <c r="C91" s="17" t="s">
        <v>940</v>
      </c>
      <c r="D91" s="17" t="s">
        <v>941</v>
      </c>
      <c r="E91" s="17" t="s">
        <v>942</v>
      </c>
      <c r="F91" s="17" t="s">
        <v>943</v>
      </c>
      <c r="G91" s="17" t="s">
        <v>944</v>
      </c>
      <c r="H91" s="17" t="s">
        <v>945</v>
      </c>
      <c r="I91" s="17" t="s">
        <v>259</v>
      </c>
      <c r="J91" s="17" t="s">
        <v>946</v>
      </c>
      <c r="K91" s="18" t="s">
        <v>947</v>
      </c>
      <c r="L91" s="15" t="s">
        <v>131</v>
      </c>
      <c r="M91" s="17" t="s">
        <v>948</v>
      </c>
      <c r="N91" s="19" t="s">
        <v>73</v>
      </c>
      <c r="O91" s="19" t="s">
        <v>417</v>
      </c>
      <c r="P91" s="20"/>
    </row>
    <row r="92" customFormat="false" ht="54.75" hidden="false" customHeight="true" outlineLevel="0" collapsed="false">
      <c r="A92" s="15" t="n">
        <v>3</v>
      </c>
      <c r="B92" s="16" t="s">
        <v>949</v>
      </c>
      <c r="C92" s="17" t="s">
        <v>62</v>
      </c>
      <c r="D92" s="17" t="s">
        <v>100</v>
      </c>
      <c r="E92" s="17" t="s">
        <v>950</v>
      </c>
      <c r="F92" s="17" t="s">
        <v>951</v>
      </c>
      <c r="G92" s="17" t="s">
        <v>952</v>
      </c>
      <c r="H92" s="17" t="s">
        <v>953</v>
      </c>
      <c r="I92" s="17" t="s">
        <v>954</v>
      </c>
      <c r="J92" s="17" t="s">
        <v>208</v>
      </c>
      <c r="K92" s="18" t="s">
        <v>955</v>
      </c>
      <c r="L92" s="15" t="s">
        <v>131</v>
      </c>
      <c r="M92" s="17" t="s">
        <v>956</v>
      </c>
      <c r="N92" s="19" t="s">
        <v>73</v>
      </c>
      <c r="O92" s="19" t="s">
        <v>417</v>
      </c>
      <c r="P92" s="20"/>
    </row>
    <row r="93" customFormat="false" ht="42" hidden="false" customHeight="true" outlineLevel="0" collapsed="false">
      <c r="A93" s="15" t="n">
        <v>3</v>
      </c>
      <c r="B93" s="16" t="s">
        <v>957</v>
      </c>
      <c r="C93" s="17" t="s">
        <v>62</v>
      </c>
      <c r="D93" s="17" t="s">
        <v>100</v>
      </c>
      <c r="E93" s="17" t="s">
        <v>958</v>
      </c>
      <c r="F93" s="17" t="s">
        <v>959</v>
      </c>
      <c r="G93" s="17" t="s">
        <v>960</v>
      </c>
      <c r="H93" s="17" t="s">
        <v>961</v>
      </c>
      <c r="I93" s="17" t="s">
        <v>962</v>
      </c>
      <c r="J93" s="17" t="s">
        <v>208</v>
      </c>
      <c r="K93" s="18" t="s">
        <v>963</v>
      </c>
      <c r="L93" s="15" t="s">
        <v>131</v>
      </c>
      <c r="M93" s="17" t="s">
        <v>964</v>
      </c>
      <c r="N93" s="19" t="s">
        <v>73</v>
      </c>
      <c r="O93" s="19" t="s">
        <v>965</v>
      </c>
      <c r="P93" s="20"/>
    </row>
    <row r="94" customFormat="false" ht="105.75" hidden="false" customHeight="true" outlineLevel="0" collapsed="false">
      <c r="A94" s="15" t="n">
        <v>3</v>
      </c>
      <c r="B94" s="16" t="s">
        <v>966</v>
      </c>
      <c r="C94" s="17" t="s">
        <v>111</v>
      </c>
      <c r="D94" s="17" t="s">
        <v>795</v>
      </c>
      <c r="E94" s="17" t="s">
        <v>967</v>
      </c>
      <c r="F94" s="17" t="s">
        <v>968</v>
      </c>
      <c r="G94" s="17" t="s">
        <v>969</v>
      </c>
      <c r="H94" s="17" t="s">
        <v>970</v>
      </c>
      <c r="I94" s="17" t="s">
        <v>259</v>
      </c>
      <c r="J94" s="17" t="s">
        <v>971</v>
      </c>
      <c r="K94" s="18" t="s">
        <v>972</v>
      </c>
      <c r="L94" s="15" t="s">
        <v>131</v>
      </c>
      <c r="M94" s="17" t="s">
        <v>973</v>
      </c>
      <c r="N94" s="19" t="s">
        <v>73</v>
      </c>
      <c r="O94" s="19" t="s">
        <v>938</v>
      </c>
      <c r="P94" s="20"/>
    </row>
    <row r="95" customFormat="false" ht="54.75" hidden="false" customHeight="true" outlineLevel="0" collapsed="false">
      <c r="A95" s="15" t="n">
        <v>3</v>
      </c>
      <c r="B95" s="16" t="s">
        <v>974</v>
      </c>
      <c r="C95" s="17" t="s">
        <v>111</v>
      </c>
      <c r="D95" s="17" t="s">
        <v>975</v>
      </c>
      <c r="E95" s="17" t="s">
        <v>976</v>
      </c>
      <c r="F95" s="17" t="s">
        <v>977</v>
      </c>
      <c r="G95" s="17" t="s">
        <v>978</v>
      </c>
      <c r="H95" s="17" t="s">
        <v>979</v>
      </c>
      <c r="I95" s="17" t="s">
        <v>980</v>
      </c>
      <c r="J95" s="17" t="s">
        <v>981</v>
      </c>
      <c r="K95" s="18" t="s">
        <v>982</v>
      </c>
      <c r="L95" s="15" t="s">
        <v>131</v>
      </c>
      <c r="M95" s="17" t="s">
        <v>983</v>
      </c>
      <c r="N95" s="19" t="s">
        <v>73</v>
      </c>
      <c r="O95" s="19" t="s">
        <v>463</v>
      </c>
      <c r="P95" s="20"/>
    </row>
    <row r="96" customFormat="false" ht="93" hidden="false" customHeight="true" outlineLevel="0" collapsed="false">
      <c r="A96" s="15" t="n">
        <v>3</v>
      </c>
      <c r="B96" s="16" t="s">
        <v>984</v>
      </c>
      <c r="C96" s="17" t="s">
        <v>832</v>
      </c>
      <c r="D96" s="17" t="s">
        <v>88</v>
      </c>
      <c r="E96" s="17" t="s">
        <v>985</v>
      </c>
      <c r="F96" s="17" t="s">
        <v>986</v>
      </c>
      <c r="G96" s="17" t="s">
        <v>987</v>
      </c>
      <c r="H96" s="17" t="s">
        <v>988</v>
      </c>
      <c r="I96" s="17" t="s">
        <v>989</v>
      </c>
      <c r="J96" s="17" t="s">
        <v>208</v>
      </c>
      <c r="K96" s="18" t="s">
        <v>990</v>
      </c>
      <c r="L96" s="15" t="s">
        <v>131</v>
      </c>
      <c r="M96" s="17" t="s">
        <v>991</v>
      </c>
      <c r="N96" s="19" t="s">
        <v>73</v>
      </c>
      <c r="O96" s="19" t="s">
        <v>992</v>
      </c>
      <c r="P96" s="20"/>
    </row>
    <row r="97" customFormat="false" ht="54.75" hidden="false" customHeight="true" outlineLevel="0" collapsed="false">
      <c r="A97" s="15" t="n">
        <v>3</v>
      </c>
      <c r="B97" s="16" t="s">
        <v>993</v>
      </c>
      <c r="C97" s="17" t="s">
        <v>62</v>
      </c>
      <c r="D97" s="17" t="s">
        <v>88</v>
      </c>
      <c r="E97" s="17" t="s">
        <v>994</v>
      </c>
      <c r="F97" s="17" t="s">
        <v>995</v>
      </c>
      <c r="G97" s="17" t="s">
        <v>996</v>
      </c>
      <c r="H97" s="17" t="s">
        <v>997</v>
      </c>
      <c r="I97" s="17" t="s">
        <v>998</v>
      </c>
      <c r="J97" s="17" t="s">
        <v>326</v>
      </c>
      <c r="K97" s="18" t="s">
        <v>999</v>
      </c>
      <c r="L97" s="15" t="s">
        <v>131</v>
      </c>
      <c r="M97" s="17" t="s">
        <v>1000</v>
      </c>
      <c r="N97" s="19" t="s">
        <v>73</v>
      </c>
      <c r="O97" s="19" t="s">
        <v>417</v>
      </c>
      <c r="P97" s="20"/>
    </row>
    <row r="98" customFormat="false" ht="29.25" hidden="false" customHeight="true" outlineLevel="0" collapsed="false">
      <c r="A98" s="15" t="n">
        <v>3</v>
      </c>
      <c r="B98" s="16" t="s">
        <v>1001</v>
      </c>
      <c r="C98" s="17" t="s">
        <v>1002</v>
      </c>
      <c r="D98" s="17" t="s">
        <v>100</v>
      </c>
      <c r="E98" s="17" t="s">
        <v>1003</v>
      </c>
      <c r="F98" s="17" t="s">
        <v>1004</v>
      </c>
      <c r="G98" s="17" t="s">
        <v>1005</v>
      </c>
      <c r="H98" s="17" t="s">
        <v>1006</v>
      </c>
      <c r="I98" s="17" t="s">
        <v>1007</v>
      </c>
      <c r="J98" s="17" t="s">
        <v>208</v>
      </c>
      <c r="K98" s="18" t="s">
        <v>1008</v>
      </c>
      <c r="L98" s="15" t="s">
        <v>131</v>
      </c>
      <c r="M98" s="17" t="s">
        <v>1009</v>
      </c>
      <c r="N98" s="19" t="s">
        <v>73</v>
      </c>
      <c r="O98" s="19" t="s">
        <v>435</v>
      </c>
      <c r="P98" s="20"/>
    </row>
    <row r="99" customFormat="false" ht="42" hidden="false" customHeight="true" outlineLevel="0" collapsed="false">
      <c r="A99" s="15" t="n">
        <v>3</v>
      </c>
      <c r="B99" s="16" t="s">
        <v>1010</v>
      </c>
      <c r="C99" s="17" t="s">
        <v>111</v>
      </c>
      <c r="D99" s="17" t="s">
        <v>100</v>
      </c>
      <c r="E99" s="17" t="s">
        <v>1011</v>
      </c>
      <c r="F99" s="17" t="s">
        <v>1012</v>
      </c>
      <c r="G99" s="17" t="s">
        <v>1013</v>
      </c>
      <c r="H99" s="17" t="s">
        <v>1014</v>
      </c>
      <c r="I99" s="17" t="s">
        <v>1015</v>
      </c>
      <c r="J99" s="17" t="s">
        <v>208</v>
      </c>
      <c r="K99" s="18" t="s">
        <v>1016</v>
      </c>
      <c r="L99" s="15" t="s">
        <v>131</v>
      </c>
      <c r="M99" s="17" t="s">
        <v>1017</v>
      </c>
      <c r="N99" s="19" t="s">
        <v>73</v>
      </c>
      <c r="O99" s="19" t="s">
        <v>938</v>
      </c>
      <c r="P99" s="20"/>
    </row>
    <row r="100" customFormat="false" ht="54.75" hidden="false" customHeight="true" outlineLevel="0" collapsed="false">
      <c r="A100" s="15" t="n">
        <v>3</v>
      </c>
      <c r="B100" s="16" t="s">
        <v>1018</v>
      </c>
      <c r="C100" s="17" t="s">
        <v>76</v>
      </c>
      <c r="D100" s="17" t="s">
        <v>100</v>
      </c>
      <c r="E100" s="17" t="s">
        <v>1019</v>
      </c>
      <c r="F100" s="17" t="s">
        <v>1020</v>
      </c>
      <c r="G100" s="17" t="s">
        <v>1021</v>
      </c>
      <c r="H100" s="17" t="s">
        <v>1022</v>
      </c>
      <c r="I100" s="17" t="s">
        <v>413</v>
      </c>
      <c r="J100" s="17" t="s">
        <v>1023</v>
      </c>
      <c r="K100" s="18" t="s">
        <v>1024</v>
      </c>
      <c r="L100" s="15" t="s">
        <v>131</v>
      </c>
      <c r="M100" s="17" t="s">
        <v>1025</v>
      </c>
      <c r="N100" s="19" t="s">
        <v>73</v>
      </c>
      <c r="O100" s="19" t="s">
        <v>621</v>
      </c>
      <c r="P100" s="20"/>
    </row>
    <row r="101" customFormat="false" ht="42" hidden="false" customHeight="true" outlineLevel="0" collapsed="false">
      <c r="A101" s="15" t="n">
        <v>3</v>
      </c>
      <c r="B101" s="16" t="s">
        <v>1026</v>
      </c>
      <c r="C101" s="17" t="s">
        <v>76</v>
      </c>
      <c r="D101" s="17" t="s">
        <v>100</v>
      </c>
      <c r="E101" s="17" t="s">
        <v>1027</v>
      </c>
      <c r="F101" s="17" t="s">
        <v>1028</v>
      </c>
      <c r="G101" s="17" t="s">
        <v>1029</v>
      </c>
      <c r="H101" s="17" t="s">
        <v>1030</v>
      </c>
      <c r="I101" s="17" t="s">
        <v>413</v>
      </c>
      <c r="J101" s="17" t="s">
        <v>1031</v>
      </c>
      <c r="K101" s="18" t="s">
        <v>1032</v>
      </c>
      <c r="L101" s="15" t="s">
        <v>131</v>
      </c>
      <c r="M101" s="17" t="s">
        <v>1033</v>
      </c>
      <c r="N101" s="19" t="s">
        <v>73</v>
      </c>
      <c r="O101" s="19" t="s">
        <v>905</v>
      </c>
      <c r="P101" s="20"/>
    </row>
    <row r="102" customFormat="false" ht="42" hidden="false" customHeight="true" outlineLevel="0" collapsed="false">
      <c r="A102" s="15" t="n">
        <v>3</v>
      </c>
      <c r="B102" s="16" t="s">
        <v>1034</v>
      </c>
      <c r="C102" s="17" t="s">
        <v>832</v>
      </c>
      <c r="D102" s="17" t="s">
        <v>1035</v>
      </c>
      <c r="E102" s="17" t="s">
        <v>1036</v>
      </c>
      <c r="F102" s="17" t="s">
        <v>1037</v>
      </c>
      <c r="G102" s="17" t="s">
        <v>1038</v>
      </c>
      <c r="H102" s="17" t="s">
        <v>1039</v>
      </c>
      <c r="I102" s="17" t="s">
        <v>413</v>
      </c>
      <c r="J102" s="17" t="s">
        <v>1040</v>
      </c>
      <c r="K102" s="18" t="s">
        <v>1041</v>
      </c>
      <c r="L102" s="15" t="s">
        <v>131</v>
      </c>
      <c r="M102" s="17" t="s">
        <v>1042</v>
      </c>
      <c r="N102" s="19" t="s">
        <v>73</v>
      </c>
      <c r="O102" s="19" t="s">
        <v>1043</v>
      </c>
      <c r="P102" s="20"/>
    </row>
    <row r="103" customFormat="false" ht="42" hidden="false" customHeight="true" outlineLevel="0" collapsed="false">
      <c r="A103" s="15" t="n">
        <v>3</v>
      </c>
      <c r="B103" s="16" t="s">
        <v>1044</v>
      </c>
      <c r="C103" s="17" t="s">
        <v>76</v>
      </c>
      <c r="D103" s="17" t="s">
        <v>1045</v>
      </c>
      <c r="E103" s="17" t="s">
        <v>1046</v>
      </c>
      <c r="F103" s="17" t="s">
        <v>1047</v>
      </c>
      <c r="G103" s="17" t="s">
        <v>1048</v>
      </c>
      <c r="H103" s="17" t="s">
        <v>161</v>
      </c>
      <c r="I103" s="17" t="s">
        <v>259</v>
      </c>
      <c r="J103" s="17" t="s">
        <v>1049</v>
      </c>
      <c r="K103" s="18" t="s">
        <v>1050</v>
      </c>
      <c r="L103" s="15" t="s">
        <v>131</v>
      </c>
      <c r="M103" s="17" t="s">
        <v>1051</v>
      </c>
      <c r="N103" s="19" t="s">
        <v>73</v>
      </c>
      <c r="O103" s="19" t="s">
        <v>621</v>
      </c>
      <c r="P103" s="20"/>
    </row>
    <row r="104" customFormat="false" ht="42" hidden="false" customHeight="true" outlineLevel="0" collapsed="false">
      <c r="A104" s="15" t="n">
        <v>3</v>
      </c>
      <c r="B104" s="16" t="s">
        <v>1052</v>
      </c>
      <c r="C104" s="17" t="s">
        <v>76</v>
      </c>
      <c r="D104" s="17" t="s">
        <v>88</v>
      </c>
      <c r="E104" s="17" t="s">
        <v>1053</v>
      </c>
      <c r="F104" s="17" t="s">
        <v>1054</v>
      </c>
      <c r="G104" s="17" t="s">
        <v>1055</v>
      </c>
      <c r="H104" s="17" t="s">
        <v>161</v>
      </c>
      <c r="I104" s="17" t="s">
        <v>259</v>
      </c>
      <c r="J104" s="17" t="s">
        <v>1049</v>
      </c>
      <c r="K104" s="18" t="s">
        <v>1056</v>
      </c>
      <c r="L104" s="15" t="s">
        <v>131</v>
      </c>
      <c r="M104" s="17" t="s">
        <v>1057</v>
      </c>
      <c r="N104" s="19" t="s">
        <v>73</v>
      </c>
      <c r="O104" s="19" t="s">
        <v>621</v>
      </c>
      <c r="P104" s="20"/>
    </row>
    <row r="105" customFormat="false" ht="54.75" hidden="false" customHeight="true" outlineLevel="0" collapsed="false">
      <c r="A105" s="15" t="n">
        <v>3</v>
      </c>
      <c r="B105" s="16" t="s">
        <v>1058</v>
      </c>
      <c r="C105" s="17" t="s">
        <v>62</v>
      </c>
      <c r="D105" s="17" t="s">
        <v>100</v>
      </c>
      <c r="E105" s="17" t="s">
        <v>1059</v>
      </c>
      <c r="F105" s="17" t="s">
        <v>1060</v>
      </c>
      <c r="G105" s="17" t="s">
        <v>1061</v>
      </c>
      <c r="H105" s="17" t="s">
        <v>1062</v>
      </c>
      <c r="I105" s="17" t="s">
        <v>962</v>
      </c>
      <c r="J105" s="17" t="s">
        <v>208</v>
      </c>
      <c r="K105" s="18" t="s">
        <v>1063</v>
      </c>
      <c r="L105" s="15" t="s">
        <v>131</v>
      </c>
      <c r="M105" s="17" t="s">
        <v>1064</v>
      </c>
      <c r="N105" s="19" t="s">
        <v>73</v>
      </c>
      <c r="O105" s="19" t="s">
        <v>417</v>
      </c>
      <c r="P105" s="20"/>
    </row>
    <row r="106" customFormat="false" ht="29.25" hidden="false" customHeight="true" outlineLevel="0" collapsed="false">
      <c r="A106" s="15" t="n">
        <v>3</v>
      </c>
      <c r="B106" s="16" t="s">
        <v>1065</v>
      </c>
      <c r="C106" s="17" t="s">
        <v>368</v>
      </c>
      <c r="D106" s="17" t="s">
        <v>1066</v>
      </c>
      <c r="E106" s="17" t="s">
        <v>1067</v>
      </c>
      <c r="F106" s="17" t="s">
        <v>1068</v>
      </c>
      <c r="G106" s="17" t="s">
        <v>1069</v>
      </c>
      <c r="H106" s="17" t="s">
        <v>1070</v>
      </c>
      <c r="I106" s="17" t="s">
        <v>413</v>
      </c>
      <c r="J106" s="17" t="s">
        <v>208</v>
      </c>
      <c r="K106" s="18" t="s">
        <v>1071</v>
      </c>
      <c r="L106" s="15" t="s">
        <v>131</v>
      </c>
      <c r="M106" s="17" t="s">
        <v>1072</v>
      </c>
      <c r="N106" s="19" t="s">
        <v>73</v>
      </c>
      <c r="O106" s="19" t="s">
        <v>938</v>
      </c>
      <c r="P106" s="20"/>
    </row>
    <row r="107" customFormat="false" ht="42" hidden="false" customHeight="true" outlineLevel="0" collapsed="false">
      <c r="A107" s="15" t="n">
        <v>3</v>
      </c>
      <c r="B107" s="16" t="s">
        <v>1073</v>
      </c>
      <c r="C107" s="17" t="s">
        <v>289</v>
      </c>
      <c r="D107" s="17" t="s">
        <v>1074</v>
      </c>
      <c r="E107" s="17" t="s">
        <v>1075</v>
      </c>
      <c r="F107" s="17" t="s">
        <v>1076</v>
      </c>
      <c r="G107" s="17" t="s">
        <v>1077</v>
      </c>
      <c r="H107" s="17" t="s">
        <v>616</v>
      </c>
      <c r="I107" s="17" t="s">
        <v>1078</v>
      </c>
      <c r="J107" s="17" t="s">
        <v>1079</v>
      </c>
      <c r="K107" s="18" t="s">
        <v>1080</v>
      </c>
      <c r="L107" s="15" t="s">
        <v>131</v>
      </c>
      <c r="M107" s="17" t="s">
        <v>1081</v>
      </c>
      <c r="N107" s="19" t="s">
        <v>73</v>
      </c>
      <c r="O107" s="19" t="s">
        <v>621</v>
      </c>
      <c r="P107" s="20"/>
    </row>
    <row r="108" customFormat="false" ht="42" hidden="false" customHeight="true" outlineLevel="0" collapsed="false">
      <c r="A108" s="15" t="n">
        <v>3</v>
      </c>
      <c r="B108" s="16" t="s">
        <v>1082</v>
      </c>
      <c r="C108" s="17" t="s">
        <v>277</v>
      </c>
      <c r="D108" s="17" t="s">
        <v>100</v>
      </c>
      <c r="E108" s="17" t="s">
        <v>1083</v>
      </c>
      <c r="F108" s="17" t="s">
        <v>1084</v>
      </c>
      <c r="G108" s="17" t="s">
        <v>1085</v>
      </c>
      <c r="H108" s="17" t="s">
        <v>1086</v>
      </c>
      <c r="I108" s="17" t="s">
        <v>1007</v>
      </c>
      <c r="J108" s="17" t="s">
        <v>208</v>
      </c>
      <c r="K108" s="18" t="s">
        <v>1087</v>
      </c>
      <c r="L108" s="15" t="s">
        <v>131</v>
      </c>
      <c r="M108" s="17" t="s">
        <v>1088</v>
      </c>
      <c r="N108" s="19" t="s">
        <v>73</v>
      </c>
      <c r="O108" s="19" t="s">
        <v>938</v>
      </c>
      <c r="P108" s="20"/>
    </row>
    <row r="109" customFormat="false" ht="42" hidden="false" customHeight="true" outlineLevel="0" collapsed="false">
      <c r="A109" s="15" t="n">
        <v>3</v>
      </c>
      <c r="B109" s="16" t="s">
        <v>1089</v>
      </c>
      <c r="C109" s="17" t="s">
        <v>178</v>
      </c>
      <c r="D109" s="17" t="s">
        <v>88</v>
      </c>
      <c r="E109" s="17" t="s">
        <v>1090</v>
      </c>
      <c r="F109" s="17" t="s">
        <v>1091</v>
      </c>
      <c r="G109" s="17" t="s">
        <v>1092</v>
      </c>
      <c r="H109" s="17" t="s">
        <v>1093</v>
      </c>
      <c r="I109" s="17" t="s">
        <v>259</v>
      </c>
      <c r="J109" s="17" t="s">
        <v>1094</v>
      </c>
      <c r="K109" s="18" t="s">
        <v>1095</v>
      </c>
      <c r="L109" s="15" t="s">
        <v>131</v>
      </c>
      <c r="M109" s="17" t="s">
        <v>1096</v>
      </c>
      <c r="N109" s="19" t="s">
        <v>73</v>
      </c>
      <c r="O109" s="19" t="s">
        <v>992</v>
      </c>
      <c r="P109" s="20"/>
    </row>
    <row r="110" customFormat="false" ht="42" hidden="false" customHeight="true" outlineLevel="0" collapsed="false">
      <c r="A110" s="15" t="n">
        <v>3</v>
      </c>
      <c r="B110" s="16" t="s">
        <v>1097</v>
      </c>
      <c r="C110" s="17" t="s">
        <v>111</v>
      </c>
      <c r="D110" s="17" t="s">
        <v>455</v>
      </c>
      <c r="E110" s="17" t="s">
        <v>1098</v>
      </c>
      <c r="F110" s="17" t="s">
        <v>1099</v>
      </c>
      <c r="G110" s="17" t="s">
        <v>1100</v>
      </c>
      <c r="H110" s="17" t="s">
        <v>1101</v>
      </c>
      <c r="I110" s="17" t="s">
        <v>413</v>
      </c>
      <c r="J110" s="17" t="s">
        <v>1102</v>
      </c>
      <c r="K110" s="18" t="s">
        <v>1103</v>
      </c>
      <c r="L110" s="15" t="s">
        <v>131</v>
      </c>
      <c r="M110" s="17" t="s">
        <v>1104</v>
      </c>
      <c r="N110" s="19" t="s">
        <v>73</v>
      </c>
      <c r="O110" s="19" t="s">
        <v>463</v>
      </c>
      <c r="P110" s="20"/>
    </row>
    <row r="111" customFormat="false" ht="42" hidden="false" customHeight="true" outlineLevel="0" collapsed="false">
      <c r="A111" s="15" t="n">
        <v>3</v>
      </c>
      <c r="B111" s="16" t="s">
        <v>1105</v>
      </c>
      <c r="C111" s="17" t="s">
        <v>111</v>
      </c>
      <c r="D111" s="17" t="s">
        <v>474</v>
      </c>
      <c r="E111" s="17" t="s">
        <v>1106</v>
      </c>
      <c r="F111" s="17" t="s">
        <v>1107</v>
      </c>
      <c r="G111" s="17" t="s">
        <v>1108</v>
      </c>
      <c r="H111" s="17" t="s">
        <v>1109</v>
      </c>
      <c r="I111" s="17" t="s">
        <v>413</v>
      </c>
      <c r="J111" s="17" t="s">
        <v>413</v>
      </c>
      <c r="K111" s="18" t="s">
        <v>1110</v>
      </c>
      <c r="L111" s="15" t="s">
        <v>131</v>
      </c>
      <c r="M111" s="17" t="s">
        <v>1111</v>
      </c>
      <c r="N111" s="19" t="s">
        <v>73</v>
      </c>
      <c r="O111" s="19" t="s">
        <v>463</v>
      </c>
      <c r="P111" s="20"/>
    </row>
    <row r="112" customFormat="false" ht="42" hidden="false" customHeight="true" outlineLevel="0" collapsed="false">
      <c r="A112" s="15" t="n">
        <v>3</v>
      </c>
      <c r="B112" s="16" t="s">
        <v>1112</v>
      </c>
      <c r="C112" s="17" t="s">
        <v>111</v>
      </c>
      <c r="D112" s="17" t="s">
        <v>1113</v>
      </c>
      <c r="E112" s="17" t="s">
        <v>1114</v>
      </c>
      <c r="F112" s="17" t="s">
        <v>1115</v>
      </c>
      <c r="G112" s="17" t="s">
        <v>1116</v>
      </c>
      <c r="H112" s="17" t="s">
        <v>1117</v>
      </c>
      <c r="I112" s="17" t="s">
        <v>413</v>
      </c>
      <c r="J112" s="17" t="s">
        <v>413</v>
      </c>
      <c r="K112" s="18" t="s">
        <v>1118</v>
      </c>
      <c r="L112" s="15" t="s">
        <v>131</v>
      </c>
      <c r="M112" s="17" t="s">
        <v>1119</v>
      </c>
      <c r="N112" s="19" t="s">
        <v>73</v>
      </c>
      <c r="O112" s="19" t="s">
        <v>463</v>
      </c>
      <c r="P112" s="20"/>
    </row>
    <row r="113" customFormat="false" ht="42" hidden="false" customHeight="true" outlineLevel="0" collapsed="false">
      <c r="A113" s="15" t="n">
        <v>3</v>
      </c>
      <c r="B113" s="16" t="s">
        <v>1120</v>
      </c>
      <c r="C113" s="17" t="s">
        <v>111</v>
      </c>
      <c r="D113" s="17" t="s">
        <v>1121</v>
      </c>
      <c r="E113" s="17" t="s">
        <v>1122</v>
      </c>
      <c r="F113" s="17" t="s">
        <v>1123</v>
      </c>
      <c r="G113" s="17" t="s">
        <v>1124</v>
      </c>
      <c r="H113" s="17" t="s">
        <v>1125</v>
      </c>
      <c r="I113" s="17" t="s">
        <v>413</v>
      </c>
      <c r="J113" s="17" t="s">
        <v>1126</v>
      </c>
      <c r="K113" s="18" t="s">
        <v>1127</v>
      </c>
      <c r="L113" s="15" t="s">
        <v>131</v>
      </c>
      <c r="M113" s="17" t="s">
        <v>1128</v>
      </c>
      <c r="N113" s="19" t="s">
        <v>73</v>
      </c>
      <c r="O113" s="19" t="s">
        <v>463</v>
      </c>
      <c r="P113" s="20"/>
    </row>
    <row r="114" customFormat="false" ht="42" hidden="false" customHeight="true" outlineLevel="0" collapsed="false">
      <c r="A114" s="15" t="n">
        <v>3</v>
      </c>
      <c r="B114" s="16" t="s">
        <v>1129</v>
      </c>
      <c r="C114" s="17" t="s">
        <v>111</v>
      </c>
      <c r="D114" s="17" t="s">
        <v>503</v>
      </c>
      <c r="E114" s="17" t="s">
        <v>1130</v>
      </c>
      <c r="F114" s="17" t="s">
        <v>1131</v>
      </c>
      <c r="G114" s="17" t="s">
        <v>1132</v>
      </c>
      <c r="H114" s="17" t="s">
        <v>1133</v>
      </c>
      <c r="I114" s="17" t="s">
        <v>413</v>
      </c>
      <c r="J114" s="17" t="s">
        <v>1134</v>
      </c>
      <c r="K114" s="18" t="s">
        <v>1135</v>
      </c>
      <c r="L114" s="15" t="s">
        <v>131</v>
      </c>
      <c r="M114" s="17" t="s">
        <v>1136</v>
      </c>
      <c r="N114" s="19" t="s">
        <v>73</v>
      </c>
      <c r="O114" s="19" t="s">
        <v>463</v>
      </c>
      <c r="P114" s="20"/>
    </row>
    <row r="115" customFormat="false" ht="54.75" hidden="false" customHeight="true" outlineLevel="0" collapsed="false">
      <c r="A115" s="15" t="n">
        <v>3</v>
      </c>
      <c r="B115" s="16" t="s">
        <v>1137</v>
      </c>
      <c r="C115" s="17" t="s">
        <v>111</v>
      </c>
      <c r="D115" s="17" t="s">
        <v>1138</v>
      </c>
      <c r="E115" s="17" t="s">
        <v>1139</v>
      </c>
      <c r="F115" s="17" t="s">
        <v>1140</v>
      </c>
      <c r="G115" s="17" t="s">
        <v>1141</v>
      </c>
      <c r="H115" s="17" t="s">
        <v>1142</v>
      </c>
      <c r="I115" s="17" t="s">
        <v>413</v>
      </c>
      <c r="J115" s="17" t="s">
        <v>1143</v>
      </c>
      <c r="K115" s="18" t="s">
        <v>1144</v>
      </c>
      <c r="L115" s="15" t="s">
        <v>131</v>
      </c>
      <c r="M115" s="17" t="s">
        <v>1145</v>
      </c>
      <c r="N115" s="19" t="s">
        <v>73</v>
      </c>
      <c r="O115" s="19" t="s">
        <v>463</v>
      </c>
      <c r="P115" s="20"/>
    </row>
    <row r="116" customFormat="false" ht="42" hidden="false" customHeight="true" outlineLevel="0" collapsed="false">
      <c r="A116" s="15" t="n">
        <v>3</v>
      </c>
      <c r="B116" s="16" t="s">
        <v>1146</v>
      </c>
      <c r="C116" s="17" t="s">
        <v>62</v>
      </c>
      <c r="D116" s="17" t="s">
        <v>1147</v>
      </c>
      <c r="E116" s="17" t="s">
        <v>1148</v>
      </c>
      <c r="F116" s="17" t="s">
        <v>1149</v>
      </c>
      <c r="G116" s="17" t="s">
        <v>1150</v>
      </c>
      <c r="H116" s="17" t="s">
        <v>1151</v>
      </c>
      <c r="I116" s="17" t="s">
        <v>413</v>
      </c>
      <c r="J116" s="17" t="s">
        <v>413</v>
      </c>
      <c r="K116" s="18" t="s">
        <v>1152</v>
      </c>
      <c r="L116" s="15" t="s">
        <v>131</v>
      </c>
      <c r="M116" s="17" t="s">
        <v>1153</v>
      </c>
      <c r="N116" s="19" t="s">
        <v>73</v>
      </c>
      <c r="O116" s="19" t="s">
        <v>463</v>
      </c>
      <c r="P116" s="20"/>
    </row>
    <row r="117" customFormat="false" ht="54.75" hidden="false" customHeight="true" outlineLevel="0" collapsed="false">
      <c r="A117" s="15" t="n">
        <v>3</v>
      </c>
      <c r="B117" s="16" t="s">
        <v>1154</v>
      </c>
      <c r="C117" s="17" t="s">
        <v>111</v>
      </c>
      <c r="D117" s="17" t="s">
        <v>474</v>
      </c>
      <c r="E117" s="17" t="s">
        <v>1155</v>
      </c>
      <c r="F117" s="17" t="s">
        <v>1156</v>
      </c>
      <c r="G117" s="17" t="s">
        <v>1157</v>
      </c>
      <c r="H117" s="17" t="s">
        <v>1158</v>
      </c>
      <c r="I117" s="17" t="s">
        <v>479</v>
      </c>
      <c r="J117" s="17" t="s">
        <v>1159</v>
      </c>
      <c r="K117" s="18" t="s">
        <v>1160</v>
      </c>
      <c r="L117" s="15" t="s">
        <v>131</v>
      </c>
      <c r="M117" s="17" t="s">
        <v>1161</v>
      </c>
      <c r="N117" s="19" t="s">
        <v>73</v>
      </c>
      <c r="O117" s="19" t="s">
        <v>463</v>
      </c>
      <c r="P117" s="20"/>
    </row>
    <row r="118" customFormat="false" ht="54.75" hidden="false" customHeight="true" outlineLevel="0" collapsed="false">
      <c r="A118" s="15" t="n">
        <v>3</v>
      </c>
      <c r="B118" s="16" t="s">
        <v>1162</v>
      </c>
      <c r="C118" s="17" t="s">
        <v>111</v>
      </c>
      <c r="D118" s="17" t="s">
        <v>503</v>
      </c>
      <c r="E118" s="17" t="s">
        <v>1163</v>
      </c>
      <c r="F118" s="17" t="s">
        <v>1164</v>
      </c>
      <c r="G118" s="17" t="s">
        <v>1165</v>
      </c>
      <c r="H118" s="17" t="s">
        <v>1166</v>
      </c>
      <c r="I118" s="17" t="s">
        <v>413</v>
      </c>
      <c r="J118" s="17" t="s">
        <v>1167</v>
      </c>
      <c r="K118" s="18" t="s">
        <v>1168</v>
      </c>
      <c r="L118" s="15" t="s">
        <v>131</v>
      </c>
      <c r="M118" s="17" t="s">
        <v>1169</v>
      </c>
      <c r="N118" s="19" t="s">
        <v>73</v>
      </c>
      <c r="O118" s="19" t="s">
        <v>463</v>
      </c>
      <c r="P118" s="20"/>
    </row>
    <row r="119" customFormat="false" ht="54.75" hidden="false" customHeight="true" outlineLevel="0" collapsed="false">
      <c r="A119" s="15" t="n">
        <v>3</v>
      </c>
      <c r="B119" s="16" t="s">
        <v>1170</v>
      </c>
      <c r="C119" s="17" t="s">
        <v>111</v>
      </c>
      <c r="D119" s="17" t="s">
        <v>503</v>
      </c>
      <c r="E119" s="17" t="s">
        <v>1171</v>
      </c>
      <c r="F119" s="17" t="s">
        <v>1172</v>
      </c>
      <c r="G119" s="17" t="s">
        <v>1173</v>
      </c>
      <c r="H119" s="17" t="s">
        <v>1174</v>
      </c>
      <c r="I119" s="17" t="s">
        <v>1175</v>
      </c>
      <c r="J119" s="17" t="s">
        <v>1176</v>
      </c>
      <c r="K119" s="18" t="s">
        <v>1177</v>
      </c>
      <c r="L119" s="15" t="s">
        <v>131</v>
      </c>
      <c r="M119" s="17" t="s">
        <v>1178</v>
      </c>
      <c r="N119" s="19" t="s">
        <v>73</v>
      </c>
      <c r="O119" s="19" t="s">
        <v>463</v>
      </c>
      <c r="P119" s="20"/>
    </row>
    <row r="120" customFormat="false" ht="42" hidden="false" customHeight="true" outlineLevel="0" collapsed="false">
      <c r="A120" s="15" t="n">
        <v>3</v>
      </c>
      <c r="B120" s="16" t="s">
        <v>1179</v>
      </c>
      <c r="C120" s="17" t="s">
        <v>111</v>
      </c>
      <c r="D120" s="17" t="s">
        <v>1180</v>
      </c>
      <c r="E120" s="17" t="s">
        <v>1181</v>
      </c>
      <c r="F120" s="17" t="s">
        <v>1182</v>
      </c>
      <c r="G120" s="17" t="s">
        <v>1183</v>
      </c>
      <c r="H120" s="17" t="s">
        <v>1184</v>
      </c>
      <c r="I120" s="17" t="s">
        <v>413</v>
      </c>
      <c r="J120" s="17" t="s">
        <v>460</v>
      </c>
      <c r="K120" s="18" t="s">
        <v>1185</v>
      </c>
      <c r="L120" s="15" t="s">
        <v>131</v>
      </c>
      <c r="M120" s="17" t="s">
        <v>1186</v>
      </c>
      <c r="N120" s="19" t="s">
        <v>73</v>
      </c>
      <c r="O120" s="19" t="s">
        <v>463</v>
      </c>
      <c r="P120" s="20"/>
    </row>
    <row r="121" customFormat="false" ht="54.75" hidden="false" customHeight="true" outlineLevel="0" collapsed="false">
      <c r="A121" s="15" t="n">
        <v>3</v>
      </c>
      <c r="B121" s="16" t="s">
        <v>1187</v>
      </c>
      <c r="C121" s="17" t="s">
        <v>277</v>
      </c>
      <c r="D121" s="17" t="s">
        <v>503</v>
      </c>
      <c r="E121" s="17" t="s">
        <v>1188</v>
      </c>
      <c r="F121" s="17" t="s">
        <v>1189</v>
      </c>
      <c r="G121" s="17" t="s">
        <v>1190</v>
      </c>
      <c r="H121" s="17" t="s">
        <v>1191</v>
      </c>
      <c r="I121" s="17" t="s">
        <v>1192</v>
      </c>
      <c r="J121" s="17" t="s">
        <v>1193</v>
      </c>
      <c r="K121" s="18" t="s">
        <v>1194</v>
      </c>
      <c r="L121" s="15" t="s">
        <v>131</v>
      </c>
      <c r="M121" s="17" t="s">
        <v>1195</v>
      </c>
      <c r="N121" s="19" t="s">
        <v>73</v>
      </c>
      <c r="O121" s="19" t="s">
        <v>463</v>
      </c>
      <c r="P121" s="20"/>
    </row>
    <row r="122" customFormat="false" ht="67.5" hidden="false" customHeight="true" outlineLevel="0" collapsed="false">
      <c r="A122" s="15" t="n">
        <v>3</v>
      </c>
      <c r="B122" s="16" t="s">
        <v>1196</v>
      </c>
      <c r="C122" s="17" t="s">
        <v>62</v>
      </c>
      <c r="D122" s="17" t="s">
        <v>1197</v>
      </c>
      <c r="E122" s="17" t="s">
        <v>1198</v>
      </c>
      <c r="F122" s="17" t="s">
        <v>1199</v>
      </c>
      <c r="G122" s="17" t="s">
        <v>1200</v>
      </c>
      <c r="H122" s="17" t="s">
        <v>1201</v>
      </c>
      <c r="I122" s="17" t="s">
        <v>1202</v>
      </c>
      <c r="J122" s="17" t="s">
        <v>460</v>
      </c>
      <c r="K122" s="18" t="s">
        <v>1203</v>
      </c>
      <c r="L122" s="15" t="s">
        <v>131</v>
      </c>
      <c r="M122" s="17" t="s">
        <v>1204</v>
      </c>
      <c r="N122" s="19" t="s">
        <v>73</v>
      </c>
      <c r="O122" s="19" t="s">
        <v>463</v>
      </c>
      <c r="P122" s="20"/>
    </row>
    <row r="123" customFormat="false" ht="42" hidden="false" customHeight="true" outlineLevel="0" collapsed="false">
      <c r="A123" s="15" t="n">
        <v>3</v>
      </c>
      <c r="B123" s="16" t="s">
        <v>1205</v>
      </c>
      <c r="C123" s="17" t="s">
        <v>62</v>
      </c>
      <c r="D123" s="17" t="s">
        <v>1121</v>
      </c>
      <c r="E123" s="17" t="s">
        <v>1206</v>
      </c>
      <c r="F123" s="17" t="s">
        <v>1207</v>
      </c>
      <c r="G123" s="17" t="s">
        <v>1208</v>
      </c>
      <c r="H123" s="17" t="s">
        <v>1209</v>
      </c>
      <c r="I123" s="17" t="s">
        <v>413</v>
      </c>
      <c r="J123" s="17" t="s">
        <v>413</v>
      </c>
      <c r="K123" s="18" t="s">
        <v>1210</v>
      </c>
      <c r="L123" s="15" t="s">
        <v>131</v>
      </c>
      <c r="M123" s="17" t="s">
        <v>1211</v>
      </c>
      <c r="N123" s="19" t="s">
        <v>73</v>
      </c>
      <c r="O123" s="19" t="s">
        <v>463</v>
      </c>
      <c r="P123" s="20"/>
    </row>
    <row r="124" customFormat="false" ht="42" hidden="false" customHeight="true" outlineLevel="0" collapsed="false">
      <c r="A124" s="15" t="n">
        <v>3</v>
      </c>
      <c r="B124" s="16" t="s">
        <v>1212</v>
      </c>
      <c r="C124" s="17" t="s">
        <v>111</v>
      </c>
      <c r="D124" s="17" t="s">
        <v>1138</v>
      </c>
      <c r="E124" s="17" t="s">
        <v>1213</v>
      </c>
      <c r="F124" s="17" t="s">
        <v>1214</v>
      </c>
      <c r="G124" s="17" t="s">
        <v>1183</v>
      </c>
      <c r="H124" s="17" t="s">
        <v>1184</v>
      </c>
      <c r="I124" s="17" t="s">
        <v>413</v>
      </c>
      <c r="J124" s="17" t="s">
        <v>460</v>
      </c>
      <c r="K124" s="18" t="s">
        <v>1215</v>
      </c>
      <c r="L124" s="15" t="s">
        <v>131</v>
      </c>
      <c r="M124" s="17" t="s">
        <v>1216</v>
      </c>
      <c r="N124" s="19" t="s">
        <v>73</v>
      </c>
      <c r="O124" s="19" t="s">
        <v>463</v>
      </c>
      <c r="P124" s="20"/>
    </row>
    <row r="125" customFormat="false" ht="42" hidden="false" customHeight="true" outlineLevel="0" collapsed="false">
      <c r="A125" s="15" t="n">
        <v>3</v>
      </c>
      <c r="B125" s="16" t="s">
        <v>1217</v>
      </c>
      <c r="C125" s="17" t="s">
        <v>111</v>
      </c>
      <c r="D125" s="17" t="s">
        <v>1121</v>
      </c>
      <c r="E125" s="17" t="s">
        <v>1218</v>
      </c>
      <c r="F125" s="17" t="s">
        <v>1219</v>
      </c>
      <c r="G125" s="17" t="s">
        <v>1220</v>
      </c>
      <c r="H125" s="17" t="s">
        <v>1221</v>
      </c>
      <c r="I125" s="17" t="s">
        <v>413</v>
      </c>
      <c r="J125" s="17" t="s">
        <v>413</v>
      </c>
      <c r="K125" s="18" t="s">
        <v>1222</v>
      </c>
      <c r="L125" s="15" t="s">
        <v>131</v>
      </c>
      <c r="M125" s="17" t="s">
        <v>1223</v>
      </c>
      <c r="N125" s="19" t="s">
        <v>73</v>
      </c>
      <c r="O125" s="19" t="s">
        <v>463</v>
      </c>
      <c r="P125" s="20"/>
    </row>
    <row r="126" customFormat="false" ht="42" hidden="false" customHeight="true" outlineLevel="0" collapsed="false">
      <c r="A126" s="15" t="n">
        <v>3</v>
      </c>
      <c r="B126" s="16" t="s">
        <v>1224</v>
      </c>
      <c r="C126" s="17" t="s">
        <v>277</v>
      </c>
      <c r="D126" s="17" t="s">
        <v>455</v>
      </c>
      <c r="E126" s="17" t="s">
        <v>1225</v>
      </c>
      <c r="F126" s="17" t="s">
        <v>1226</v>
      </c>
      <c r="G126" s="17" t="s">
        <v>1227</v>
      </c>
      <c r="H126" s="17" t="s">
        <v>1228</v>
      </c>
      <c r="I126" s="17" t="s">
        <v>489</v>
      </c>
      <c r="J126" s="17" t="s">
        <v>460</v>
      </c>
      <c r="K126" s="18" t="s">
        <v>1229</v>
      </c>
      <c r="L126" s="15" t="s">
        <v>131</v>
      </c>
      <c r="M126" s="17" t="s">
        <v>1230</v>
      </c>
      <c r="N126" s="19" t="s">
        <v>73</v>
      </c>
      <c r="O126" s="19" t="s">
        <v>463</v>
      </c>
      <c r="P126" s="20"/>
    </row>
    <row r="127" customFormat="false" ht="42" hidden="false" customHeight="true" outlineLevel="0" collapsed="false">
      <c r="A127" s="15" t="n">
        <v>3</v>
      </c>
      <c r="B127" s="16" t="s">
        <v>1231</v>
      </c>
      <c r="C127" s="17" t="s">
        <v>62</v>
      </c>
      <c r="D127" s="17" t="s">
        <v>1232</v>
      </c>
      <c r="E127" s="17" t="s">
        <v>1233</v>
      </c>
      <c r="F127" s="17" t="s">
        <v>1234</v>
      </c>
      <c r="G127" s="17" t="s">
        <v>1235</v>
      </c>
      <c r="H127" s="17" t="s">
        <v>1236</v>
      </c>
      <c r="I127" s="17" t="s">
        <v>1237</v>
      </c>
      <c r="J127" s="17" t="s">
        <v>1238</v>
      </c>
      <c r="K127" s="18" t="s">
        <v>1239</v>
      </c>
      <c r="L127" s="15" t="s">
        <v>131</v>
      </c>
      <c r="M127" s="17" t="s">
        <v>1240</v>
      </c>
      <c r="N127" s="19" t="s">
        <v>73</v>
      </c>
      <c r="O127" s="19" t="s">
        <v>621</v>
      </c>
      <c r="P127" s="20"/>
    </row>
    <row r="128" customFormat="false" ht="42" hidden="false" customHeight="true" outlineLevel="0" collapsed="false">
      <c r="A128" s="15" t="n">
        <v>3</v>
      </c>
      <c r="B128" s="16" t="s">
        <v>1241</v>
      </c>
      <c r="C128" s="17" t="s">
        <v>62</v>
      </c>
      <c r="D128" s="17" t="s">
        <v>146</v>
      </c>
      <c r="E128" s="17" t="s">
        <v>1242</v>
      </c>
      <c r="F128" s="17" t="s">
        <v>1243</v>
      </c>
      <c r="G128" s="17" t="s">
        <v>1244</v>
      </c>
      <c r="H128" s="17" t="s">
        <v>1245</v>
      </c>
      <c r="I128" s="17" t="s">
        <v>1246</v>
      </c>
      <c r="J128" s="17" t="s">
        <v>326</v>
      </c>
      <c r="K128" s="18" t="s">
        <v>1247</v>
      </c>
      <c r="L128" s="15" t="s">
        <v>71</v>
      </c>
      <c r="M128" s="17" t="s">
        <v>1248</v>
      </c>
      <c r="N128" s="19" t="s">
        <v>73</v>
      </c>
      <c r="O128" s="19" t="s">
        <v>1249</v>
      </c>
      <c r="P128" s="20"/>
    </row>
    <row r="129" customFormat="false" ht="54.75" hidden="false" customHeight="true" outlineLevel="0" collapsed="false">
      <c r="A129" s="15" t="n">
        <v>3</v>
      </c>
      <c r="B129" s="16" t="s">
        <v>1250</v>
      </c>
      <c r="C129" s="17" t="s">
        <v>111</v>
      </c>
      <c r="D129" s="17" t="s">
        <v>1251</v>
      </c>
      <c r="E129" s="17" t="s">
        <v>1252</v>
      </c>
      <c r="F129" s="17" t="s">
        <v>1253</v>
      </c>
      <c r="G129" s="17" t="s">
        <v>1254</v>
      </c>
      <c r="H129" s="17" t="s">
        <v>161</v>
      </c>
      <c r="I129" s="17" t="s">
        <v>1255</v>
      </c>
      <c r="J129" s="17" t="s">
        <v>1256</v>
      </c>
      <c r="K129" s="18" t="s">
        <v>1257</v>
      </c>
      <c r="L129" s="15" t="s">
        <v>71</v>
      </c>
      <c r="M129" s="17" t="s">
        <v>1258</v>
      </c>
      <c r="N129" s="19" t="s">
        <v>73</v>
      </c>
      <c r="O129" s="19" t="s">
        <v>1259</v>
      </c>
      <c r="P129" s="20"/>
    </row>
    <row r="130" customFormat="false" ht="67.5" hidden="false" customHeight="true" outlineLevel="0" collapsed="false">
      <c r="A130" s="15" t="n">
        <v>3</v>
      </c>
      <c r="B130" s="16" t="s">
        <v>1260</v>
      </c>
      <c r="C130" s="17" t="s">
        <v>111</v>
      </c>
      <c r="D130" s="17" t="s">
        <v>544</v>
      </c>
      <c r="E130" s="17" t="s">
        <v>1261</v>
      </c>
      <c r="F130" s="17" t="s">
        <v>1262</v>
      </c>
      <c r="G130" s="17" t="s">
        <v>1254</v>
      </c>
      <c r="H130" s="17" t="s">
        <v>161</v>
      </c>
      <c r="I130" s="17" t="s">
        <v>1263</v>
      </c>
      <c r="J130" s="17" t="s">
        <v>1264</v>
      </c>
      <c r="K130" s="18" t="s">
        <v>1265</v>
      </c>
      <c r="L130" s="15" t="s">
        <v>71</v>
      </c>
      <c r="M130" s="17" t="s">
        <v>1266</v>
      </c>
      <c r="N130" s="19" t="s">
        <v>73</v>
      </c>
      <c r="O130" s="19" t="s">
        <v>1267</v>
      </c>
      <c r="P130" s="20"/>
    </row>
    <row r="131" customFormat="false" ht="54.75" hidden="false" customHeight="true" outlineLevel="0" collapsed="false">
      <c r="A131" s="15" t="n">
        <v>3</v>
      </c>
      <c r="B131" s="16" t="s">
        <v>1268</v>
      </c>
      <c r="C131" s="17" t="s">
        <v>289</v>
      </c>
      <c r="D131" s="17" t="s">
        <v>1269</v>
      </c>
      <c r="E131" s="17" t="s">
        <v>1270</v>
      </c>
      <c r="F131" s="17" t="s">
        <v>1271</v>
      </c>
      <c r="G131" s="17" t="s">
        <v>1272</v>
      </c>
      <c r="H131" s="17" t="s">
        <v>875</v>
      </c>
      <c r="I131" s="17" t="s">
        <v>1273</v>
      </c>
      <c r="J131" s="17" t="s">
        <v>1274</v>
      </c>
      <c r="K131" s="18" t="s">
        <v>1275</v>
      </c>
      <c r="L131" s="15" t="s">
        <v>71</v>
      </c>
      <c r="M131" s="17" t="s">
        <v>1276</v>
      </c>
      <c r="N131" s="19" t="s">
        <v>73</v>
      </c>
      <c r="O131" s="19" t="s">
        <v>879</v>
      </c>
      <c r="P131" s="20"/>
    </row>
    <row r="132" customFormat="false" ht="54.75" hidden="false" customHeight="true" outlineLevel="0" collapsed="false">
      <c r="A132" s="15" t="n">
        <v>3</v>
      </c>
      <c r="B132" s="16" t="s">
        <v>1277</v>
      </c>
      <c r="C132" s="17" t="s">
        <v>111</v>
      </c>
      <c r="D132" s="17" t="s">
        <v>146</v>
      </c>
      <c r="E132" s="17" t="s">
        <v>1278</v>
      </c>
      <c r="F132" s="17" t="s">
        <v>1279</v>
      </c>
      <c r="G132" s="17" t="s">
        <v>1280</v>
      </c>
      <c r="H132" s="17" t="s">
        <v>1281</v>
      </c>
      <c r="I132" s="17" t="s">
        <v>1282</v>
      </c>
      <c r="J132" s="17" t="s">
        <v>1283</v>
      </c>
      <c r="K132" s="18" t="s">
        <v>1284</v>
      </c>
      <c r="L132" s="15" t="s">
        <v>71</v>
      </c>
      <c r="M132" s="17" t="s">
        <v>1285</v>
      </c>
      <c r="N132" s="19" t="s">
        <v>73</v>
      </c>
      <c r="O132" s="19" t="s">
        <v>1286</v>
      </c>
      <c r="P132" s="20"/>
    </row>
    <row r="133" customFormat="false" ht="54.75" hidden="false" customHeight="true" outlineLevel="0" collapsed="false">
      <c r="A133" s="15" t="n">
        <v>3</v>
      </c>
      <c r="B133" s="16" t="s">
        <v>1287</v>
      </c>
      <c r="C133" s="17" t="s">
        <v>76</v>
      </c>
      <c r="D133" s="17" t="s">
        <v>1288</v>
      </c>
      <c r="E133" s="17" t="s">
        <v>1289</v>
      </c>
      <c r="F133" s="17" t="s">
        <v>1290</v>
      </c>
      <c r="G133" s="17" t="s">
        <v>1291</v>
      </c>
      <c r="H133" s="17" t="s">
        <v>875</v>
      </c>
      <c r="I133" s="17" t="s">
        <v>1292</v>
      </c>
      <c r="J133" s="17" t="s">
        <v>1293</v>
      </c>
      <c r="K133" s="18" t="s">
        <v>1294</v>
      </c>
      <c r="L133" s="15" t="s">
        <v>71</v>
      </c>
      <c r="M133" s="17" t="s">
        <v>1295</v>
      </c>
      <c r="N133" s="19" t="s">
        <v>73</v>
      </c>
      <c r="O133" s="19" t="s">
        <v>879</v>
      </c>
      <c r="P133" s="20"/>
    </row>
    <row r="134" customFormat="false" ht="42" hidden="false" customHeight="true" outlineLevel="0" collapsed="false">
      <c r="A134" s="15" t="n">
        <v>3</v>
      </c>
      <c r="B134" s="16" t="s">
        <v>1296</v>
      </c>
      <c r="C134" s="17" t="s">
        <v>76</v>
      </c>
      <c r="D134" s="17" t="s">
        <v>1297</v>
      </c>
      <c r="E134" s="17" t="s">
        <v>1298</v>
      </c>
      <c r="F134" s="17" t="s">
        <v>1299</v>
      </c>
      <c r="G134" s="17" t="s">
        <v>1300</v>
      </c>
      <c r="H134" s="17" t="s">
        <v>616</v>
      </c>
      <c r="I134" s="17" t="s">
        <v>413</v>
      </c>
      <c r="J134" s="17" t="s">
        <v>1301</v>
      </c>
      <c r="K134" s="18" t="s">
        <v>1302</v>
      </c>
      <c r="L134" s="15" t="s">
        <v>131</v>
      </c>
      <c r="M134" s="17" t="s">
        <v>1303</v>
      </c>
      <c r="N134" s="19" t="s">
        <v>73</v>
      </c>
      <c r="O134" s="19" t="s">
        <v>621</v>
      </c>
      <c r="P134" s="20"/>
    </row>
    <row r="135" customFormat="false" ht="67.5" hidden="false" customHeight="true" outlineLevel="0" collapsed="false">
      <c r="A135" s="15" t="n">
        <v>3</v>
      </c>
      <c r="B135" s="16" t="s">
        <v>1304</v>
      </c>
      <c r="C135" s="17" t="s">
        <v>76</v>
      </c>
      <c r="D135" s="17" t="s">
        <v>1269</v>
      </c>
      <c r="E135" s="17" t="s">
        <v>1305</v>
      </c>
      <c r="F135" s="17" t="s">
        <v>1306</v>
      </c>
      <c r="G135" s="17" t="s">
        <v>1307</v>
      </c>
      <c r="H135" s="17" t="s">
        <v>1308</v>
      </c>
      <c r="I135" s="17" t="s">
        <v>1309</v>
      </c>
      <c r="J135" s="17" t="s">
        <v>1310</v>
      </c>
      <c r="K135" s="18" t="s">
        <v>1311</v>
      </c>
      <c r="L135" s="15" t="s">
        <v>131</v>
      </c>
      <c r="M135" s="17" t="s">
        <v>1312</v>
      </c>
      <c r="N135" s="19" t="s">
        <v>73</v>
      </c>
      <c r="O135" s="19" t="s">
        <v>621</v>
      </c>
      <c r="P135" s="20"/>
    </row>
    <row r="136" customFormat="false" ht="29.25" hidden="false" customHeight="true" outlineLevel="0" collapsed="false">
      <c r="A136" s="15" t="n">
        <v>3</v>
      </c>
      <c r="B136" s="16" t="s">
        <v>1313</v>
      </c>
      <c r="C136" s="17" t="s">
        <v>76</v>
      </c>
      <c r="D136" s="17" t="s">
        <v>1269</v>
      </c>
      <c r="E136" s="17" t="s">
        <v>1314</v>
      </c>
      <c r="F136" s="17" t="s">
        <v>1315</v>
      </c>
      <c r="G136" s="17" t="s">
        <v>1085</v>
      </c>
      <c r="H136" s="17" t="s">
        <v>616</v>
      </c>
      <c r="I136" s="17" t="s">
        <v>413</v>
      </c>
      <c r="J136" s="17" t="s">
        <v>1316</v>
      </c>
      <c r="K136" s="18" t="s">
        <v>1317</v>
      </c>
      <c r="L136" s="15" t="s">
        <v>131</v>
      </c>
      <c r="M136" s="17" t="s">
        <v>1318</v>
      </c>
      <c r="N136" s="19" t="s">
        <v>73</v>
      </c>
      <c r="O136" s="19" t="s">
        <v>621</v>
      </c>
      <c r="P136" s="20"/>
    </row>
    <row r="137" customFormat="false" ht="54.75" hidden="false" customHeight="true" outlineLevel="0" collapsed="false">
      <c r="A137" s="15" t="n">
        <v>3</v>
      </c>
      <c r="B137" s="16" t="s">
        <v>1319</v>
      </c>
      <c r="C137" s="17" t="s">
        <v>62</v>
      </c>
      <c r="D137" s="17" t="s">
        <v>1320</v>
      </c>
      <c r="E137" s="17" t="s">
        <v>1321</v>
      </c>
      <c r="F137" s="17" t="s">
        <v>1322</v>
      </c>
      <c r="G137" s="17" t="s">
        <v>1323</v>
      </c>
      <c r="H137" s="17" t="s">
        <v>1324</v>
      </c>
      <c r="I137" s="17" t="s">
        <v>1325</v>
      </c>
      <c r="J137" s="17" t="s">
        <v>208</v>
      </c>
      <c r="K137" s="18" t="s">
        <v>1326</v>
      </c>
      <c r="L137" s="15" t="s">
        <v>131</v>
      </c>
      <c r="M137" s="17" t="s">
        <v>1327</v>
      </c>
      <c r="N137" s="19" t="s">
        <v>73</v>
      </c>
      <c r="O137" s="19" t="s">
        <v>417</v>
      </c>
      <c r="P137" s="20"/>
    </row>
    <row r="138" customFormat="false" ht="29.25" hidden="false" customHeight="true" outlineLevel="0" collapsed="false">
      <c r="A138" s="15" t="n">
        <v>3</v>
      </c>
      <c r="B138" s="16" t="s">
        <v>1328</v>
      </c>
      <c r="C138" s="17" t="s">
        <v>76</v>
      </c>
      <c r="D138" s="17" t="s">
        <v>612</v>
      </c>
      <c r="E138" s="17" t="s">
        <v>1329</v>
      </c>
      <c r="F138" s="17" t="s">
        <v>1330</v>
      </c>
      <c r="G138" s="17" t="s">
        <v>1331</v>
      </c>
      <c r="H138" s="17" t="s">
        <v>616</v>
      </c>
      <c r="I138" s="17" t="s">
        <v>1332</v>
      </c>
      <c r="J138" s="17" t="s">
        <v>1333</v>
      </c>
      <c r="K138" s="18" t="s">
        <v>1334</v>
      </c>
      <c r="L138" s="15" t="s">
        <v>131</v>
      </c>
      <c r="M138" s="17" t="s">
        <v>1335</v>
      </c>
      <c r="N138" s="19" t="s">
        <v>73</v>
      </c>
      <c r="O138" s="19" t="s">
        <v>621</v>
      </c>
      <c r="P138" s="20"/>
    </row>
    <row r="139" customFormat="false" ht="42" hidden="false" customHeight="true" outlineLevel="0" collapsed="false">
      <c r="A139" s="15" t="n">
        <v>3</v>
      </c>
      <c r="B139" s="16" t="s">
        <v>1336</v>
      </c>
      <c r="C139" s="17" t="s">
        <v>76</v>
      </c>
      <c r="D139" s="17" t="s">
        <v>1269</v>
      </c>
      <c r="E139" s="17" t="s">
        <v>1337</v>
      </c>
      <c r="F139" s="17" t="s">
        <v>1338</v>
      </c>
      <c r="G139" s="17" t="s">
        <v>1339</v>
      </c>
      <c r="H139" s="17" t="s">
        <v>1340</v>
      </c>
      <c r="I139" s="17" t="s">
        <v>413</v>
      </c>
      <c r="J139" s="17" t="s">
        <v>1341</v>
      </c>
      <c r="K139" s="18" t="s">
        <v>1342</v>
      </c>
      <c r="L139" s="15" t="s">
        <v>131</v>
      </c>
      <c r="M139" s="17" t="s">
        <v>1343</v>
      </c>
      <c r="N139" s="19" t="s">
        <v>73</v>
      </c>
      <c r="O139" s="19" t="s">
        <v>938</v>
      </c>
      <c r="P139" s="20"/>
    </row>
    <row r="140" customFormat="false" ht="29.25" hidden="false" customHeight="true" outlineLevel="0" collapsed="false">
      <c r="A140" s="15" t="n">
        <v>3</v>
      </c>
      <c r="B140" s="16" t="s">
        <v>1344</v>
      </c>
      <c r="C140" s="17" t="s">
        <v>76</v>
      </c>
      <c r="D140" s="17" t="s">
        <v>146</v>
      </c>
      <c r="E140" s="17" t="s">
        <v>1345</v>
      </c>
      <c r="F140" s="17" t="s">
        <v>1346</v>
      </c>
      <c r="G140" s="17" t="s">
        <v>1085</v>
      </c>
      <c r="H140" s="17" t="s">
        <v>1347</v>
      </c>
      <c r="I140" s="17" t="s">
        <v>413</v>
      </c>
      <c r="J140" s="17" t="s">
        <v>1348</v>
      </c>
      <c r="K140" s="18" t="s">
        <v>1349</v>
      </c>
      <c r="L140" s="15" t="s">
        <v>131</v>
      </c>
      <c r="M140" s="17" t="s">
        <v>1350</v>
      </c>
      <c r="N140" s="19" t="s">
        <v>73</v>
      </c>
      <c r="O140" s="19" t="s">
        <v>938</v>
      </c>
      <c r="P140" s="20"/>
    </row>
    <row r="141" customFormat="false" ht="42" hidden="false" customHeight="true" outlineLevel="0" collapsed="false">
      <c r="A141" s="15" t="n">
        <v>3</v>
      </c>
      <c r="B141" s="16" t="s">
        <v>1351</v>
      </c>
      <c r="C141" s="17" t="s">
        <v>111</v>
      </c>
      <c r="D141" s="17" t="s">
        <v>146</v>
      </c>
      <c r="E141" s="17" t="s">
        <v>1352</v>
      </c>
      <c r="F141" s="17" t="s">
        <v>1353</v>
      </c>
      <c r="G141" s="17" t="s">
        <v>1354</v>
      </c>
      <c r="H141" s="17" t="s">
        <v>1355</v>
      </c>
      <c r="I141" s="17" t="s">
        <v>1356</v>
      </c>
      <c r="J141" s="17" t="s">
        <v>1357</v>
      </c>
      <c r="K141" s="18" t="s">
        <v>1358</v>
      </c>
      <c r="L141" s="15" t="s">
        <v>131</v>
      </c>
      <c r="M141" s="17" t="s">
        <v>1359</v>
      </c>
      <c r="N141" s="19" t="s">
        <v>73</v>
      </c>
      <c r="O141" s="19" t="s">
        <v>1360</v>
      </c>
      <c r="P141" s="20"/>
    </row>
    <row r="142" customFormat="false" ht="29.25" hidden="false" customHeight="true" outlineLevel="0" collapsed="false">
      <c r="A142" s="15" t="n">
        <v>3</v>
      </c>
      <c r="B142" s="16" t="s">
        <v>1361</v>
      </c>
      <c r="C142" s="17" t="s">
        <v>76</v>
      </c>
      <c r="D142" s="17" t="s">
        <v>1362</v>
      </c>
      <c r="E142" s="17" t="s">
        <v>1329</v>
      </c>
      <c r="F142" s="17" t="s">
        <v>1363</v>
      </c>
      <c r="G142" s="17" t="s">
        <v>1364</v>
      </c>
      <c r="H142" s="17" t="s">
        <v>1365</v>
      </c>
      <c r="I142" s="17" t="s">
        <v>1366</v>
      </c>
      <c r="J142" s="17" t="s">
        <v>1367</v>
      </c>
      <c r="K142" s="18" t="s">
        <v>1368</v>
      </c>
      <c r="L142" s="15" t="s">
        <v>131</v>
      </c>
      <c r="M142" s="17" t="s">
        <v>1369</v>
      </c>
      <c r="N142" s="19" t="s">
        <v>73</v>
      </c>
      <c r="O142" s="19" t="s">
        <v>938</v>
      </c>
      <c r="P142" s="20"/>
    </row>
    <row r="143" customFormat="false" ht="42" hidden="false" customHeight="true" outlineLevel="0" collapsed="false">
      <c r="A143" s="15" t="n">
        <v>3</v>
      </c>
      <c r="B143" s="16" t="s">
        <v>1370</v>
      </c>
      <c r="C143" s="17" t="s">
        <v>76</v>
      </c>
      <c r="D143" s="17" t="s">
        <v>1371</v>
      </c>
      <c r="E143" s="17" t="s">
        <v>1372</v>
      </c>
      <c r="F143" s="17" t="s">
        <v>1373</v>
      </c>
      <c r="G143" s="17" t="s">
        <v>1300</v>
      </c>
      <c r="H143" s="17" t="s">
        <v>616</v>
      </c>
      <c r="I143" s="17" t="s">
        <v>413</v>
      </c>
      <c r="J143" s="17" t="s">
        <v>1374</v>
      </c>
      <c r="K143" s="18" t="s">
        <v>1375</v>
      </c>
      <c r="L143" s="15" t="s">
        <v>131</v>
      </c>
      <c r="M143" s="17" t="s">
        <v>1376</v>
      </c>
      <c r="N143" s="19" t="s">
        <v>73</v>
      </c>
      <c r="O143" s="19" t="s">
        <v>621</v>
      </c>
      <c r="P143" s="20"/>
    </row>
    <row r="144" customFormat="false" ht="42" hidden="false" customHeight="true" outlineLevel="0" collapsed="false">
      <c r="A144" s="15" t="n">
        <v>3</v>
      </c>
      <c r="B144" s="16" t="s">
        <v>1377</v>
      </c>
      <c r="C144" s="17" t="s">
        <v>76</v>
      </c>
      <c r="D144" s="17" t="s">
        <v>1371</v>
      </c>
      <c r="E144" s="17" t="s">
        <v>1329</v>
      </c>
      <c r="F144" s="17" t="s">
        <v>1378</v>
      </c>
      <c r="G144" s="17" t="s">
        <v>1379</v>
      </c>
      <c r="H144" s="17" t="s">
        <v>616</v>
      </c>
      <c r="I144" s="17" t="s">
        <v>1380</v>
      </c>
      <c r="J144" s="17" t="s">
        <v>1381</v>
      </c>
      <c r="K144" s="18" t="s">
        <v>1382</v>
      </c>
      <c r="L144" s="15" t="s">
        <v>131</v>
      </c>
      <c r="M144" s="17" t="s">
        <v>1383</v>
      </c>
      <c r="N144" s="19" t="s">
        <v>73</v>
      </c>
      <c r="O144" s="19" t="s">
        <v>621</v>
      </c>
      <c r="P144" s="20"/>
    </row>
    <row r="145" customFormat="false" ht="29.25" hidden="false" customHeight="true" outlineLevel="0" collapsed="false">
      <c r="A145" s="15" t="n">
        <v>3</v>
      </c>
      <c r="B145" s="16" t="s">
        <v>1384</v>
      </c>
      <c r="C145" s="17" t="s">
        <v>76</v>
      </c>
      <c r="D145" s="17" t="s">
        <v>544</v>
      </c>
      <c r="E145" s="17" t="s">
        <v>1385</v>
      </c>
      <c r="F145" s="17" t="s">
        <v>1386</v>
      </c>
      <c r="G145" s="17" t="s">
        <v>1387</v>
      </c>
      <c r="H145" s="17" t="s">
        <v>616</v>
      </c>
      <c r="I145" s="17" t="s">
        <v>1388</v>
      </c>
      <c r="J145" s="17" t="s">
        <v>1389</v>
      </c>
      <c r="K145" s="18" t="s">
        <v>1390</v>
      </c>
      <c r="L145" s="15" t="s">
        <v>131</v>
      </c>
      <c r="M145" s="17" t="s">
        <v>1391</v>
      </c>
      <c r="N145" s="19" t="s">
        <v>73</v>
      </c>
      <c r="O145" s="19" t="s">
        <v>621</v>
      </c>
      <c r="P145" s="20"/>
    </row>
    <row r="146" customFormat="false" ht="42" hidden="false" customHeight="true" outlineLevel="0" collapsed="false">
      <c r="A146" s="15" t="n">
        <v>3</v>
      </c>
      <c r="B146" s="16" t="s">
        <v>1392</v>
      </c>
      <c r="C146" s="17" t="s">
        <v>76</v>
      </c>
      <c r="D146" s="17" t="s">
        <v>1251</v>
      </c>
      <c r="E146" s="17" t="s">
        <v>1393</v>
      </c>
      <c r="F146" s="17" t="s">
        <v>1394</v>
      </c>
      <c r="G146" s="17" t="s">
        <v>1085</v>
      </c>
      <c r="H146" s="17" t="s">
        <v>1395</v>
      </c>
      <c r="I146" s="17" t="s">
        <v>413</v>
      </c>
      <c r="J146" s="17" t="s">
        <v>1396</v>
      </c>
      <c r="K146" s="18" t="s">
        <v>1397</v>
      </c>
      <c r="L146" s="15" t="s">
        <v>131</v>
      </c>
      <c r="M146" s="17" t="s">
        <v>1398</v>
      </c>
      <c r="N146" s="19" t="s">
        <v>73</v>
      </c>
      <c r="O146" s="19" t="s">
        <v>1399</v>
      </c>
      <c r="P146" s="20"/>
    </row>
    <row r="147" customFormat="false" ht="42" hidden="false" customHeight="true" outlineLevel="0" collapsed="false">
      <c r="A147" s="15" t="n">
        <v>3</v>
      </c>
      <c r="B147" s="16" t="s">
        <v>1400</v>
      </c>
      <c r="C147" s="17" t="s">
        <v>76</v>
      </c>
      <c r="D147" s="17" t="s">
        <v>1401</v>
      </c>
      <c r="E147" s="17" t="s">
        <v>1402</v>
      </c>
      <c r="F147" s="17" t="s">
        <v>1403</v>
      </c>
      <c r="G147" s="17" t="s">
        <v>1085</v>
      </c>
      <c r="H147" s="17" t="s">
        <v>1395</v>
      </c>
      <c r="I147" s="17" t="s">
        <v>413</v>
      </c>
      <c r="J147" s="17" t="s">
        <v>1404</v>
      </c>
      <c r="K147" s="18" t="s">
        <v>1405</v>
      </c>
      <c r="L147" s="15" t="s">
        <v>131</v>
      </c>
      <c r="M147" s="17" t="s">
        <v>1406</v>
      </c>
      <c r="N147" s="19" t="s">
        <v>73</v>
      </c>
      <c r="O147" s="19" t="s">
        <v>1399</v>
      </c>
      <c r="P147" s="20"/>
    </row>
    <row r="148" customFormat="false" ht="42" hidden="false" customHeight="true" outlineLevel="0" collapsed="false">
      <c r="A148" s="15" t="n">
        <v>3</v>
      </c>
      <c r="B148" s="16" t="s">
        <v>1407</v>
      </c>
      <c r="C148" s="17" t="s">
        <v>76</v>
      </c>
      <c r="D148" s="17" t="s">
        <v>1408</v>
      </c>
      <c r="E148" s="17" t="s">
        <v>1409</v>
      </c>
      <c r="F148" s="17" t="s">
        <v>1410</v>
      </c>
      <c r="G148" s="17" t="s">
        <v>1085</v>
      </c>
      <c r="H148" s="17" t="s">
        <v>1395</v>
      </c>
      <c r="I148" s="17" t="s">
        <v>413</v>
      </c>
      <c r="J148" s="17" t="s">
        <v>1411</v>
      </c>
      <c r="K148" s="18" t="s">
        <v>1412</v>
      </c>
      <c r="L148" s="15" t="s">
        <v>131</v>
      </c>
      <c r="M148" s="17" t="s">
        <v>1413</v>
      </c>
      <c r="N148" s="19" t="s">
        <v>73</v>
      </c>
      <c r="O148" s="19" t="s">
        <v>1399</v>
      </c>
      <c r="P148" s="20"/>
    </row>
    <row r="149" customFormat="false" ht="42" hidden="false" customHeight="true" outlineLevel="0" collapsed="false">
      <c r="A149" s="15" t="n">
        <v>3</v>
      </c>
      <c r="B149" s="16" t="s">
        <v>1414</v>
      </c>
      <c r="C149" s="17" t="s">
        <v>111</v>
      </c>
      <c r="D149" s="17" t="s">
        <v>1371</v>
      </c>
      <c r="E149" s="17" t="s">
        <v>1415</v>
      </c>
      <c r="F149" s="17" t="s">
        <v>1416</v>
      </c>
      <c r="G149" s="17" t="s">
        <v>1417</v>
      </c>
      <c r="H149" s="17" t="s">
        <v>1418</v>
      </c>
      <c r="I149" s="17" t="s">
        <v>413</v>
      </c>
      <c r="J149" s="17" t="s">
        <v>1419</v>
      </c>
      <c r="K149" s="18" t="s">
        <v>1420</v>
      </c>
      <c r="L149" s="15" t="s">
        <v>131</v>
      </c>
      <c r="M149" s="17" t="s">
        <v>1421</v>
      </c>
      <c r="N149" s="19" t="s">
        <v>73</v>
      </c>
      <c r="O149" s="19" t="s">
        <v>1399</v>
      </c>
      <c r="P149" s="20"/>
    </row>
    <row r="150" customFormat="false" ht="42" hidden="false" customHeight="true" outlineLevel="0" collapsed="false">
      <c r="A150" s="15" t="n">
        <v>3</v>
      </c>
      <c r="B150" s="16" t="s">
        <v>1422</v>
      </c>
      <c r="C150" s="17" t="s">
        <v>111</v>
      </c>
      <c r="D150" s="17" t="s">
        <v>1423</v>
      </c>
      <c r="E150" s="17" t="s">
        <v>1424</v>
      </c>
      <c r="F150" s="17" t="s">
        <v>1425</v>
      </c>
      <c r="G150" s="17" t="s">
        <v>1426</v>
      </c>
      <c r="H150" s="17" t="s">
        <v>1427</v>
      </c>
      <c r="I150" s="17" t="s">
        <v>1428</v>
      </c>
      <c r="J150" s="17" t="s">
        <v>1429</v>
      </c>
      <c r="K150" s="18" t="s">
        <v>1430</v>
      </c>
      <c r="L150" s="15" t="s">
        <v>131</v>
      </c>
      <c r="M150" s="17" t="s">
        <v>1431</v>
      </c>
      <c r="N150" s="19" t="s">
        <v>73</v>
      </c>
      <c r="O150" s="19" t="s">
        <v>463</v>
      </c>
      <c r="P150" s="20"/>
    </row>
    <row r="151" customFormat="false" ht="42" hidden="false" customHeight="true" outlineLevel="0" collapsed="false">
      <c r="A151" s="15" t="n">
        <v>3</v>
      </c>
      <c r="B151" s="16" t="s">
        <v>1432</v>
      </c>
      <c r="C151" s="17" t="s">
        <v>111</v>
      </c>
      <c r="D151" s="17" t="s">
        <v>1433</v>
      </c>
      <c r="E151" s="17" t="s">
        <v>1434</v>
      </c>
      <c r="F151" s="17" t="s">
        <v>1435</v>
      </c>
      <c r="G151" s="17" t="s">
        <v>1436</v>
      </c>
      <c r="H151" s="17" t="s">
        <v>1437</v>
      </c>
      <c r="I151" s="17" t="s">
        <v>413</v>
      </c>
      <c r="J151" s="17" t="s">
        <v>413</v>
      </c>
      <c r="K151" s="18" t="s">
        <v>1438</v>
      </c>
      <c r="L151" s="15" t="s">
        <v>131</v>
      </c>
      <c r="M151" s="17" t="s">
        <v>1439</v>
      </c>
      <c r="N151" s="19" t="s">
        <v>73</v>
      </c>
      <c r="O151" s="19" t="s">
        <v>463</v>
      </c>
      <c r="P151" s="20"/>
    </row>
    <row r="152" customFormat="false" ht="54.75" hidden="false" customHeight="true" outlineLevel="0" collapsed="false">
      <c r="A152" s="15" t="n">
        <v>3</v>
      </c>
      <c r="B152" s="16" t="s">
        <v>1440</v>
      </c>
      <c r="C152" s="17" t="s">
        <v>289</v>
      </c>
      <c r="D152" s="17" t="s">
        <v>1441</v>
      </c>
      <c r="E152" s="17" t="s">
        <v>1442</v>
      </c>
      <c r="F152" s="17" t="s">
        <v>1443</v>
      </c>
      <c r="G152" s="17" t="s">
        <v>1444</v>
      </c>
      <c r="H152" s="17" t="s">
        <v>1445</v>
      </c>
      <c r="I152" s="17" t="s">
        <v>1446</v>
      </c>
      <c r="J152" s="17" t="s">
        <v>1447</v>
      </c>
      <c r="K152" s="18" t="s">
        <v>1448</v>
      </c>
      <c r="L152" s="15" t="s">
        <v>131</v>
      </c>
      <c r="M152" s="17" t="s">
        <v>1449</v>
      </c>
      <c r="N152" s="19" t="s">
        <v>73</v>
      </c>
      <c r="O152" s="19" t="s">
        <v>1450</v>
      </c>
      <c r="P152" s="20"/>
    </row>
    <row r="153" customFormat="false" ht="42" hidden="false" customHeight="true" outlineLevel="0" collapsed="false">
      <c r="A153" s="15" t="n">
        <v>2</v>
      </c>
      <c r="B153" s="16" t="s">
        <v>1451</v>
      </c>
      <c r="C153" s="17" t="s">
        <v>277</v>
      </c>
      <c r="D153" s="17" t="s">
        <v>88</v>
      </c>
      <c r="E153" s="17" t="s">
        <v>1452</v>
      </c>
      <c r="F153" s="17" t="s">
        <v>1453</v>
      </c>
      <c r="G153" s="17" t="s">
        <v>1454</v>
      </c>
      <c r="H153" s="17" t="s">
        <v>1455</v>
      </c>
      <c r="I153" s="17" t="s">
        <v>1456</v>
      </c>
      <c r="J153" s="17" t="s">
        <v>1457</v>
      </c>
      <c r="K153" s="18" t="s">
        <v>1458</v>
      </c>
      <c r="L153" s="15" t="s">
        <v>71</v>
      </c>
      <c r="M153" s="17" t="s">
        <v>1459</v>
      </c>
      <c r="N153" s="19" t="s">
        <v>73</v>
      </c>
      <c r="O153" s="19" t="s">
        <v>1460</v>
      </c>
      <c r="P153" s="20"/>
    </row>
    <row r="154" customFormat="false" ht="42" hidden="false" customHeight="true" outlineLevel="0" collapsed="false">
      <c r="A154" s="15" t="n">
        <v>2</v>
      </c>
      <c r="B154" s="16" t="s">
        <v>1461</v>
      </c>
      <c r="C154" s="17" t="s">
        <v>289</v>
      </c>
      <c r="D154" s="17" t="s">
        <v>88</v>
      </c>
      <c r="E154" s="17" t="s">
        <v>1462</v>
      </c>
      <c r="F154" s="17" t="s">
        <v>1463</v>
      </c>
      <c r="G154" s="17" t="s">
        <v>1464</v>
      </c>
      <c r="H154" s="17" t="s">
        <v>1465</v>
      </c>
      <c r="I154" s="17" t="s">
        <v>1466</v>
      </c>
      <c r="J154" s="17" t="s">
        <v>1467</v>
      </c>
      <c r="K154" s="18" t="s">
        <v>1468</v>
      </c>
      <c r="L154" s="15" t="s">
        <v>71</v>
      </c>
      <c r="M154" s="17" t="s">
        <v>1469</v>
      </c>
      <c r="N154" s="19" t="s">
        <v>73</v>
      </c>
      <c r="O154" s="19" t="s">
        <v>861</v>
      </c>
      <c r="P154" s="20"/>
    </row>
    <row r="155" customFormat="false" ht="42" hidden="false" customHeight="true" outlineLevel="0" collapsed="false">
      <c r="A155" s="15" t="n">
        <v>2</v>
      </c>
      <c r="B155" s="16" t="s">
        <v>1470</v>
      </c>
      <c r="C155" s="17" t="s">
        <v>62</v>
      </c>
      <c r="D155" s="17" t="s">
        <v>795</v>
      </c>
      <c r="E155" s="17" t="s">
        <v>1471</v>
      </c>
      <c r="F155" s="17" t="s">
        <v>1472</v>
      </c>
      <c r="G155" s="17" t="s">
        <v>1473</v>
      </c>
      <c r="H155" s="17" t="s">
        <v>1474</v>
      </c>
      <c r="I155" s="17" t="s">
        <v>259</v>
      </c>
      <c r="J155" s="17" t="s">
        <v>1475</v>
      </c>
      <c r="K155" s="18" t="s">
        <v>1476</v>
      </c>
      <c r="L155" s="15" t="s">
        <v>71</v>
      </c>
      <c r="M155" s="17" t="s">
        <v>1477</v>
      </c>
      <c r="N155" s="19" t="s">
        <v>73</v>
      </c>
      <c r="O155" s="19" t="s">
        <v>699</v>
      </c>
      <c r="P155" s="20"/>
    </row>
    <row r="156" customFormat="false" ht="42" hidden="false" customHeight="true" outlineLevel="0" collapsed="false">
      <c r="A156" s="15" t="n">
        <v>2</v>
      </c>
      <c r="B156" s="16" t="s">
        <v>1478</v>
      </c>
      <c r="C156" s="17" t="s">
        <v>289</v>
      </c>
      <c r="D156" s="17" t="s">
        <v>88</v>
      </c>
      <c r="E156" s="17" t="s">
        <v>1479</v>
      </c>
      <c r="F156" s="17" t="s">
        <v>1480</v>
      </c>
      <c r="G156" s="17" t="s">
        <v>1481</v>
      </c>
      <c r="H156" s="17" t="s">
        <v>161</v>
      </c>
      <c r="I156" s="17" t="s">
        <v>1482</v>
      </c>
      <c r="J156" s="17" t="s">
        <v>1483</v>
      </c>
      <c r="K156" s="18" t="s">
        <v>1484</v>
      </c>
      <c r="L156" s="15" t="s">
        <v>71</v>
      </c>
      <c r="M156" s="17" t="s">
        <v>1485</v>
      </c>
      <c r="N156" s="19" t="s">
        <v>73</v>
      </c>
      <c r="O156" s="19" t="s">
        <v>649</v>
      </c>
      <c r="P156" s="20"/>
    </row>
    <row r="157" customFormat="false" ht="42" hidden="false" customHeight="true" outlineLevel="0" collapsed="false">
      <c r="A157" s="15" t="n">
        <v>2</v>
      </c>
      <c r="B157" s="16" t="s">
        <v>1486</v>
      </c>
      <c r="C157" s="17" t="s">
        <v>62</v>
      </c>
      <c r="D157" s="17" t="s">
        <v>1487</v>
      </c>
      <c r="E157" s="17" t="s">
        <v>1488</v>
      </c>
      <c r="F157" s="17" t="s">
        <v>1489</v>
      </c>
      <c r="G157" s="17" t="s">
        <v>1490</v>
      </c>
      <c r="H157" s="17" t="s">
        <v>1491</v>
      </c>
      <c r="I157" s="17" t="s">
        <v>1492</v>
      </c>
      <c r="J157" s="17" t="s">
        <v>1493</v>
      </c>
      <c r="K157" s="18" t="s">
        <v>1494</v>
      </c>
      <c r="L157" s="15" t="s">
        <v>71</v>
      </c>
      <c r="M157" s="17" t="s">
        <v>1495</v>
      </c>
      <c r="N157" s="19" t="s">
        <v>73</v>
      </c>
      <c r="O157" s="19" t="s">
        <v>658</v>
      </c>
      <c r="P157" s="20"/>
    </row>
    <row r="158" customFormat="false" ht="29.25" hidden="false" customHeight="true" outlineLevel="0" collapsed="false">
      <c r="A158" s="15" t="n">
        <v>2</v>
      </c>
      <c r="B158" s="16" t="s">
        <v>1496</v>
      </c>
      <c r="C158" s="17" t="s">
        <v>277</v>
      </c>
      <c r="D158" s="17" t="s">
        <v>88</v>
      </c>
      <c r="E158" s="17" t="s">
        <v>1497</v>
      </c>
      <c r="F158" s="17" t="s">
        <v>1498</v>
      </c>
      <c r="G158" s="17" t="s">
        <v>1499</v>
      </c>
      <c r="H158" s="17" t="s">
        <v>1500</v>
      </c>
      <c r="I158" s="17" t="s">
        <v>1501</v>
      </c>
      <c r="J158" s="17" t="s">
        <v>326</v>
      </c>
      <c r="K158" s="18" t="s">
        <v>1502</v>
      </c>
      <c r="L158" s="15" t="s">
        <v>71</v>
      </c>
      <c r="M158" s="17" t="s">
        <v>1503</v>
      </c>
      <c r="N158" s="19" t="s">
        <v>73</v>
      </c>
      <c r="O158" s="19" t="s">
        <v>861</v>
      </c>
      <c r="P158" s="20"/>
    </row>
    <row r="159" customFormat="false" ht="42" hidden="false" customHeight="true" outlineLevel="0" collapsed="false">
      <c r="A159" s="15" t="n">
        <v>2</v>
      </c>
      <c r="B159" s="16" t="s">
        <v>1504</v>
      </c>
      <c r="C159" s="17" t="s">
        <v>111</v>
      </c>
      <c r="D159" s="17" t="s">
        <v>88</v>
      </c>
      <c r="E159" s="17" t="s">
        <v>1505</v>
      </c>
      <c r="F159" s="17" t="s">
        <v>1506</v>
      </c>
      <c r="G159" s="17" t="s">
        <v>1507</v>
      </c>
      <c r="H159" s="17" t="s">
        <v>1508</v>
      </c>
      <c r="I159" s="17" t="s">
        <v>1509</v>
      </c>
      <c r="J159" s="17" t="s">
        <v>1510</v>
      </c>
      <c r="K159" s="18" t="s">
        <v>1511</v>
      </c>
      <c r="L159" s="15" t="s">
        <v>71</v>
      </c>
      <c r="M159" s="17" t="s">
        <v>1512</v>
      </c>
      <c r="N159" s="19" t="s">
        <v>73</v>
      </c>
      <c r="O159" s="19" t="s">
        <v>861</v>
      </c>
      <c r="P159" s="20"/>
    </row>
    <row r="160" customFormat="false" ht="42" hidden="false" customHeight="true" outlineLevel="0" collapsed="false">
      <c r="A160" s="15" t="n">
        <v>2</v>
      </c>
      <c r="B160" s="16" t="s">
        <v>1513</v>
      </c>
      <c r="C160" s="17" t="s">
        <v>111</v>
      </c>
      <c r="D160" s="17" t="s">
        <v>1514</v>
      </c>
      <c r="E160" s="17" t="s">
        <v>1515</v>
      </c>
      <c r="F160" s="17" t="s">
        <v>1516</v>
      </c>
      <c r="G160" s="17" t="s">
        <v>1517</v>
      </c>
      <c r="H160" s="17" t="s">
        <v>1518</v>
      </c>
      <c r="I160" s="17" t="s">
        <v>413</v>
      </c>
      <c r="J160" s="17" t="s">
        <v>1519</v>
      </c>
      <c r="K160" s="18" t="s">
        <v>1520</v>
      </c>
      <c r="L160" s="15" t="s">
        <v>131</v>
      </c>
      <c r="M160" s="17" t="s">
        <v>1521</v>
      </c>
      <c r="N160" s="19" t="s">
        <v>73</v>
      </c>
      <c r="O160" s="19" t="s">
        <v>463</v>
      </c>
      <c r="P160" s="20"/>
    </row>
    <row r="161" customFormat="false" ht="42" hidden="false" customHeight="true" outlineLevel="0" collapsed="false">
      <c r="A161" s="15" t="n">
        <v>2</v>
      </c>
      <c r="B161" s="16" t="s">
        <v>1522</v>
      </c>
      <c r="C161" s="17" t="s">
        <v>111</v>
      </c>
      <c r="D161" s="17" t="s">
        <v>1523</v>
      </c>
      <c r="E161" s="17" t="s">
        <v>1524</v>
      </c>
      <c r="F161" s="17" t="s">
        <v>1525</v>
      </c>
      <c r="G161" s="17" t="s">
        <v>1526</v>
      </c>
      <c r="H161" s="17" t="s">
        <v>1527</v>
      </c>
      <c r="I161" s="17" t="s">
        <v>1528</v>
      </c>
      <c r="J161" s="17" t="s">
        <v>1529</v>
      </c>
      <c r="K161" s="18" t="s">
        <v>1530</v>
      </c>
      <c r="L161" s="15" t="s">
        <v>131</v>
      </c>
      <c r="M161" s="17" t="s">
        <v>1531</v>
      </c>
      <c r="N161" s="19" t="s">
        <v>73</v>
      </c>
      <c r="O161" s="19" t="s">
        <v>1532</v>
      </c>
      <c r="P161" s="20"/>
    </row>
    <row r="162" customFormat="false" ht="42" hidden="false" customHeight="true" outlineLevel="0" collapsed="false">
      <c r="A162" s="15" t="n">
        <v>2</v>
      </c>
      <c r="B162" s="16" t="s">
        <v>1533</v>
      </c>
      <c r="C162" s="17" t="s">
        <v>201</v>
      </c>
      <c r="D162" s="17" t="s">
        <v>1534</v>
      </c>
      <c r="E162" s="17" t="s">
        <v>1535</v>
      </c>
      <c r="F162" s="17" t="s">
        <v>1536</v>
      </c>
      <c r="G162" s="17" t="s">
        <v>1537</v>
      </c>
      <c r="H162" s="17" t="s">
        <v>1538</v>
      </c>
      <c r="I162" s="17" t="s">
        <v>413</v>
      </c>
      <c r="J162" s="17" t="s">
        <v>208</v>
      </c>
      <c r="K162" s="18" t="s">
        <v>1539</v>
      </c>
      <c r="L162" s="15" t="s">
        <v>131</v>
      </c>
      <c r="M162" s="17" t="s">
        <v>1540</v>
      </c>
      <c r="N162" s="19" t="s">
        <v>73</v>
      </c>
      <c r="O162" s="19" t="s">
        <v>417</v>
      </c>
      <c r="P162" s="20"/>
    </row>
    <row r="163" customFormat="false" ht="42" hidden="false" customHeight="true" outlineLevel="0" collapsed="false">
      <c r="A163" s="15" t="n">
        <v>2</v>
      </c>
      <c r="B163" s="16" t="s">
        <v>1541</v>
      </c>
      <c r="C163" s="17" t="s">
        <v>62</v>
      </c>
      <c r="D163" s="17" t="s">
        <v>1534</v>
      </c>
      <c r="E163" s="17" t="s">
        <v>1542</v>
      </c>
      <c r="F163" s="17" t="s">
        <v>1543</v>
      </c>
      <c r="G163" s="17" t="s">
        <v>1544</v>
      </c>
      <c r="H163" s="17" t="s">
        <v>1545</v>
      </c>
      <c r="I163" s="17" t="s">
        <v>413</v>
      </c>
      <c r="J163" s="17" t="s">
        <v>208</v>
      </c>
      <c r="K163" s="18" t="s">
        <v>1546</v>
      </c>
      <c r="L163" s="15" t="s">
        <v>131</v>
      </c>
      <c r="M163" s="17" t="s">
        <v>1547</v>
      </c>
      <c r="N163" s="19" t="s">
        <v>73</v>
      </c>
      <c r="O163" s="19" t="s">
        <v>992</v>
      </c>
      <c r="P163" s="20"/>
    </row>
    <row r="164" customFormat="false" ht="67.5" hidden="false" customHeight="true" outlineLevel="0" collapsed="false">
      <c r="A164" s="15" t="n">
        <v>2</v>
      </c>
      <c r="B164" s="16" t="s">
        <v>1548</v>
      </c>
      <c r="C164" s="17" t="s">
        <v>832</v>
      </c>
      <c r="D164" s="17" t="s">
        <v>1549</v>
      </c>
      <c r="E164" s="17" t="s">
        <v>1550</v>
      </c>
      <c r="F164" s="17" t="s">
        <v>1551</v>
      </c>
      <c r="G164" s="17" t="s">
        <v>1552</v>
      </c>
      <c r="H164" s="17" t="s">
        <v>1553</v>
      </c>
      <c r="I164" s="17" t="s">
        <v>1554</v>
      </c>
      <c r="J164" s="17" t="s">
        <v>208</v>
      </c>
      <c r="K164" s="18" t="s">
        <v>1555</v>
      </c>
      <c r="L164" s="15" t="s">
        <v>131</v>
      </c>
      <c r="M164" s="17" t="s">
        <v>1556</v>
      </c>
      <c r="N164" s="19" t="s">
        <v>73</v>
      </c>
      <c r="O164" s="19" t="s">
        <v>417</v>
      </c>
      <c r="P164" s="20"/>
    </row>
    <row r="165" customFormat="false" ht="42" hidden="false" customHeight="true" outlineLevel="0" collapsed="false">
      <c r="A165" s="15" t="n">
        <v>2</v>
      </c>
      <c r="B165" s="16" t="s">
        <v>1557</v>
      </c>
      <c r="C165" s="17" t="s">
        <v>940</v>
      </c>
      <c r="D165" s="17" t="s">
        <v>100</v>
      </c>
      <c r="E165" s="17" t="s">
        <v>1558</v>
      </c>
      <c r="F165" s="17" t="s">
        <v>1559</v>
      </c>
      <c r="G165" s="17" t="s">
        <v>1560</v>
      </c>
      <c r="H165" s="17" t="s">
        <v>1561</v>
      </c>
      <c r="I165" s="17" t="s">
        <v>1562</v>
      </c>
      <c r="J165" s="17" t="s">
        <v>1563</v>
      </c>
      <c r="K165" s="18" t="s">
        <v>1564</v>
      </c>
      <c r="L165" s="15" t="s">
        <v>131</v>
      </c>
      <c r="M165" s="17" t="s">
        <v>1565</v>
      </c>
      <c r="N165" s="19" t="s">
        <v>73</v>
      </c>
      <c r="O165" s="19" t="s">
        <v>417</v>
      </c>
      <c r="P165" s="20"/>
    </row>
    <row r="166" customFormat="false" ht="42" hidden="false" customHeight="true" outlineLevel="0" collapsed="false">
      <c r="A166" s="15" t="n">
        <v>2</v>
      </c>
      <c r="B166" s="16" t="s">
        <v>1566</v>
      </c>
      <c r="C166" s="17" t="s">
        <v>111</v>
      </c>
      <c r="D166" s="17" t="s">
        <v>88</v>
      </c>
      <c r="E166" s="17" t="s">
        <v>1567</v>
      </c>
      <c r="F166" s="17" t="s">
        <v>1568</v>
      </c>
      <c r="G166" s="17" t="s">
        <v>1569</v>
      </c>
      <c r="H166" s="17" t="s">
        <v>1355</v>
      </c>
      <c r="I166" s="17" t="s">
        <v>259</v>
      </c>
      <c r="J166" s="17" t="s">
        <v>1570</v>
      </c>
      <c r="K166" s="18" t="s">
        <v>1571</v>
      </c>
      <c r="L166" s="15" t="s">
        <v>131</v>
      </c>
      <c r="M166" s="17" t="s">
        <v>1572</v>
      </c>
      <c r="N166" s="19" t="s">
        <v>73</v>
      </c>
      <c r="O166" s="19" t="s">
        <v>1573</v>
      </c>
      <c r="P166" s="20"/>
    </row>
    <row r="167" customFormat="false" ht="42" hidden="false" customHeight="true" outlineLevel="0" collapsed="false">
      <c r="A167" s="15" t="n">
        <v>2</v>
      </c>
      <c r="B167" s="16" t="s">
        <v>1574</v>
      </c>
      <c r="C167" s="17" t="s">
        <v>62</v>
      </c>
      <c r="D167" s="17" t="s">
        <v>88</v>
      </c>
      <c r="E167" s="17" t="s">
        <v>1575</v>
      </c>
      <c r="F167" s="17" t="s">
        <v>1576</v>
      </c>
      <c r="G167" s="17" t="s">
        <v>1577</v>
      </c>
      <c r="H167" s="17" t="s">
        <v>1578</v>
      </c>
      <c r="I167" s="17" t="s">
        <v>1579</v>
      </c>
      <c r="J167" s="17" t="s">
        <v>326</v>
      </c>
      <c r="K167" s="18" t="s">
        <v>1580</v>
      </c>
      <c r="L167" s="15" t="s">
        <v>131</v>
      </c>
      <c r="M167" s="17" t="s">
        <v>1581</v>
      </c>
      <c r="N167" s="19" t="s">
        <v>73</v>
      </c>
      <c r="O167" s="19" t="s">
        <v>417</v>
      </c>
      <c r="P167" s="20"/>
    </row>
    <row r="168" customFormat="false" ht="67.5" hidden="false" customHeight="true" outlineLevel="0" collapsed="false">
      <c r="A168" s="15" t="n">
        <v>2</v>
      </c>
      <c r="B168" s="16" t="s">
        <v>1582</v>
      </c>
      <c r="C168" s="17" t="s">
        <v>111</v>
      </c>
      <c r="D168" s="17" t="s">
        <v>1583</v>
      </c>
      <c r="E168" s="17" t="s">
        <v>1584</v>
      </c>
      <c r="F168" s="17" t="s">
        <v>1585</v>
      </c>
      <c r="G168" s="17" t="s">
        <v>1586</v>
      </c>
      <c r="H168" s="17" t="s">
        <v>1587</v>
      </c>
      <c r="I168" s="17" t="s">
        <v>413</v>
      </c>
      <c r="J168" s="17" t="s">
        <v>413</v>
      </c>
      <c r="K168" s="18" t="s">
        <v>1588</v>
      </c>
      <c r="L168" s="15" t="s">
        <v>131</v>
      </c>
      <c r="M168" s="17" t="s">
        <v>1589</v>
      </c>
      <c r="N168" s="19" t="s">
        <v>73</v>
      </c>
      <c r="O168" s="19" t="s">
        <v>1590</v>
      </c>
      <c r="P168" s="20"/>
    </row>
    <row r="169" customFormat="false" ht="42" hidden="false" customHeight="true" outlineLevel="0" collapsed="false">
      <c r="A169" s="15" t="n">
        <v>2</v>
      </c>
      <c r="B169" s="16" t="s">
        <v>1591</v>
      </c>
      <c r="C169" s="17" t="s">
        <v>62</v>
      </c>
      <c r="D169" s="17" t="s">
        <v>179</v>
      </c>
      <c r="E169" s="17" t="s">
        <v>1592</v>
      </c>
      <c r="F169" s="17" t="s">
        <v>1593</v>
      </c>
      <c r="G169" s="17" t="s">
        <v>1594</v>
      </c>
      <c r="H169" s="17" t="s">
        <v>1595</v>
      </c>
      <c r="I169" s="17" t="s">
        <v>413</v>
      </c>
      <c r="J169" s="17" t="s">
        <v>1596</v>
      </c>
      <c r="K169" s="18" t="s">
        <v>1597</v>
      </c>
      <c r="L169" s="15" t="s">
        <v>131</v>
      </c>
      <c r="M169" s="17" t="s">
        <v>964</v>
      </c>
      <c r="N169" s="19" t="s">
        <v>73</v>
      </c>
      <c r="O169" s="19" t="s">
        <v>992</v>
      </c>
      <c r="P169" s="20"/>
    </row>
    <row r="170" customFormat="false" ht="42" hidden="false" customHeight="true" outlineLevel="0" collapsed="false">
      <c r="A170" s="15" t="n">
        <v>2</v>
      </c>
      <c r="B170" s="16" t="s">
        <v>1598</v>
      </c>
      <c r="C170" s="17" t="s">
        <v>1002</v>
      </c>
      <c r="D170" s="17" t="s">
        <v>100</v>
      </c>
      <c r="E170" s="17" t="s">
        <v>1599</v>
      </c>
      <c r="F170" s="17" t="s">
        <v>1600</v>
      </c>
      <c r="G170" s="17" t="s">
        <v>1601</v>
      </c>
      <c r="H170" s="17" t="s">
        <v>1602</v>
      </c>
      <c r="I170" s="17" t="s">
        <v>838</v>
      </c>
      <c r="J170" s="17" t="s">
        <v>208</v>
      </c>
      <c r="K170" s="18" t="s">
        <v>1603</v>
      </c>
      <c r="L170" s="15" t="s">
        <v>131</v>
      </c>
      <c r="M170" s="17" t="s">
        <v>1604</v>
      </c>
      <c r="N170" s="19" t="s">
        <v>73</v>
      </c>
      <c r="O170" s="19" t="s">
        <v>992</v>
      </c>
      <c r="P170" s="20"/>
    </row>
    <row r="171" customFormat="false" ht="80.25" hidden="false" customHeight="true" outlineLevel="0" collapsed="false">
      <c r="A171" s="15" t="n">
        <v>2</v>
      </c>
      <c r="B171" s="16" t="s">
        <v>1605</v>
      </c>
      <c r="C171" s="17" t="s">
        <v>76</v>
      </c>
      <c r="D171" s="17" t="s">
        <v>179</v>
      </c>
      <c r="E171" s="17" t="s">
        <v>1606</v>
      </c>
      <c r="F171" s="17" t="s">
        <v>1607</v>
      </c>
      <c r="G171" s="17" t="s">
        <v>1608</v>
      </c>
      <c r="H171" s="17" t="s">
        <v>1609</v>
      </c>
      <c r="I171" s="17" t="s">
        <v>259</v>
      </c>
      <c r="J171" s="17" t="s">
        <v>451</v>
      </c>
      <c r="K171" s="18" t="s">
        <v>1610</v>
      </c>
      <c r="L171" s="15" t="s">
        <v>131</v>
      </c>
      <c r="M171" s="17" t="s">
        <v>1611</v>
      </c>
      <c r="N171" s="19" t="s">
        <v>73</v>
      </c>
      <c r="O171" s="19" t="s">
        <v>938</v>
      </c>
      <c r="P171" s="20"/>
    </row>
    <row r="172" customFormat="false" ht="42" hidden="false" customHeight="true" outlineLevel="0" collapsed="false">
      <c r="A172" s="15" t="n">
        <v>2</v>
      </c>
      <c r="B172" s="16" t="s">
        <v>1612</v>
      </c>
      <c r="C172" s="17" t="s">
        <v>111</v>
      </c>
      <c r="D172" s="17" t="s">
        <v>1583</v>
      </c>
      <c r="E172" s="17" t="s">
        <v>1613</v>
      </c>
      <c r="F172" s="17" t="s">
        <v>1614</v>
      </c>
      <c r="G172" s="17" t="s">
        <v>1615</v>
      </c>
      <c r="H172" s="17" t="s">
        <v>1616</v>
      </c>
      <c r="I172" s="17" t="s">
        <v>413</v>
      </c>
      <c r="J172" s="17" t="s">
        <v>413</v>
      </c>
      <c r="K172" s="18" t="s">
        <v>1617</v>
      </c>
      <c r="L172" s="15" t="s">
        <v>131</v>
      </c>
      <c r="M172" s="17" t="s">
        <v>1618</v>
      </c>
      <c r="N172" s="19" t="s">
        <v>73</v>
      </c>
      <c r="O172" s="19" t="s">
        <v>463</v>
      </c>
      <c r="P172" s="20"/>
    </row>
    <row r="173" customFormat="false" ht="42" hidden="false" customHeight="true" outlineLevel="0" collapsed="false">
      <c r="A173" s="15" t="n">
        <v>2</v>
      </c>
      <c r="B173" s="16" t="s">
        <v>1619</v>
      </c>
      <c r="C173" s="17" t="s">
        <v>289</v>
      </c>
      <c r="D173" s="17" t="s">
        <v>1620</v>
      </c>
      <c r="E173" s="17" t="s">
        <v>1621</v>
      </c>
      <c r="F173" s="17" t="s">
        <v>1622</v>
      </c>
      <c r="G173" s="17" t="s">
        <v>1623</v>
      </c>
      <c r="H173" s="17" t="s">
        <v>1624</v>
      </c>
      <c r="I173" s="17" t="s">
        <v>413</v>
      </c>
      <c r="J173" s="17" t="s">
        <v>1625</v>
      </c>
      <c r="K173" s="18" t="s">
        <v>1626</v>
      </c>
      <c r="L173" s="15" t="s">
        <v>131</v>
      </c>
      <c r="M173" s="17" t="s">
        <v>1627</v>
      </c>
      <c r="N173" s="19" t="s">
        <v>73</v>
      </c>
      <c r="O173" s="19" t="s">
        <v>463</v>
      </c>
      <c r="P173" s="20"/>
    </row>
    <row r="174" customFormat="false" ht="42" hidden="false" customHeight="true" outlineLevel="0" collapsed="false">
      <c r="A174" s="15" t="n">
        <v>2</v>
      </c>
      <c r="B174" s="16" t="s">
        <v>1628</v>
      </c>
      <c r="C174" s="17" t="s">
        <v>940</v>
      </c>
      <c r="D174" s="17" t="s">
        <v>100</v>
      </c>
      <c r="E174" s="17" t="s">
        <v>1629</v>
      </c>
      <c r="F174" s="17" t="s">
        <v>1630</v>
      </c>
      <c r="G174" s="17" t="s">
        <v>1631</v>
      </c>
      <c r="H174" s="17" t="s">
        <v>1632</v>
      </c>
      <c r="I174" s="17" t="s">
        <v>413</v>
      </c>
      <c r="J174" s="17" t="s">
        <v>1633</v>
      </c>
      <c r="K174" s="18" t="s">
        <v>1634</v>
      </c>
      <c r="L174" s="15" t="s">
        <v>131</v>
      </c>
      <c r="M174" s="17" t="s">
        <v>1635</v>
      </c>
      <c r="N174" s="19" t="s">
        <v>73</v>
      </c>
      <c r="O174" s="19" t="s">
        <v>992</v>
      </c>
      <c r="P174" s="20"/>
    </row>
    <row r="175" customFormat="false" ht="42" hidden="false" customHeight="true" outlineLevel="0" collapsed="false">
      <c r="A175" s="15" t="n">
        <v>2</v>
      </c>
      <c r="B175" s="16" t="s">
        <v>1636</v>
      </c>
      <c r="C175" s="17" t="s">
        <v>62</v>
      </c>
      <c r="D175" s="17" t="s">
        <v>100</v>
      </c>
      <c r="E175" s="17" t="s">
        <v>1637</v>
      </c>
      <c r="F175" s="17" t="s">
        <v>1638</v>
      </c>
      <c r="G175" s="17" t="s">
        <v>1639</v>
      </c>
      <c r="H175" s="17" t="s">
        <v>1640</v>
      </c>
      <c r="I175" s="17" t="s">
        <v>413</v>
      </c>
      <c r="J175" s="17" t="s">
        <v>208</v>
      </c>
      <c r="K175" s="18" t="s">
        <v>1641</v>
      </c>
      <c r="L175" s="15" t="s">
        <v>131</v>
      </c>
      <c r="M175" s="17" t="s">
        <v>1642</v>
      </c>
      <c r="N175" s="19" t="s">
        <v>73</v>
      </c>
      <c r="O175" s="19" t="s">
        <v>417</v>
      </c>
      <c r="P175" s="20"/>
    </row>
    <row r="176" customFormat="false" ht="42" hidden="false" customHeight="true" outlineLevel="0" collapsed="false">
      <c r="A176" s="15" t="n">
        <v>2</v>
      </c>
      <c r="B176" s="16" t="s">
        <v>1643</v>
      </c>
      <c r="C176" s="17" t="s">
        <v>832</v>
      </c>
      <c r="D176" s="17" t="s">
        <v>100</v>
      </c>
      <c r="E176" s="17" t="s">
        <v>1644</v>
      </c>
      <c r="F176" s="17" t="s">
        <v>1645</v>
      </c>
      <c r="G176" s="17" t="s">
        <v>1646</v>
      </c>
      <c r="H176" s="17" t="s">
        <v>1647</v>
      </c>
      <c r="I176" s="17" t="s">
        <v>838</v>
      </c>
      <c r="J176" s="17" t="s">
        <v>208</v>
      </c>
      <c r="K176" s="18" t="s">
        <v>1648</v>
      </c>
      <c r="L176" s="15" t="s">
        <v>131</v>
      </c>
      <c r="M176" s="17" t="s">
        <v>1649</v>
      </c>
      <c r="N176" s="19" t="s">
        <v>73</v>
      </c>
      <c r="O176" s="19" t="s">
        <v>992</v>
      </c>
      <c r="P176" s="20"/>
    </row>
    <row r="177" customFormat="false" ht="42" hidden="false" customHeight="true" outlineLevel="0" collapsed="false">
      <c r="A177" s="15" t="n">
        <v>2</v>
      </c>
      <c r="B177" s="16" t="s">
        <v>1650</v>
      </c>
      <c r="C177" s="17" t="s">
        <v>62</v>
      </c>
      <c r="D177" s="17" t="s">
        <v>100</v>
      </c>
      <c r="E177" s="17" t="s">
        <v>1651</v>
      </c>
      <c r="F177" s="17" t="s">
        <v>1652</v>
      </c>
      <c r="G177" s="17" t="s">
        <v>1653</v>
      </c>
      <c r="H177" s="17" t="s">
        <v>1654</v>
      </c>
      <c r="I177" s="17" t="s">
        <v>413</v>
      </c>
      <c r="J177" s="17" t="s">
        <v>208</v>
      </c>
      <c r="K177" s="18" t="s">
        <v>1655</v>
      </c>
      <c r="L177" s="15" t="s">
        <v>131</v>
      </c>
      <c r="M177" s="17" t="s">
        <v>1656</v>
      </c>
      <c r="N177" s="19" t="s">
        <v>73</v>
      </c>
      <c r="O177" s="19" t="s">
        <v>417</v>
      </c>
      <c r="P177" s="20"/>
    </row>
    <row r="178" customFormat="false" ht="42" hidden="false" customHeight="true" outlineLevel="0" collapsed="false">
      <c r="A178" s="15" t="n">
        <v>2</v>
      </c>
      <c r="B178" s="16" t="s">
        <v>1657</v>
      </c>
      <c r="C178" s="17" t="s">
        <v>1658</v>
      </c>
      <c r="D178" s="17" t="s">
        <v>100</v>
      </c>
      <c r="E178" s="17" t="s">
        <v>1659</v>
      </c>
      <c r="F178" s="17" t="s">
        <v>1660</v>
      </c>
      <c r="G178" s="17" t="s">
        <v>1661</v>
      </c>
      <c r="H178" s="17" t="s">
        <v>1662</v>
      </c>
      <c r="I178" s="17" t="s">
        <v>413</v>
      </c>
      <c r="J178" s="17" t="s">
        <v>208</v>
      </c>
      <c r="K178" s="18" t="s">
        <v>1663</v>
      </c>
      <c r="L178" s="15" t="s">
        <v>131</v>
      </c>
      <c r="M178" s="17" t="s">
        <v>1664</v>
      </c>
      <c r="N178" s="19" t="s">
        <v>73</v>
      </c>
      <c r="O178" s="19" t="s">
        <v>992</v>
      </c>
      <c r="P178" s="20"/>
    </row>
    <row r="179" customFormat="false" ht="42" hidden="false" customHeight="true" outlineLevel="0" collapsed="false">
      <c r="A179" s="15" t="n">
        <v>2</v>
      </c>
      <c r="B179" s="16" t="s">
        <v>1665</v>
      </c>
      <c r="C179" s="17" t="s">
        <v>832</v>
      </c>
      <c r="D179" s="17" t="s">
        <v>100</v>
      </c>
      <c r="E179" s="17" t="s">
        <v>1666</v>
      </c>
      <c r="F179" s="17" t="s">
        <v>1667</v>
      </c>
      <c r="G179" s="17" t="s">
        <v>1668</v>
      </c>
      <c r="H179" s="17" t="s">
        <v>1669</v>
      </c>
      <c r="I179" s="17" t="s">
        <v>413</v>
      </c>
      <c r="J179" s="17" t="s">
        <v>208</v>
      </c>
      <c r="K179" s="18" t="s">
        <v>1670</v>
      </c>
      <c r="L179" s="15" t="s">
        <v>131</v>
      </c>
      <c r="M179" s="17" t="s">
        <v>1671</v>
      </c>
      <c r="N179" s="19" t="s">
        <v>73</v>
      </c>
      <c r="O179" s="19" t="s">
        <v>417</v>
      </c>
      <c r="P179" s="20"/>
    </row>
    <row r="180" customFormat="false" ht="54.75" hidden="false" customHeight="true" outlineLevel="0" collapsed="false">
      <c r="A180" s="15" t="n">
        <v>2</v>
      </c>
      <c r="B180" s="16" t="s">
        <v>1672</v>
      </c>
      <c r="C180" s="17" t="s">
        <v>111</v>
      </c>
      <c r="D180" s="17" t="s">
        <v>1673</v>
      </c>
      <c r="E180" s="17" t="s">
        <v>1674</v>
      </c>
      <c r="F180" s="17" t="s">
        <v>1675</v>
      </c>
      <c r="G180" s="17" t="s">
        <v>1676</v>
      </c>
      <c r="H180" s="17" t="s">
        <v>1677</v>
      </c>
      <c r="I180" s="17" t="s">
        <v>413</v>
      </c>
      <c r="J180" s="17" t="s">
        <v>1678</v>
      </c>
      <c r="K180" s="18" t="s">
        <v>1679</v>
      </c>
      <c r="L180" s="15" t="s">
        <v>131</v>
      </c>
      <c r="M180" s="17" t="s">
        <v>1680</v>
      </c>
      <c r="N180" s="19" t="s">
        <v>73</v>
      </c>
      <c r="O180" s="19" t="s">
        <v>1681</v>
      </c>
      <c r="P180" s="20"/>
    </row>
    <row r="181" customFormat="false" ht="42" hidden="false" customHeight="true" outlineLevel="0" collapsed="false">
      <c r="A181" s="15" t="n">
        <v>2</v>
      </c>
      <c r="B181" s="16" t="s">
        <v>1682</v>
      </c>
      <c r="C181" s="17" t="s">
        <v>62</v>
      </c>
      <c r="D181" s="17" t="s">
        <v>1683</v>
      </c>
      <c r="E181" s="17" t="s">
        <v>1684</v>
      </c>
      <c r="F181" s="17" t="s">
        <v>1685</v>
      </c>
      <c r="G181" s="17" t="s">
        <v>1686</v>
      </c>
      <c r="H181" s="17" t="s">
        <v>1687</v>
      </c>
      <c r="I181" s="17" t="s">
        <v>413</v>
      </c>
      <c r="J181" s="17" t="s">
        <v>208</v>
      </c>
      <c r="K181" s="18" t="s">
        <v>1688</v>
      </c>
      <c r="L181" s="15" t="s">
        <v>131</v>
      </c>
      <c r="M181" s="17" t="s">
        <v>1689</v>
      </c>
      <c r="N181" s="19" t="s">
        <v>73</v>
      </c>
      <c r="O181" s="19" t="s">
        <v>417</v>
      </c>
      <c r="P181" s="20"/>
    </row>
    <row r="182" customFormat="false" ht="80.25" hidden="false" customHeight="true" outlineLevel="0" collapsed="false">
      <c r="A182" s="15" t="n">
        <v>2</v>
      </c>
      <c r="B182" s="16" t="s">
        <v>1690</v>
      </c>
      <c r="C182" s="17" t="s">
        <v>111</v>
      </c>
      <c r="D182" s="17" t="s">
        <v>1691</v>
      </c>
      <c r="E182" s="17" t="s">
        <v>1692</v>
      </c>
      <c r="F182" s="17" t="s">
        <v>1693</v>
      </c>
      <c r="G182" s="17" t="s">
        <v>1615</v>
      </c>
      <c r="H182" s="17" t="s">
        <v>1694</v>
      </c>
      <c r="I182" s="17" t="s">
        <v>413</v>
      </c>
      <c r="J182" s="17" t="s">
        <v>1695</v>
      </c>
      <c r="K182" s="18" t="s">
        <v>1696</v>
      </c>
      <c r="L182" s="15" t="s">
        <v>131</v>
      </c>
      <c r="M182" s="17" t="s">
        <v>1697</v>
      </c>
      <c r="N182" s="19" t="s">
        <v>73</v>
      </c>
      <c r="O182" s="19" t="s">
        <v>463</v>
      </c>
      <c r="P182" s="20"/>
    </row>
    <row r="183" customFormat="false" ht="42" hidden="false" customHeight="true" outlineLevel="0" collapsed="false">
      <c r="A183" s="15" t="n">
        <v>2</v>
      </c>
      <c r="B183" s="16" t="s">
        <v>1698</v>
      </c>
      <c r="C183" s="17" t="s">
        <v>832</v>
      </c>
      <c r="D183" s="17" t="s">
        <v>100</v>
      </c>
      <c r="E183" s="17" t="s">
        <v>1699</v>
      </c>
      <c r="F183" s="17" t="s">
        <v>1700</v>
      </c>
      <c r="G183" s="17" t="s">
        <v>1701</v>
      </c>
      <c r="H183" s="17" t="s">
        <v>1702</v>
      </c>
      <c r="I183" s="17" t="s">
        <v>413</v>
      </c>
      <c r="J183" s="17" t="s">
        <v>208</v>
      </c>
      <c r="K183" s="18" t="s">
        <v>1703</v>
      </c>
      <c r="L183" s="15" t="s">
        <v>131</v>
      </c>
      <c r="M183" s="17" t="s">
        <v>1704</v>
      </c>
      <c r="N183" s="19" t="s">
        <v>73</v>
      </c>
      <c r="O183" s="19" t="s">
        <v>992</v>
      </c>
      <c r="P183" s="20"/>
    </row>
    <row r="184" customFormat="false" ht="42" hidden="false" customHeight="true" outlineLevel="0" collapsed="false">
      <c r="A184" s="15" t="n">
        <v>2</v>
      </c>
      <c r="B184" s="16" t="s">
        <v>1705</v>
      </c>
      <c r="C184" s="17" t="s">
        <v>832</v>
      </c>
      <c r="D184" s="17" t="s">
        <v>1706</v>
      </c>
      <c r="E184" s="17" t="s">
        <v>1707</v>
      </c>
      <c r="F184" s="17" t="s">
        <v>1708</v>
      </c>
      <c r="G184" s="17" t="s">
        <v>1709</v>
      </c>
      <c r="H184" s="17" t="s">
        <v>1710</v>
      </c>
      <c r="I184" s="17" t="s">
        <v>838</v>
      </c>
      <c r="J184" s="17" t="s">
        <v>208</v>
      </c>
      <c r="K184" s="18" t="s">
        <v>1711</v>
      </c>
      <c r="L184" s="15" t="s">
        <v>131</v>
      </c>
      <c r="M184" s="17" t="s">
        <v>1712</v>
      </c>
      <c r="N184" s="19" t="s">
        <v>73</v>
      </c>
      <c r="O184" s="19" t="s">
        <v>992</v>
      </c>
      <c r="P184" s="20"/>
    </row>
    <row r="185" customFormat="false" ht="42" hidden="false" customHeight="true" outlineLevel="0" collapsed="false">
      <c r="A185" s="15" t="n">
        <v>2</v>
      </c>
      <c r="B185" s="16" t="s">
        <v>1713</v>
      </c>
      <c r="C185" s="17" t="s">
        <v>832</v>
      </c>
      <c r="D185" s="17" t="s">
        <v>179</v>
      </c>
      <c r="E185" s="17" t="s">
        <v>1714</v>
      </c>
      <c r="F185" s="17" t="s">
        <v>1715</v>
      </c>
      <c r="G185" s="17" t="s">
        <v>1716</v>
      </c>
      <c r="H185" s="17" t="s">
        <v>1717</v>
      </c>
      <c r="I185" s="17" t="s">
        <v>838</v>
      </c>
      <c r="J185" s="17" t="s">
        <v>208</v>
      </c>
      <c r="K185" s="18" t="s">
        <v>1718</v>
      </c>
      <c r="L185" s="15" t="s">
        <v>131</v>
      </c>
      <c r="M185" s="17" t="s">
        <v>1719</v>
      </c>
      <c r="N185" s="19" t="s">
        <v>73</v>
      </c>
      <c r="O185" s="19" t="s">
        <v>992</v>
      </c>
      <c r="P185" s="20"/>
    </row>
    <row r="186" customFormat="false" ht="42" hidden="false" customHeight="true" outlineLevel="0" collapsed="false">
      <c r="A186" s="15" t="n">
        <v>2</v>
      </c>
      <c r="B186" s="16" t="s">
        <v>1720</v>
      </c>
      <c r="C186" s="17" t="s">
        <v>832</v>
      </c>
      <c r="D186" s="17" t="s">
        <v>100</v>
      </c>
      <c r="E186" s="17" t="s">
        <v>1721</v>
      </c>
      <c r="F186" s="17" t="s">
        <v>1722</v>
      </c>
      <c r="G186" s="17" t="s">
        <v>1723</v>
      </c>
      <c r="H186" s="17" t="s">
        <v>1724</v>
      </c>
      <c r="I186" s="17" t="s">
        <v>838</v>
      </c>
      <c r="J186" s="17" t="s">
        <v>208</v>
      </c>
      <c r="K186" s="18" t="s">
        <v>1725</v>
      </c>
      <c r="L186" s="15" t="s">
        <v>131</v>
      </c>
      <c r="M186" s="17" t="s">
        <v>1726</v>
      </c>
      <c r="N186" s="19" t="s">
        <v>73</v>
      </c>
      <c r="O186" s="19" t="s">
        <v>992</v>
      </c>
      <c r="P186" s="20"/>
    </row>
    <row r="187" customFormat="false" ht="42" hidden="false" customHeight="true" outlineLevel="0" collapsed="false">
      <c r="A187" s="15" t="n">
        <v>2</v>
      </c>
      <c r="B187" s="16" t="s">
        <v>1727</v>
      </c>
      <c r="C187" s="17" t="s">
        <v>62</v>
      </c>
      <c r="D187" s="17" t="s">
        <v>100</v>
      </c>
      <c r="E187" s="17" t="s">
        <v>1728</v>
      </c>
      <c r="F187" s="17" t="s">
        <v>1729</v>
      </c>
      <c r="G187" s="17" t="s">
        <v>1730</v>
      </c>
      <c r="H187" s="17" t="s">
        <v>1731</v>
      </c>
      <c r="I187" s="17" t="s">
        <v>1732</v>
      </c>
      <c r="J187" s="17" t="s">
        <v>208</v>
      </c>
      <c r="K187" s="18" t="s">
        <v>1733</v>
      </c>
      <c r="L187" s="15" t="s">
        <v>131</v>
      </c>
      <c r="M187" s="17" t="s">
        <v>1734</v>
      </c>
      <c r="N187" s="19" t="s">
        <v>73</v>
      </c>
      <c r="O187" s="19" t="s">
        <v>992</v>
      </c>
      <c r="P187" s="20"/>
    </row>
    <row r="188" customFormat="false" ht="80.25" hidden="false" customHeight="true" outlineLevel="0" collapsed="false">
      <c r="A188" s="15" t="n">
        <v>2</v>
      </c>
      <c r="B188" s="16" t="s">
        <v>1735</v>
      </c>
      <c r="C188" s="17" t="s">
        <v>111</v>
      </c>
      <c r="D188" s="17" t="s">
        <v>278</v>
      </c>
      <c r="E188" s="17" t="s">
        <v>1736</v>
      </c>
      <c r="F188" s="17" t="s">
        <v>1737</v>
      </c>
      <c r="G188" s="17" t="s">
        <v>1738</v>
      </c>
      <c r="H188" s="17" t="s">
        <v>1739</v>
      </c>
      <c r="I188" s="17" t="s">
        <v>1740</v>
      </c>
      <c r="J188" s="17" t="s">
        <v>1741</v>
      </c>
      <c r="K188" s="18" t="s">
        <v>1742</v>
      </c>
      <c r="L188" s="15" t="s">
        <v>131</v>
      </c>
      <c r="M188" s="17" t="s">
        <v>1743</v>
      </c>
      <c r="N188" s="19" t="s">
        <v>73</v>
      </c>
      <c r="O188" s="19" t="s">
        <v>1399</v>
      </c>
      <c r="P188" s="20"/>
    </row>
    <row r="189" customFormat="false" ht="54.75" hidden="false" customHeight="true" outlineLevel="0" collapsed="false">
      <c r="A189" s="15" t="n">
        <v>2</v>
      </c>
      <c r="B189" s="16" t="s">
        <v>1744</v>
      </c>
      <c r="C189" s="17" t="s">
        <v>832</v>
      </c>
      <c r="D189" s="17" t="s">
        <v>1745</v>
      </c>
      <c r="E189" s="17" t="s">
        <v>1746</v>
      </c>
      <c r="F189" s="17" t="s">
        <v>1747</v>
      </c>
      <c r="G189" s="17" t="s">
        <v>1748</v>
      </c>
      <c r="H189" s="17" t="s">
        <v>1749</v>
      </c>
      <c r="I189" s="17" t="s">
        <v>1750</v>
      </c>
      <c r="J189" s="17" t="s">
        <v>460</v>
      </c>
      <c r="K189" s="18" t="s">
        <v>1751</v>
      </c>
      <c r="L189" s="15" t="s">
        <v>131</v>
      </c>
      <c r="M189" s="17" t="s">
        <v>1752</v>
      </c>
      <c r="N189" s="19" t="s">
        <v>73</v>
      </c>
      <c r="O189" s="19" t="s">
        <v>1590</v>
      </c>
      <c r="P189" s="20"/>
    </row>
    <row r="190" customFormat="false" ht="42" hidden="false" customHeight="true" outlineLevel="0" collapsed="false">
      <c r="A190" s="15" t="n">
        <v>2</v>
      </c>
      <c r="B190" s="16" t="s">
        <v>1753</v>
      </c>
      <c r="C190" s="17" t="s">
        <v>111</v>
      </c>
      <c r="D190" s="17" t="s">
        <v>1754</v>
      </c>
      <c r="E190" s="17" t="s">
        <v>1755</v>
      </c>
      <c r="F190" s="17" t="s">
        <v>1756</v>
      </c>
      <c r="G190" s="17" t="s">
        <v>1757</v>
      </c>
      <c r="H190" s="17" t="s">
        <v>1758</v>
      </c>
      <c r="I190" s="17" t="s">
        <v>413</v>
      </c>
      <c r="J190" s="17" t="s">
        <v>413</v>
      </c>
      <c r="K190" s="18" t="s">
        <v>1759</v>
      </c>
      <c r="L190" s="15" t="s">
        <v>131</v>
      </c>
      <c r="M190" s="17" t="s">
        <v>1760</v>
      </c>
      <c r="N190" s="19" t="s">
        <v>73</v>
      </c>
      <c r="O190" s="19" t="s">
        <v>463</v>
      </c>
      <c r="P190" s="20"/>
    </row>
    <row r="191" customFormat="false" ht="42" hidden="false" customHeight="true" outlineLevel="0" collapsed="false">
      <c r="A191" s="15" t="n">
        <v>2</v>
      </c>
      <c r="B191" s="16" t="s">
        <v>1761</v>
      </c>
      <c r="C191" s="17" t="s">
        <v>111</v>
      </c>
      <c r="D191" s="17" t="s">
        <v>455</v>
      </c>
      <c r="E191" s="17" t="s">
        <v>1762</v>
      </c>
      <c r="F191" s="17" t="s">
        <v>1763</v>
      </c>
      <c r="G191" s="17" t="s">
        <v>1764</v>
      </c>
      <c r="H191" s="17" t="s">
        <v>1765</v>
      </c>
      <c r="I191" s="17" t="s">
        <v>413</v>
      </c>
      <c r="J191" s="17" t="s">
        <v>1766</v>
      </c>
      <c r="K191" s="18" t="s">
        <v>1767</v>
      </c>
      <c r="L191" s="15" t="s">
        <v>131</v>
      </c>
      <c r="M191" s="17" t="s">
        <v>1768</v>
      </c>
      <c r="N191" s="19" t="s">
        <v>73</v>
      </c>
      <c r="O191" s="19" t="s">
        <v>463</v>
      </c>
      <c r="P191" s="20"/>
    </row>
    <row r="192" customFormat="false" ht="42" hidden="false" customHeight="true" outlineLevel="0" collapsed="false">
      <c r="A192" s="15" t="n">
        <v>2</v>
      </c>
      <c r="B192" s="16" t="s">
        <v>1769</v>
      </c>
      <c r="C192" s="17" t="s">
        <v>111</v>
      </c>
      <c r="D192" s="17" t="s">
        <v>455</v>
      </c>
      <c r="E192" s="17" t="s">
        <v>1770</v>
      </c>
      <c r="F192" s="17" t="s">
        <v>1771</v>
      </c>
      <c r="G192" s="17" t="s">
        <v>1772</v>
      </c>
      <c r="H192" s="17" t="s">
        <v>1773</v>
      </c>
      <c r="I192" s="17" t="s">
        <v>413</v>
      </c>
      <c r="J192" s="17" t="s">
        <v>413</v>
      </c>
      <c r="K192" s="18" t="s">
        <v>1774</v>
      </c>
      <c r="L192" s="15" t="s">
        <v>131</v>
      </c>
      <c r="M192" s="17" t="s">
        <v>1775</v>
      </c>
      <c r="N192" s="19" t="s">
        <v>73</v>
      </c>
      <c r="O192" s="19" t="s">
        <v>463</v>
      </c>
      <c r="P192" s="20"/>
    </row>
    <row r="193" customFormat="false" ht="54.75" hidden="false" customHeight="true" outlineLevel="0" collapsed="false">
      <c r="A193" s="15" t="n">
        <v>2</v>
      </c>
      <c r="B193" s="16" t="s">
        <v>1776</v>
      </c>
      <c r="C193" s="17" t="s">
        <v>289</v>
      </c>
      <c r="D193" s="17" t="s">
        <v>503</v>
      </c>
      <c r="E193" s="17" t="s">
        <v>1777</v>
      </c>
      <c r="F193" s="17" t="s">
        <v>1778</v>
      </c>
      <c r="G193" s="17" t="s">
        <v>1779</v>
      </c>
      <c r="H193" s="17" t="s">
        <v>1780</v>
      </c>
      <c r="I193" s="17" t="s">
        <v>1781</v>
      </c>
      <c r="J193" s="17" t="s">
        <v>1782</v>
      </c>
      <c r="K193" s="18" t="s">
        <v>1783</v>
      </c>
      <c r="L193" s="15" t="s">
        <v>131</v>
      </c>
      <c r="M193" s="17" t="s">
        <v>1784</v>
      </c>
      <c r="N193" s="19" t="s">
        <v>73</v>
      </c>
      <c r="O193" s="19" t="s">
        <v>1785</v>
      </c>
      <c r="P193" s="20"/>
    </row>
    <row r="194" customFormat="false" ht="42" hidden="false" customHeight="true" outlineLevel="0" collapsed="false">
      <c r="A194" s="15" t="n">
        <v>2</v>
      </c>
      <c r="B194" s="16" t="s">
        <v>1786</v>
      </c>
      <c r="C194" s="17" t="s">
        <v>111</v>
      </c>
      <c r="D194" s="17" t="s">
        <v>474</v>
      </c>
      <c r="E194" s="17" t="s">
        <v>1787</v>
      </c>
      <c r="F194" s="17" t="s">
        <v>1788</v>
      </c>
      <c r="G194" s="17" t="s">
        <v>1789</v>
      </c>
      <c r="H194" s="17" t="s">
        <v>1790</v>
      </c>
      <c r="I194" s="17" t="s">
        <v>413</v>
      </c>
      <c r="J194" s="17" t="s">
        <v>1791</v>
      </c>
      <c r="K194" s="18" t="s">
        <v>1792</v>
      </c>
      <c r="L194" s="15" t="s">
        <v>131</v>
      </c>
      <c r="M194" s="17" t="s">
        <v>1793</v>
      </c>
      <c r="N194" s="19" t="s">
        <v>73</v>
      </c>
      <c r="O194" s="19" t="s">
        <v>463</v>
      </c>
      <c r="P194" s="20"/>
    </row>
    <row r="195" customFormat="false" ht="54.75" hidden="false" customHeight="true" outlineLevel="0" collapsed="false">
      <c r="A195" s="15" t="n">
        <v>2</v>
      </c>
      <c r="B195" s="16" t="s">
        <v>1794</v>
      </c>
      <c r="C195" s="17" t="s">
        <v>111</v>
      </c>
      <c r="D195" s="17" t="s">
        <v>503</v>
      </c>
      <c r="E195" s="17" t="s">
        <v>1795</v>
      </c>
      <c r="F195" s="17" t="s">
        <v>1796</v>
      </c>
      <c r="G195" s="17" t="s">
        <v>1797</v>
      </c>
      <c r="H195" s="17" t="s">
        <v>1798</v>
      </c>
      <c r="I195" s="17" t="s">
        <v>1799</v>
      </c>
      <c r="J195" s="17" t="s">
        <v>1800</v>
      </c>
      <c r="K195" s="18" t="s">
        <v>1801</v>
      </c>
      <c r="L195" s="15" t="s">
        <v>131</v>
      </c>
      <c r="M195" s="17" t="s">
        <v>1802</v>
      </c>
      <c r="N195" s="19" t="s">
        <v>73</v>
      </c>
      <c r="O195" s="19" t="s">
        <v>463</v>
      </c>
      <c r="P195" s="20"/>
    </row>
    <row r="196" customFormat="false" ht="42" hidden="false" customHeight="true" outlineLevel="0" collapsed="false">
      <c r="A196" s="15" t="n">
        <v>2</v>
      </c>
      <c r="B196" s="16" t="s">
        <v>1803</v>
      </c>
      <c r="C196" s="17" t="s">
        <v>111</v>
      </c>
      <c r="D196" s="17" t="s">
        <v>1804</v>
      </c>
      <c r="E196" s="17" t="s">
        <v>1805</v>
      </c>
      <c r="F196" s="17" t="s">
        <v>1806</v>
      </c>
      <c r="G196" s="17" t="s">
        <v>1807</v>
      </c>
      <c r="H196" s="17" t="s">
        <v>1808</v>
      </c>
      <c r="I196" s="17" t="s">
        <v>413</v>
      </c>
      <c r="J196" s="17" t="s">
        <v>1809</v>
      </c>
      <c r="K196" s="18" t="s">
        <v>1810</v>
      </c>
      <c r="L196" s="15" t="s">
        <v>131</v>
      </c>
      <c r="M196" s="17" t="s">
        <v>1811</v>
      </c>
      <c r="N196" s="19" t="s">
        <v>73</v>
      </c>
      <c r="O196" s="19" t="s">
        <v>463</v>
      </c>
      <c r="P196" s="20"/>
    </row>
    <row r="197" customFormat="false" ht="42" hidden="false" customHeight="true" outlineLevel="0" collapsed="false">
      <c r="A197" s="15" t="n">
        <v>2</v>
      </c>
      <c r="B197" s="16" t="s">
        <v>1812</v>
      </c>
      <c r="C197" s="17" t="s">
        <v>111</v>
      </c>
      <c r="D197" s="17" t="s">
        <v>1180</v>
      </c>
      <c r="E197" s="17" t="s">
        <v>1813</v>
      </c>
      <c r="F197" s="17" t="s">
        <v>1814</v>
      </c>
      <c r="G197" s="17" t="s">
        <v>1150</v>
      </c>
      <c r="H197" s="17" t="s">
        <v>1815</v>
      </c>
      <c r="I197" s="17" t="s">
        <v>413</v>
      </c>
      <c r="J197" s="17" t="s">
        <v>413</v>
      </c>
      <c r="K197" s="18" t="s">
        <v>1816</v>
      </c>
      <c r="L197" s="15" t="s">
        <v>131</v>
      </c>
      <c r="M197" s="17" t="s">
        <v>1817</v>
      </c>
      <c r="N197" s="19" t="s">
        <v>73</v>
      </c>
      <c r="O197" s="19" t="s">
        <v>463</v>
      </c>
      <c r="P197" s="20"/>
    </row>
    <row r="198" customFormat="false" ht="42" hidden="false" customHeight="true" outlineLevel="0" collapsed="false">
      <c r="A198" s="15" t="n">
        <v>2</v>
      </c>
      <c r="B198" s="16" t="s">
        <v>1818</v>
      </c>
      <c r="C198" s="17" t="s">
        <v>111</v>
      </c>
      <c r="D198" s="17" t="s">
        <v>1819</v>
      </c>
      <c r="E198" s="17" t="s">
        <v>1820</v>
      </c>
      <c r="F198" s="17" t="s">
        <v>1821</v>
      </c>
      <c r="G198" s="17" t="s">
        <v>1822</v>
      </c>
      <c r="H198" s="17" t="s">
        <v>1823</v>
      </c>
      <c r="I198" s="17" t="s">
        <v>413</v>
      </c>
      <c r="J198" s="17" t="s">
        <v>413</v>
      </c>
      <c r="K198" s="18" t="s">
        <v>1824</v>
      </c>
      <c r="L198" s="15" t="s">
        <v>131</v>
      </c>
      <c r="M198" s="17" t="s">
        <v>1825</v>
      </c>
      <c r="N198" s="19" t="s">
        <v>73</v>
      </c>
      <c r="O198" s="19" t="s">
        <v>463</v>
      </c>
      <c r="P198" s="20"/>
    </row>
    <row r="199" customFormat="false" ht="42" hidden="false" customHeight="true" outlineLevel="0" collapsed="false">
      <c r="A199" s="15" t="n">
        <v>2</v>
      </c>
      <c r="B199" s="16" t="s">
        <v>1826</v>
      </c>
      <c r="C199" s="17" t="s">
        <v>62</v>
      </c>
      <c r="D199" s="17" t="s">
        <v>503</v>
      </c>
      <c r="E199" s="17" t="s">
        <v>1827</v>
      </c>
      <c r="F199" s="17" t="s">
        <v>1828</v>
      </c>
      <c r="G199" s="17" t="s">
        <v>1829</v>
      </c>
      <c r="H199" s="17" t="s">
        <v>1830</v>
      </c>
      <c r="I199" s="17" t="s">
        <v>413</v>
      </c>
      <c r="J199" s="17" t="s">
        <v>1791</v>
      </c>
      <c r="K199" s="18" t="s">
        <v>1831</v>
      </c>
      <c r="L199" s="15" t="s">
        <v>131</v>
      </c>
      <c r="M199" s="17" t="s">
        <v>1832</v>
      </c>
      <c r="N199" s="19" t="s">
        <v>73</v>
      </c>
      <c r="O199" s="19" t="s">
        <v>463</v>
      </c>
      <c r="P199" s="20"/>
    </row>
    <row r="200" customFormat="false" ht="42" hidden="false" customHeight="true" outlineLevel="0" collapsed="false">
      <c r="A200" s="15" t="n">
        <v>2</v>
      </c>
      <c r="B200" s="16" t="s">
        <v>1833</v>
      </c>
      <c r="C200" s="17" t="s">
        <v>111</v>
      </c>
      <c r="D200" s="17" t="s">
        <v>503</v>
      </c>
      <c r="E200" s="17" t="s">
        <v>1834</v>
      </c>
      <c r="F200" s="17" t="s">
        <v>1835</v>
      </c>
      <c r="G200" s="17" t="s">
        <v>1836</v>
      </c>
      <c r="H200" s="17" t="s">
        <v>1837</v>
      </c>
      <c r="I200" s="17" t="s">
        <v>413</v>
      </c>
      <c r="J200" s="17" t="s">
        <v>1126</v>
      </c>
      <c r="K200" s="18" t="s">
        <v>1838</v>
      </c>
      <c r="L200" s="15" t="s">
        <v>131</v>
      </c>
      <c r="M200" s="17" t="s">
        <v>1839</v>
      </c>
      <c r="N200" s="19" t="s">
        <v>73</v>
      </c>
      <c r="O200" s="19" t="s">
        <v>463</v>
      </c>
      <c r="P200" s="20"/>
    </row>
    <row r="201" customFormat="false" ht="42" hidden="false" customHeight="true" outlineLevel="0" collapsed="false">
      <c r="A201" s="15" t="n">
        <v>2</v>
      </c>
      <c r="B201" s="16" t="s">
        <v>1840</v>
      </c>
      <c r="C201" s="17" t="s">
        <v>111</v>
      </c>
      <c r="D201" s="17" t="s">
        <v>1121</v>
      </c>
      <c r="E201" s="17" t="s">
        <v>1841</v>
      </c>
      <c r="F201" s="17" t="s">
        <v>1842</v>
      </c>
      <c r="G201" s="17" t="s">
        <v>1764</v>
      </c>
      <c r="H201" s="17" t="s">
        <v>1843</v>
      </c>
      <c r="I201" s="17" t="s">
        <v>413</v>
      </c>
      <c r="J201" s="17" t="s">
        <v>413</v>
      </c>
      <c r="K201" s="18" t="s">
        <v>1844</v>
      </c>
      <c r="L201" s="15" t="s">
        <v>131</v>
      </c>
      <c r="M201" s="17" t="s">
        <v>1845</v>
      </c>
      <c r="N201" s="19" t="s">
        <v>73</v>
      </c>
      <c r="O201" s="19" t="s">
        <v>1785</v>
      </c>
      <c r="P201" s="20"/>
    </row>
    <row r="202" customFormat="false" ht="42" hidden="false" customHeight="true" outlineLevel="0" collapsed="false">
      <c r="A202" s="15" t="n">
        <v>2</v>
      </c>
      <c r="B202" s="16" t="s">
        <v>1846</v>
      </c>
      <c r="C202" s="17" t="s">
        <v>111</v>
      </c>
      <c r="D202" s="17" t="s">
        <v>503</v>
      </c>
      <c r="E202" s="17" t="s">
        <v>1847</v>
      </c>
      <c r="F202" s="17" t="s">
        <v>1848</v>
      </c>
      <c r="G202" s="17" t="s">
        <v>1849</v>
      </c>
      <c r="H202" s="17" t="s">
        <v>1850</v>
      </c>
      <c r="I202" s="17" t="s">
        <v>1851</v>
      </c>
      <c r="J202" s="17" t="s">
        <v>413</v>
      </c>
      <c r="K202" s="18" t="s">
        <v>1852</v>
      </c>
      <c r="L202" s="15" t="s">
        <v>131</v>
      </c>
      <c r="M202" s="17" t="s">
        <v>1853</v>
      </c>
      <c r="N202" s="19" t="s">
        <v>73</v>
      </c>
      <c r="O202" s="19" t="s">
        <v>1590</v>
      </c>
      <c r="P202" s="20"/>
    </row>
    <row r="203" customFormat="false" ht="42" hidden="false" customHeight="true" outlineLevel="0" collapsed="false">
      <c r="A203" s="15" t="n">
        <v>2</v>
      </c>
      <c r="B203" s="16" t="s">
        <v>1854</v>
      </c>
      <c r="C203" s="17" t="s">
        <v>62</v>
      </c>
      <c r="D203" s="17" t="s">
        <v>474</v>
      </c>
      <c r="E203" s="17" t="s">
        <v>1855</v>
      </c>
      <c r="F203" s="17" t="s">
        <v>1856</v>
      </c>
      <c r="G203" s="17" t="s">
        <v>1857</v>
      </c>
      <c r="H203" s="17" t="s">
        <v>1858</v>
      </c>
      <c r="I203" s="17" t="s">
        <v>1859</v>
      </c>
      <c r="J203" s="17" t="s">
        <v>413</v>
      </c>
      <c r="K203" s="18" t="s">
        <v>1860</v>
      </c>
      <c r="L203" s="15" t="s">
        <v>131</v>
      </c>
      <c r="M203" s="17" t="s">
        <v>1861</v>
      </c>
      <c r="N203" s="19" t="s">
        <v>73</v>
      </c>
      <c r="O203" s="19" t="s">
        <v>1590</v>
      </c>
      <c r="P203" s="20"/>
    </row>
    <row r="204" customFormat="false" ht="54.75" hidden="false" customHeight="true" outlineLevel="0" collapsed="false">
      <c r="A204" s="15" t="n">
        <v>2</v>
      </c>
      <c r="B204" s="16" t="s">
        <v>1862</v>
      </c>
      <c r="C204" s="17" t="s">
        <v>111</v>
      </c>
      <c r="D204" s="17" t="s">
        <v>503</v>
      </c>
      <c r="E204" s="17" t="s">
        <v>1863</v>
      </c>
      <c r="F204" s="17" t="s">
        <v>1864</v>
      </c>
      <c r="G204" s="17" t="s">
        <v>1865</v>
      </c>
      <c r="H204" s="17" t="s">
        <v>1866</v>
      </c>
      <c r="I204" s="17" t="s">
        <v>1867</v>
      </c>
      <c r="J204" s="17" t="s">
        <v>1868</v>
      </c>
      <c r="K204" s="18" t="s">
        <v>1869</v>
      </c>
      <c r="L204" s="15" t="s">
        <v>131</v>
      </c>
      <c r="M204" s="17" t="s">
        <v>1870</v>
      </c>
      <c r="N204" s="19" t="s">
        <v>73</v>
      </c>
      <c r="O204" s="19" t="s">
        <v>463</v>
      </c>
      <c r="P204" s="20"/>
    </row>
    <row r="205" customFormat="false" ht="42" hidden="false" customHeight="true" outlineLevel="0" collapsed="false">
      <c r="A205" s="15" t="n">
        <v>2</v>
      </c>
      <c r="B205" s="16" t="s">
        <v>1871</v>
      </c>
      <c r="C205" s="17" t="s">
        <v>111</v>
      </c>
      <c r="D205" s="17" t="s">
        <v>1872</v>
      </c>
      <c r="E205" s="17" t="s">
        <v>1873</v>
      </c>
      <c r="F205" s="17" t="s">
        <v>1874</v>
      </c>
      <c r="G205" s="17" t="s">
        <v>1875</v>
      </c>
      <c r="H205" s="17" t="s">
        <v>1876</v>
      </c>
      <c r="I205" s="17" t="s">
        <v>413</v>
      </c>
      <c r="J205" s="17" t="s">
        <v>413</v>
      </c>
      <c r="K205" s="18" t="s">
        <v>1877</v>
      </c>
      <c r="L205" s="15" t="s">
        <v>131</v>
      </c>
      <c r="M205" s="17" t="s">
        <v>1878</v>
      </c>
      <c r="N205" s="19" t="s">
        <v>73</v>
      </c>
      <c r="O205" s="19" t="s">
        <v>463</v>
      </c>
      <c r="P205" s="20"/>
    </row>
    <row r="206" customFormat="false" ht="42" hidden="false" customHeight="true" outlineLevel="0" collapsed="false">
      <c r="A206" s="15" t="n">
        <v>2</v>
      </c>
      <c r="B206" s="16" t="s">
        <v>1879</v>
      </c>
      <c r="C206" s="17" t="s">
        <v>111</v>
      </c>
      <c r="D206" s="17" t="s">
        <v>503</v>
      </c>
      <c r="E206" s="17" t="s">
        <v>1880</v>
      </c>
      <c r="F206" s="17" t="s">
        <v>1881</v>
      </c>
      <c r="G206" s="17" t="s">
        <v>1882</v>
      </c>
      <c r="H206" s="17" t="s">
        <v>1883</v>
      </c>
      <c r="I206" s="17" t="s">
        <v>413</v>
      </c>
      <c r="J206" s="17" t="s">
        <v>1884</v>
      </c>
      <c r="K206" s="18" t="s">
        <v>1885</v>
      </c>
      <c r="L206" s="15" t="s">
        <v>131</v>
      </c>
      <c r="M206" s="17" t="s">
        <v>1886</v>
      </c>
      <c r="N206" s="19" t="s">
        <v>73</v>
      </c>
      <c r="O206" s="19" t="s">
        <v>463</v>
      </c>
      <c r="P206" s="20"/>
    </row>
    <row r="207" customFormat="false" ht="54.75" hidden="false" customHeight="true" outlineLevel="0" collapsed="false">
      <c r="A207" s="15" t="n">
        <v>2</v>
      </c>
      <c r="B207" s="16" t="s">
        <v>1887</v>
      </c>
      <c r="C207" s="17" t="s">
        <v>289</v>
      </c>
      <c r="D207" s="17" t="s">
        <v>1888</v>
      </c>
      <c r="E207" s="17" t="s">
        <v>1889</v>
      </c>
      <c r="F207" s="17" t="s">
        <v>1890</v>
      </c>
      <c r="G207" s="17" t="s">
        <v>1891</v>
      </c>
      <c r="H207" s="17" t="s">
        <v>1892</v>
      </c>
      <c r="I207" s="17" t="s">
        <v>413</v>
      </c>
      <c r="J207" s="17" t="s">
        <v>1893</v>
      </c>
      <c r="K207" s="18" t="s">
        <v>1894</v>
      </c>
      <c r="L207" s="15" t="s">
        <v>131</v>
      </c>
      <c r="M207" s="17" t="s">
        <v>1895</v>
      </c>
      <c r="N207" s="19" t="s">
        <v>73</v>
      </c>
      <c r="O207" s="19" t="s">
        <v>1896</v>
      </c>
      <c r="P207" s="20"/>
    </row>
    <row r="208" customFormat="false" ht="42" hidden="false" customHeight="true" outlineLevel="0" collapsed="false">
      <c r="A208" s="15" t="n">
        <v>2</v>
      </c>
      <c r="B208" s="16" t="s">
        <v>1897</v>
      </c>
      <c r="C208" s="17" t="s">
        <v>289</v>
      </c>
      <c r="D208" s="17" t="s">
        <v>1898</v>
      </c>
      <c r="E208" s="17" t="s">
        <v>1899</v>
      </c>
      <c r="F208" s="17" t="s">
        <v>1900</v>
      </c>
      <c r="G208" s="17" t="s">
        <v>1901</v>
      </c>
      <c r="H208" s="17" t="s">
        <v>1902</v>
      </c>
      <c r="I208" s="17" t="s">
        <v>1903</v>
      </c>
      <c r="J208" s="17" t="s">
        <v>1904</v>
      </c>
      <c r="K208" s="18" t="s">
        <v>1905</v>
      </c>
      <c r="L208" s="15" t="s">
        <v>131</v>
      </c>
      <c r="M208" s="17" t="s">
        <v>1906</v>
      </c>
      <c r="N208" s="19" t="s">
        <v>73</v>
      </c>
      <c r="O208" s="19" t="s">
        <v>621</v>
      </c>
      <c r="P208" s="20"/>
    </row>
    <row r="209" customFormat="false" ht="42" hidden="false" customHeight="true" outlineLevel="0" collapsed="false">
      <c r="A209" s="15" t="n">
        <v>2</v>
      </c>
      <c r="B209" s="16" t="s">
        <v>1907</v>
      </c>
      <c r="C209" s="17" t="s">
        <v>265</v>
      </c>
      <c r="D209" s="17" t="s">
        <v>146</v>
      </c>
      <c r="E209" s="17" t="s">
        <v>1908</v>
      </c>
      <c r="F209" s="17" t="s">
        <v>1909</v>
      </c>
      <c r="G209" s="17" t="s">
        <v>1910</v>
      </c>
      <c r="H209" s="17" t="s">
        <v>1911</v>
      </c>
      <c r="I209" s="17" t="s">
        <v>1912</v>
      </c>
      <c r="J209" s="17" t="s">
        <v>208</v>
      </c>
      <c r="K209" s="18" t="s">
        <v>1913</v>
      </c>
      <c r="L209" s="15" t="s">
        <v>71</v>
      </c>
      <c r="M209" s="17" t="s">
        <v>1914</v>
      </c>
      <c r="N209" s="19" t="s">
        <v>73</v>
      </c>
      <c r="O209" s="19" t="s">
        <v>658</v>
      </c>
      <c r="P209" s="20"/>
    </row>
    <row r="210" customFormat="false" ht="42" hidden="false" customHeight="true" outlineLevel="0" collapsed="false">
      <c r="A210" s="15" t="n">
        <v>2</v>
      </c>
      <c r="B210" s="16" t="s">
        <v>1915</v>
      </c>
      <c r="C210" s="17" t="s">
        <v>832</v>
      </c>
      <c r="D210" s="17" t="s">
        <v>1269</v>
      </c>
      <c r="E210" s="17" t="s">
        <v>1916</v>
      </c>
      <c r="F210" s="17" t="s">
        <v>1917</v>
      </c>
      <c r="G210" s="17" t="s">
        <v>1918</v>
      </c>
      <c r="H210" s="17" t="s">
        <v>1632</v>
      </c>
      <c r="I210" s="17" t="s">
        <v>413</v>
      </c>
      <c r="J210" s="17" t="s">
        <v>1919</v>
      </c>
      <c r="K210" s="18" t="s">
        <v>1920</v>
      </c>
      <c r="L210" s="15" t="s">
        <v>131</v>
      </c>
      <c r="M210" s="17" t="s">
        <v>1921</v>
      </c>
      <c r="N210" s="19" t="s">
        <v>73</v>
      </c>
      <c r="O210" s="19" t="s">
        <v>992</v>
      </c>
      <c r="P210" s="20"/>
    </row>
    <row r="211" customFormat="false" ht="29.25" hidden="false" customHeight="true" outlineLevel="0" collapsed="false">
      <c r="A211" s="15" t="n">
        <v>2</v>
      </c>
      <c r="B211" s="16" t="s">
        <v>1922</v>
      </c>
      <c r="C211" s="17" t="s">
        <v>76</v>
      </c>
      <c r="D211" s="17" t="s">
        <v>1923</v>
      </c>
      <c r="E211" s="17" t="s">
        <v>1385</v>
      </c>
      <c r="F211" s="17" t="s">
        <v>1924</v>
      </c>
      <c r="G211" s="17" t="s">
        <v>1331</v>
      </c>
      <c r="H211" s="17" t="s">
        <v>616</v>
      </c>
      <c r="I211" s="17" t="s">
        <v>413</v>
      </c>
      <c r="J211" s="17" t="s">
        <v>1925</v>
      </c>
      <c r="K211" s="18" t="s">
        <v>1926</v>
      </c>
      <c r="L211" s="15" t="s">
        <v>131</v>
      </c>
      <c r="M211" s="17" t="s">
        <v>1927</v>
      </c>
      <c r="N211" s="19" t="s">
        <v>73</v>
      </c>
      <c r="O211" s="19" t="s">
        <v>621</v>
      </c>
      <c r="P211" s="20"/>
    </row>
    <row r="212" customFormat="false" ht="42" hidden="false" customHeight="true" outlineLevel="0" collapsed="false">
      <c r="A212" s="15" t="n">
        <v>2</v>
      </c>
      <c r="B212" s="16" t="s">
        <v>1928</v>
      </c>
      <c r="C212" s="17" t="s">
        <v>111</v>
      </c>
      <c r="D212" s="17" t="s">
        <v>146</v>
      </c>
      <c r="E212" s="17" t="s">
        <v>1929</v>
      </c>
      <c r="F212" s="17" t="s">
        <v>1930</v>
      </c>
      <c r="G212" s="17" t="s">
        <v>1931</v>
      </c>
      <c r="H212" s="17" t="s">
        <v>1932</v>
      </c>
      <c r="I212" s="17" t="s">
        <v>1933</v>
      </c>
      <c r="J212" s="17" t="s">
        <v>1934</v>
      </c>
      <c r="K212" s="18" t="s">
        <v>1935</v>
      </c>
      <c r="L212" s="15" t="s">
        <v>131</v>
      </c>
      <c r="M212" s="17" t="s">
        <v>1936</v>
      </c>
      <c r="N212" s="19" t="s">
        <v>73</v>
      </c>
      <c r="O212" s="19" t="s">
        <v>1937</v>
      </c>
      <c r="P212" s="20"/>
    </row>
    <row r="213" customFormat="false" ht="29.25" hidden="false" customHeight="true" outlineLevel="0" collapsed="false">
      <c r="A213" s="15" t="n">
        <v>2</v>
      </c>
      <c r="B213" s="16" t="s">
        <v>1938</v>
      </c>
      <c r="C213" s="17" t="s">
        <v>76</v>
      </c>
      <c r="D213" s="17" t="s">
        <v>1251</v>
      </c>
      <c r="E213" s="17" t="s">
        <v>1385</v>
      </c>
      <c r="F213" s="17" t="s">
        <v>1924</v>
      </c>
      <c r="G213" s="17" t="s">
        <v>1331</v>
      </c>
      <c r="H213" s="17" t="s">
        <v>616</v>
      </c>
      <c r="I213" s="17" t="s">
        <v>413</v>
      </c>
      <c r="J213" s="17" t="s">
        <v>1939</v>
      </c>
      <c r="K213" s="18" t="s">
        <v>1940</v>
      </c>
      <c r="L213" s="15" t="s">
        <v>131</v>
      </c>
      <c r="M213" s="17" t="s">
        <v>1941</v>
      </c>
      <c r="N213" s="19" t="s">
        <v>73</v>
      </c>
      <c r="O213" s="19" t="s">
        <v>621</v>
      </c>
      <c r="P213" s="20"/>
    </row>
    <row r="214" customFormat="false" ht="54.75" hidden="false" customHeight="true" outlineLevel="0" collapsed="false">
      <c r="A214" s="15" t="n">
        <v>2</v>
      </c>
      <c r="B214" s="16" t="s">
        <v>1942</v>
      </c>
      <c r="C214" s="17" t="s">
        <v>111</v>
      </c>
      <c r="D214" s="17" t="s">
        <v>1441</v>
      </c>
      <c r="E214" s="17" t="s">
        <v>1943</v>
      </c>
      <c r="F214" s="17" t="s">
        <v>1944</v>
      </c>
      <c r="G214" s="17" t="s">
        <v>1945</v>
      </c>
      <c r="H214" s="17" t="s">
        <v>1946</v>
      </c>
      <c r="I214" s="17" t="s">
        <v>413</v>
      </c>
      <c r="J214" s="17" t="s">
        <v>413</v>
      </c>
      <c r="K214" s="18" t="s">
        <v>1947</v>
      </c>
      <c r="L214" s="15" t="s">
        <v>131</v>
      </c>
      <c r="M214" s="17" t="s">
        <v>1948</v>
      </c>
      <c r="N214" s="19" t="s">
        <v>73</v>
      </c>
      <c r="O214" s="19" t="s">
        <v>463</v>
      </c>
      <c r="P214" s="20"/>
    </row>
    <row r="215" customFormat="false" ht="42" hidden="false" customHeight="true" outlineLevel="0" collapsed="false">
      <c r="A215" s="15" t="n">
        <v>2</v>
      </c>
      <c r="B215" s="16" t="s">
        <v>1949</v>
      </c>
      <c r="C215" s="17" t="s">
        <v>62</v>
      </c>
      <c r="D215" s="17" t="s">
        <v>1950</v>
      </c>
      <c r="E215" s="17" t="s">
        <v>1951</v>
      </c>
      <c r="F215" s="17" t="s">
        <v>1952</v>
      </c>
      <c r="G215" s="17" t="s">
        <v>1953</v>
      </c>
      <c r="H215" s="17" t="s">
        <v>1954</v>
      </c>
      <c r="I215" s="17" t="s">
        <v>413</v>
      </c>
      <c r="J215" s="17" t="s">
        <v>413</v>
      </c>
      <c r="K215" s="18" t="s">
        <v>1955</v>
      </c>
      <c r="L215" s="15" t="s">
        <v>131</v>
      </c>
      <c r="M215" s="17" t="s">
        <v>1956</v>
      </c>
      <c r="N215" s="19" t="s">
        <v>73</v>
      </c>
      <c r="O215" s="19" t="s">
        <v>463</v>
      </c>
      <c r="P215" s="20"/>
    </row>
    <row r="216" customFormat="false" ht="54.75" hidden="false" customHeight="true" outlineLevel="0" collapsed="false">
      <c r="A216" s="15" t="n">
        <v>2</v>
      </c>
      <c r="B216" s="16" t="s">
        <v>1957</v>
      </c>
      <c r="C216" s="17" t="s">
        <v>111</v>
      </c>
      <c r="D216" s="17" t="s">
        <v>1433</v>
      </c>
      <c r="E216" s="17" t="s">
        <v>1958</v>
      </c>
      <c r="F216" s="17" t="s">
        <v>1959</v>
      </c>
      <c r="G216" s="17" t="s">
        <v>1116</v>
      </c>
      <c r="H216" s="17" t="s">
        <v>1946</v>
      </c>
      <c r="I216" s="17" t="s">
        <v>413</v>
      </c>
      <c r="J216" s="17" t="s">
        <v>413</v>
      </c>
      <c r="K216" s="18" t="s">
        <v>1960</v>
      </c>
      <c r="L216" s="15" t="s">
        <v>131</v>
      </c>
      <c r="M216" s="17" t="s">
        <v>1961</v>
      </c>
      <c r="N216" s="19" t="s">
        <v>73</v>
      </c>
      <c r="O216" s="19" t="s">
        <v>463</v>
      </c>
      <c r="P216" s="20"/>
    </row>
    <row r="217" customFormat="false" ht="42" hidden="false" customHeight="true" outlineLevel="0" collapsed="false">
      <c r="A217" s="15" t="n">
        <v>2</v>
      </c>
      <c r="B217" s="16" t="s">
        <v>1962</v>
      </c>
      <c r="C217" s="17" t="s">
        <v>62</v>
      </c>
      <c r="D217" s="17" t="s">
        <v>1433</v>
      </c>
      <c r="E217" s="17" t="s">
        <v>1963</v>
      </c>
      <c r="F217" s="17" t="s">
        <v>1964</v>
      </c>
      <c r="G217" s="17" t="s">
        <v>1857</v>
      </c>
      <c r="H217" s="17" t="s">
        <v>1815</v>
      </c>
      <c r="I217" s="17" t="s">
        <v>413</v>
      </c>
      <c r="J217" s="17" t="s">
        <v>413</v>
      </c>
      <c r="K217" s="18" t="s">
        <v>1965</v>
      </c>
      <c r="L217" s="15" t="s">
        <v>131</v>
      </c>
      <c r="M217" s="17" t="s">
        <v>1966</v>
      </c>
      <c r="N217" s="19" t="s">
        <v>73</v>
      </c>
      <c r="O217" s="19" t="s">
        <v>463</v>
      </c>
      <c r="P217" s="20"/>
    </row>
    <row r="218" customFormat="false" ht="42" hidden="false" customHeight="true" outlineLevel="0" collapsed="false">
      <c r="A218" s="15" t="n">
        <v>1</v>
      </c>
      <c r="B218" s="16" t="s">
        <v>1967</v>
      </c>
      <c r="C218" s="17" t="s">
        <v>62</v>
      </c>
      <c r="D218" s="17" t="s">
        <v>1583</v>
      </c>
      <c r="E218" s="17" t="s">
        <v>1968</v>
      </c>
      <c r="F218" s="17" t="s">
        <v>1969</v>
      </c>
      <c r="G218" s="17" t="s">
        <v>1970</v>
      </c>
      <c r="H218" s="17" t="s">
        <v>988</v>
      </c>
      <c r="I218" s="17" t="s">
        <v>413</v>
      </c>
      <c r="J218" s="17" t="s">
        <v>413</v>
      </c>
      <c r="K218" s="18" t="s">
        <v>1971</v>
      </c>
      <c r="L218" s="15" t="s">
        <v>131</v>
      </c>
      <c r="M218" s="17" t="s">
        <v>1972</v>
      </c>
      <c r="N218" s="19" t="s">
        <v>73</v>
      </c>
      <c r="O218" s="19" t="s">
        <v>1973</v>
      </c>
      <c r="P218" s="20"/>
    </row>
    <row r="219" customFormat="false" ht="54.75" hidden="false" customHeight="true" outlineLevel="0" collapsed="false">
      <c r="A219" s="15" t="n">
        <v>1</v>
      </c>
      <c r="B219" s="16" t="s">
        <v>1974</v>
      </c>
      <c r="C219" s="17" t="s">
        <v>111</v>
      </c>
      <c r="D219" s="17" t="s">
        <v>503</v>
      </c>
      <c r="E219" s="17" t="s">
        <v>1975</v>
      </c>
      <c r="F219" s="17" t="s">
        <v>1976</v>
      </c>
      <c r="G219" s="17" t="s">
        <v>1977</v>
      </c>
      <c r="H219" s="17" t="s">
        <v>1978</v>
      </c>
      <c r="I219" s="17" t="s">
        <v>1979</v>
      </c>
      <c r="J219" s="17" t="s">
        <v>413</v>
      </c>
      <c r="K219" s="18" t="s">
        <v>1980</v>
      </c>
      <c r="L219" s="15" t="s">
        <v>131</v>
      </c>
      <c r="M219" s="17" t="s">
        <v>1981</v>
      </c>
      <c r="N219" s="19" t="s">
        <v>73</v>
      </c>
      <c r="O219" s="19" t="s">
        <v>1590</v>
      </c>
      <c r="P219" s="20"/>
    </row>
    <row r="220" customFormat="false" ht="42" hidden="false" customHeight="true" outlineLevel="0" collapsed="false">
      <c r="A220" s="15" t="n">
        <v>1</v>
      </c>
      <c r="B220" s="16" t="s">
        <v>1982</v>
      </c>
      <c r="C220" s="17" t="s">
        <v>111</v>
      </c>
      <c r="D220" s="17" t="s">
        <v>1147</v>
      </c>
      <c r="E220" s="17" t="s">
        <v>1983</v>
      </c>
      <c r="F220" s="17" t="s">
        <v>1984</v>
      </c>
      <c r="G220" s="17" t="s">
        <v>1985</v>
      </c>
      <c r="H220" s="17" t="s">
        <v>1986</v>
      </c>
      <c r="I220" s="17" t="s">
        <v>413</v>
      </c>
      <c r="J220" s="17" t="s">
        <v>413</v>
      </c>
      <c r="K220" s="18" t="s">
        <v>1987</v>
      </c>
      <c r="L220" s="15" t="s">
        <v>131</v>
      </c>
      <c r="M220" s="17" t="s">
        <v>1988</v>
      </c>
      <c r="N220" s="19" t="s">
        <v>73</v>
      </c>
      <c r="O220" s="19" t="s">
        <v>1590</v>
      </c>
      <c r="P220" s="20"/>
    </row>
    <row r="221" customFormat="false" ht="42" hidden="false" customHeight="true" outlineLevel="0" collapsed="false">
      <c r="A221" s="15" t="n">
        <v>1</v>
      </c>
      <c r="B221" s="16" t="s">
        <v>1989</v>
      </c>
      <c r="C221" s="17" t="s">
        <v>111</v>
      </c>
      <c r="D221" s="17" t="s">
        <v>1990</v>
      </c>
      <c r="E221" s="17" t="s">
        <v>1991</v>
      </c>
      <c r="F221" s="17" t="s">
        <v>1992</v>
      </c>
      <c r="G221" s="17" t="s">
        <v>1993</v>
      </c>
      <c r="H221" s="17" t="s">
        <v>1986</v>
      </c>
      <c r="I221" s="17" t="s">
        <v>413</v>
      </c>
      <c r="J221" s="17" t="s">
        <v>413</v>
      </c>
      <c r="K221" s="18" t="s">
        <v>1994</v>
      </c>
      <c r="L221" s="15" t="s">
        <v>131</v>
      </c>
      <c r="M221" s="17" t="s">
        <v>1995</v>
      </c>
      <c r="N221" s="19" t="s">
        <v>73</v>
      </c>
      <c r="O221" s="19" t="s">
        <v>1590</v>
      </c>
      <c r="P221" s="20"/>
    </row>
    <row r="222" customFormat="false" ht="93" hidden="false" customHeight="true" outlineLevel="0" collapsed="false">
      <c r="A222" s="15" t="n">
        <v>1</v>
      </c>
      <c r="B222" s="16" t="s">
        <v>1996</v>
      </c>
      <c r="C222" s="17" t="s">
        <v>62</v>
      </c>
      <c r="D222" s="17" t="s">
        <v>1990</v>
      </c>
      <c r="E222" s="17" t="s">
        <v>1997</v>
      </c>
      <c r="F222" s="17" t="s">
        <v>1998</v>
      </c>
      <c r="G222" s="17" t="s">
        <v>1999</v>
      </c>
      <c r="H222" s="17" t="s">
        <v>2000</v>
      </c>
      <c r="I222" s="17" t="s">
        <v>413</v>
      </c>
      <c r="J222" s="17" t="s">
        <v>413</v>
      </c>
      <c r="K222" s="18" t="s">
        <v>2001</v>
      </c>
      <c r="L222" s="15" t="s">
        <v>131</v>
      </c>
      <c r="M222" s="17" t="s">
        <v>2002</v>
      </c>
      <c r="N222" s="19" t="s">
        <v>73</v>
      </c>
      <c r="O222" s="19" t="s">
        <v>2003</v>
      </c>
      <c r="P222" s="20"/>
    </row>
    <row r="223" customFormat="false" ht="42" hidden="false" customHeight="true" outlineLevel="0" collapsed="false">
      <c r="A223" s="15" t="n">
        <v>1</v>
      </c>
      <c r="B223" s="16" t="s">
        <v>2004</v>
      </c>
      <c r="C223" s="17" t="s">
        <v>62</v>
      </c>
      <c r="D223" s="17" t="s">
        <v>2005</v>
      </c>
      <c r="E223" s="17" t="s">
        <v>2006</v>
      </c>
      <c r="F223" s="17" t="s">
        <v>2007</v>
      </c>
      <c r="G223" s="17" t="s">
        <v>2008</v>
      </c>
      <c r="H223" s="17" t="s">
        <v>1858</v>
      </c>
      <c r="I223" s="17" t="s">
        <v>413</v>
      </c>
      <c r="J223" s="17" t="s">
        <v>413</v>
      </c>
      <c r="K223" s="18" t="s">
        <v>2009</v>
      </c>
      <c r="L223" s="15" t="s">
        <v>131</v>
      </c>
      <c r="M223" s="17" t="s">
        <v>2010</v>
      </c>
      <c r="N223" s="19" t="s">
        <v>73</v>
      </c>
      <c r="O223" s="19" t="s">
        <v>1590</v>
      </c>
      <c r="P223" s="20"/>
    </row>
    <row r="224" customFormat="false" ht="42" hidden="false" customHeight="true" outlineLevel="0" collapsed="false">
      <c r="A224" s="15" t="n">
        <v>1</v>
      </c>
      <c r="B224" s="16" t="s">
        <v>2011</v>
      </c>
      <c r="C224" s="17" t="s">
        <v>111</v>
      </c>
      <c r="D224" s="17" t="s">
        <v>2012</v>
      </c>
      <c r="E224" s="17" t="s">
        <v>2013</v>
      </c>
      <c r="F224" s="17" t="s">
        <v>2014</v>
      </c>
      <c r="G224" s="17" t="s">
        <v>2015</v>
      </c>
      <c r="H224" s="17" t="s">
        <v>2016</v>
      </c>
      <c r="I224" s="17" t="s">
        <v>413</v>
      </c>
      <c r="J224" s="17" t="s">
        <v>413</v>
      </c>
      <c r="K224" s="18" t="s">
        <v>1679</v>
      </c>
      <c r="L224" s="15" t="s">
        <v>131</v>
      </c>
      <c r="M224" s="17" t="s">
        <v>2017</v>
      </c>
      <c r="N224" s="19" t="s">
        <v>73</v>
      </c>
      <c r="O224" s="19" t="s">
        <v>1973</v>
      </c>
      <c r="P224" s="20"/>
    </row>
    <row r="225" customFormat="false" ht="54.75" hidden="false" customHeight="true" outlineLevel="0" collapsed="false">
      <c r="A225" s="15" t="n">
        <v>1</v>
      </c>
      <c r="B225" s="16" t="s">
        <v>2018</v>
      </c>
      <c r="C225" s="17" t="s">
        <v>76</v>
      </c>
      <c r="D225" s="17" t="s">
        <v>146</v>
      </c>
      <c r="E225" s="17" t="s">
        <v>2019</v>
      </c>
      <c r="F225" s="17" t="s">
        <v>2020</v>
      </c>
      <c r="G225" s="17" t="s">
        <v>1331</v>
      </c>
      <c r="H225" s="17" t="s">
        <v>2021</v>
      </c>
      <c r="I225" s="17" t="s">
        <v>413</v>
      </c>
      <c r="J225" s="17" t="s">
        <v>2022</v>
      </c>
      <c r="K225" s="18" t="s">
        <v>2023</v>
      </c>
      <c r="L225" s="15" t="s">
        <v>131</v>
      </c>
      <c r="M225" s="17" t="s">
        <v>2024</v>
      </c>
      <c r="N225" s="19" t="s">
        <v>73</v>
      </c>
      <c r="O225" s="19" t="s">
        <v>2025</v>
      </c>
      <c r="P225" s="20"/>
    </row>
    <row r="226" customFormat="false" ht="15" hidden="false" customHeight="false" outlineLevel="0" collapsed="false">
      <c r="P226" s="21"/>
    </row>
    <row r="227" customFormat="false" ht="15" hidden="false" customHeight="false" outlineLevel="0" collapsed="false">
      <c r="P227" s="21"/>
    </row>
    <row r="228" customFormat="false" ht="15" hidden="false" customHeight="false" outlineLevel="0" collapsed="false">
      <c r="P228" s="21"/>
    </row>
    <row r="229" customFormat="false" ht="15" hidden="false" customHeight="false" outlineLevel="0" collapsed="false">
      <c r="P229" s="21"/>
    </row>
    <row r="230" customFormat="false" ht="15" hidden="false" customHeight="false" outlineLevel="0" collapsed="false">
      <c r="P230" s="21"/>
    </row>
    <row r="231" customFormat="false" ht="15" hidden="false" customHeight="false" outlineLevel="0" collapsed="false">
      <c r="P231" s="21"/>
    </row>
    <row r="232" customFormat="false" ht="15" hidden="false" customHeight="false" outlineLevel="0" collapsed="false">
      <c r="P232" s="21"/>
    </row>
    <row r="233" customFormat="false" ht="15" hidden="false" customHeight="false" outlineLevel="0" collapsed="false">
      <c r="P233" s="21"/>
    </row>
    <row r="234" customFormat="false" ht="15" hidden="false" customHeight="false" outlineLevel="0" collapsed="false">
      <c r="P234" s="21"/>
    </row>
    <row r="235" customFormat="false" ht="15" hidden="false" customHeight="false" outlineLevel="0" collapsed="false">
      <c r="P235" s="21"/>
    </row>
    <row r="236" customFormat="false" ht="15" hidden="false" customHeight="false" outlineLevel="0" collapsed="false">
      <c r="P236" s="21"/>
    </row>
    <row r="237" customFormat="false" ht="15" hidden="false" customHeight="false" outlineLevel="0" collapsed="false">
      <c r="P237" s="21"/>
    </row>
    <row r="238" customFormat="false" ht="15" hidden="false" customHeight="false" outlineLevel="0" collapsed="false">
      <c r="P238" s="21"/>
    </row>
    <row r="239" customFormat="false" ht="15" hidden="false" customHeight="false" outlineLevel="0" collapsed="false">
      <c r="P239" s="21"/>
    </row>
    <row r="240" customFormat="false" ht="15" hidden="false" customHeight="false" outlineLevel="0" collapsed="false">
      <c r="P240" s="21"/>
    </row>
    <row r="241" customFormat="false" ht="15" hidden="false" customHeight="false" outlineLevel="0" collapsed="false">
      <c r="P241" s="21"/>
    </row>
    <row r="242" customFormat="false" ht="15" hidden="false" customHeight="false" outlineLevel="0" collapsed="false">
      <c r="P242" s="21"/>
    </row>
    <row r="243" customFormat="false" ht="15" hidden="false" customHeight="false" outlineLevel="0" collapsed="false">
      <c r="P243" s="21"/>
    </row>
    <row r="244" customFormat="false" ht="15" hidden="false" customHeight="false" outlineLevel="0" collapsed="false">
      <c r="P244" s="21"/>
    </row>
    <row r="245" customFormat="false" ht="15" hidden="false" customHeight="false" outlineLevel="0" collapsed="false">
      <c r="P245" s="21"/>
    </row>
    <row r="246" customFormat="false" ht="15" hidden="false" customHeight="false" outlineLevel="0" collapsed="false">
      <c r="P246" s="21"/>
    </row>
    <row r="247" customFormat="false" ht="15" hidden="false" customHeight="false" outlineLevel="0" collapsed="false">
      <c r="P247" s="21"/>
    </row>
    <row r="248" customFormat="false" ht="15" hidden="false" customHeight="false" outlineLevel="0" collapsed="false">
      <c r="P248" s="21"/>
    </row>
    <row r="249" customFormat="false" ht="15" hidden="false" customHeight="false" outlineLevel="0" collapsed="false">
      <c r="P249" s="21"/>
    </row>
    <row r="250" customFormat="false" ht="15" hidden="false" customHeight="false" outlineLevel="0" collapsed="false">
      <c r="P250" s="21"/>
    </row>
    <row r="251" customFormat="false" ht="15" hidden="false" customHeight="false" outlineLevel="0" collapsed="false">
      <c r="P251" s="21"/>
    </row>
    <row r="252" customFormat="false" ht="15" hidden="false" customHeight="false" outlineLevel="0" collapsed="false">
      <c r="P252" s="21"/>
    </row>
    <row r="253" customFormat="false" ht="15" hidden="false" customHeight="false" outlineLevel="0" collapsed="false">
      <c r="P253" s="21"/>
    </row>
    <row r="254" customFormat="false" ht="15" hidden="false" customHeight="false" outlineLevel="0" collapsed="false">
      <c r="P254" s="21"/>
    </row>
    <row r="255" customFormat="false" ht="15" hidden="false" customHeight="false" outlineLevel="0" collapsed="false">
      <c r="P255" s="21"/>
    </row>
    <row r="256" customFormat="false" ht="15" hidden="false" customHeight="false" outlineLevel="0" collapsed="false">
      <c r="P256" s="21"/>
    </row>
    <row r="257" customFormat="false" ht="15" hidden="false" customHeight="false" outlineLevel="0" collapsed="false">
      <c r="P257" s="21"/>
    </row>
    <row r="258" customFormat="false" ht="15" hidden="false" customHeight="false" outlineLevel="0" collapsed="false">
      <c r="P258" s="21"/>
    </row>
    <row r="259" customFormat="false" ht="15" hidden="false" customHeight="false" outlineLevel="0" collapsed="false">
      <c r="P259" s="21"/>
    </row>
    <row r="260" customFormat="false" ht="15" hidden="false" customHeight="false" outlineLevel="0" collapsed="false">
      <c r="P260" s="21"/>
    </row>
    <row r="261" customFormat="false" ht="15" hidden="false" customHeight="false" outlineLevel="0" collapsed="false">
      <c r="P261" s="21"/>
    </row>
    <row r="262" customFormat="false" ht="15" hidden="false" customHeight="false" outlineLevel="0" collapsed="false">
      <c r="P262" s="21"/>
    </row>
    <row r="263" customFormat="false" ht="15" hidden="false" customHeight="false" outlineLevel="0" collapsed="false">
      <c r="P263" s="21"/>
    </row>
    <row r="264" customFormat="false" ht="15" hidden="false" customHeight="false" outlineLevel="0" collapsed="false">
      <c r="P264" s="21"/>
    </row>
    <row r="265" customFormat="false" ht="15" hidden="false" customHeight="false" outlineLevel="0" collapsed="false">
      <c r="P265" s="21"/>
    </row>
    <row r="266" customFormat="false" ht="15" hidden="false" customHeight="false" outlineLevel="0" collapsed="false">
      <c r="P266" s="21"/>
    </row>
    <row r="267" customFormat="false" ht="15" hidden="false" customHeight="false" outlineLevel="0" collapsed="false">
      <c r="P267" s="21"/>
    </row>
    <row r="268" customFormat="false" ht="15" hidden="false" customHeight="false" outlineLevel="0" collapsed="false">
      <c r="P268" s="21"/>
    </row>
    <row r="269" customFormat="false" ht="15" hidden="false" customHeight="false" outlineLevel="0" collapsed="false">
      <c r="P269" s="21"/>
    </row>
    <row r="270" customFormat="false" ht="15" hidden="false" customHeight="false" outlineLevel="0" collapsed="false">
      <c r="P270" s="21"/>
    </row>
    <row r="271" customFormat="false" ht="15" hidden="false" customHeight="false" outlineLevel="0" collapsed="false">
      <c r="P271" s="21"/>
    </row>
    <row r="272" customFormat="false" ht="15" hidden="false" customHeight="false" outlineLevel="0" collapsed="false">
      <c r="P272" s="21"/>
    </row>
    <row r="273" customFormat="false" ht="15" hidden="false" customHeight="false" outlineLevel="0" collapsed="false">
      <c r="P273" s="21"/>
    </row>
    <row r="274" customFormat="false" ht="15" hidden="false" customHeight="false" outlineLevel="0" collapsed="false">
      <c r="P274" s="21"/>
    </row>
    <row r="275" customFormat="false" ht="15" hidden="false" customHeight="false" outlineLevel="0" collapsed="false">
      <c r="P275" s="21"/>
    </row>
    <row r="276" customFormat="false" ht="15" hidden="false" customHeight="false" outlineLevel="0" collapsed="false">
      <c r="P276" s="21"/>
    </row>
    <row r="277" customFormat="false" ht="15" hidden="false" customHeight="false" outlineLevel="0" collapsed="false">
      <c r="P277" s="21"/>
    </row>
    <row r="278" customFormat="false" ht="15" hidden="false" customHeight="false" outlineLevel="0" collapsed="false">
      <c r="P278" s="21"/>
    </row>
    <row r="279" customFormat="false" ht="15" hidden="false" customHeight="false" outlineLevel="0" collapsed="false">
      <c r="P279" s="21"/>
    </row>
    <row r="280" customFormat="false" ht="15" hidden="false" customHeight="false" outlineLevel="0" collapsed="false">
      <c r="P280" s="21"/>
    </row>
    <row r="281" customFormat="false" ht="15" hidden="false" customHeight="false" outlineLevel="0" collapsed="false">
      <c r="P281" s="21"/>
    </row>
    <row r="282" customFormat="false" ht="15" hidden="false" customHeight="false" outlineLevel="0" collapsed="false">
      <c r="P282" s="21"/>
    </row>
    <row r="283" customFormat="false" ht="15" hidden="false" customHeight="false" outlineLevel="0" collapsed="false">
      <c r="P283" s="21"/>
    </row>
    <row r="284" customFormat="false" ht="15" hidden="false" customHeight="false" outlineLevel="0" collapsed="false">
      <c r="P284" s="21"/>
    </row>
    <row r="285" customFormat="false" ht="15" hidden="false" customHeight="false" outlineLevel="0" collapsed="false">
      <c r="P285" s="21"/>
    </row>
    <row r="286" customFormat="false" ht="15" hidden="false" customHeight="false" outlineLevel="0" collapsed="false">
      <c r="P286" s="21"/>
    </row>
    <row r="287" customFormat="false" ht="15" hidden="false" customHeight="false" outlineLevel="0" collapsed="false">
      <c r="P287" s="21"/>
    </row>
    <row r="288" customFormat="false" ht="15" hidden="false" customHeight="false" outlineLevel="0" collapsed="false">
      <c r="P288" s="21"/>
    </row>
    <row r="289" customFormat="false" ht="15" hidden="false" customHeight="false" outlineLevel="0" collapsed="false">
      <c r="P289" s="21"/>
    </row>
    <row r="290" customFormat="false" ht="15" hidden="false" customHeight="false" outlineLevel="0" collapsed="false">
      <c r="P290" s="21"/>
    </row>
    <row r="291" customFormat="false" ht="15" hidden="false" customHeight="false" outlineLevel="0" collapsed="false">
      <c r="P291" s="21"/>
    </row>
    <row r="292" customFormat="false" ht="15" hidden="false" customHeight="false" outlineLevel="0" collapsed="false">
      <c r="P292" s="21"/>
    </row>
    <row r="293" customFormat="false" ht="15" hidden="false" customHeight="false" outlineLevel="0" collapsed="false">
      <c r="P293" s="21"/>
    </row>
    <row r="294" customFormat="false" ht="15" hidden="false" customHeight="false" outlineLevel="0" collapsed="false">
      <c r="P294" s="21"/>
    </row>
    <row r="295" customFormat="false" ht="15" hidden="false" customHeight="false" outlineLevel="0" collapsed="false">
      <c r="P295" s="21"/>
    </row>
    <row r="296" customFormat="false" ht="15" hidden="false" customHeight="false" outlineLevel="0" collapsed="false">
      <c r="P296" s="21"/>
    </row>
    <row r="297" customFormat="false" ht="15" hidden="false" customHeight="false" outlineLevel="0" collapsed="false">
      <c r="P297" s="21"/>
    </row>
    <row r="298" customFormat="false" ht="15" hidden="false" customHeight="false" outlineLevel="0" collapsed="false">
      <c r="P298" s="21"/>
    </row>
    <row r="299" customFormat="false" ht="15" hidden="false" customHeight="false" outlineLevel="0" collapsed="false">
      <c r="P299" s="21"/>
    </row>
    <row r="300" customFormat="false" ht="15" hidden="false" customHeight="false" outlineLevel="0" collapsed="false">
      <c r="P300" s="21"/>
    </row>
    <row r="301" customFormat="false" ht="15" hidden="false" customHeight="false" outlineLevel="0" collapsed="false">
      <c r="P301" s="21"/>
    </row>
    <row r="302" customFormat="false" ht="15" hidden="false" customHeight="false" outlineLevel="0" collapsed="false">
      <c r="P302" s="21"/>
    </row>
    <row r="303" customFormat="false" ht="15" hidden="false" customHeight="false" outlineLevel="0" collapsed="false">
      <c r="P303" s="21"/>
    </row>
    <row r="304" customFormat="false" ht="15" hidden="false" customHeight="false" outlineLevel="0" collapsed="false">
      <c r="P304" s="21"/>
    </row>
    <row r="305" customFormat="false" ht="15" hidden="false" customHeight="false" outlineLevel="0" collapsed="false">
      <c r="P305" s="21"/>
    </row>
    <row r="306" customFormat="false" ht="15" hidden="false" customHeight="false" outlineLevel="0" collapsed="false">
      <c r="P306" s="21"/>
    </row>
    <row r="307" customFormat="false" ht="15" hidden="false" customHeight="false" outlineLevel="0" collapsed="false">
      <c r="P307" s="21"/>
    </row>
    <row r="308" customFormat="false" ht="15" hidden="false" customHeight="false" outlineLevel="0" collapsed="false">
      <c r="P308" s="21"/>
    </row>
    <row r="309" customFormat="false" ht="15" hidden="false" customHeight="false" outlineLevel="0" collapsed="false">
      <c r="P309" s="21"/>
    </row>
    <row r="310" customFormat="false" ht="15" hidden="false" customHeight="false" outlineLevel="0" collapsed="false">
      <c r="P310" s="21"/>
    </row>
    <row r="311" customFormat="false" ht="15" hidden="false" customHeight="false" outlineLevel="0" collapsed="false">
      <c r="P311" s="21"/>
    </row>
    <row r="312" customFormat="false" ht="15" hidden="false" customHeight="false" outlineLevel="0" collapsed="false">
      <c r="P312" s="21"/>
    </row>
    <row r="313" customFormat="false" ht="15" hidden="false" customHeight="false" outlineLevel="0" collapsed="false">
      <c r="P313" s="21"/>
    </row>
    <row r="314" customFormat="false" ht="15" hidden="false" customHeight="false" outlineLevel="0" collapsed="false">
      <c r="P314" s="21"/>
    </row>
    <row r="315" customFormat="false" ht="15" hidden="false" customHeight="false" outlineLevel="0" collapsed="false">
      <c r="P315" s="21"/>
    </row>
    <row r="316" customFormat="false" ht="15" hidden="false" customHeight="false" outlineLevel="0" collapsed="false">
      <c r="P316" s="21"/>
    </row>
    <row r="317" customFormat="false" ht="15" hidden="false" customHeight="false" outlineLevel="0" collapsed="false">
      <c r="P317" s="21"/>
    </row>
    <row r="318" customFormat="false" ht="15" hidden="false" customHeight="false" outlineLevel="0" collapsed="false">
      <c r="P318" s="21"/>
    </row>
    <row r="319" customFormat="false" ht="15" hidden="false" customHeight="false" outlineLevel="0" collapsed="false">
      <c r="P319" s="21"/>
    </row>
    <row r="320" customFormat="false" ht="15" hidden="false" customHeight="false" outlineLevel="0" collapsed="false">
      <c r="P320" s="21"/>
    </row>
    <row r="321" customFormat="false" ht="15" hidden="false" customHeight="false" outlineLevel="0" collapsed="false">
      <c r="P321" s="21"/>
    </row>
    <row r="322" customFormat="false" ht="15" hidden="false" customHeight="false" outlineLevel="0" collapsed="false">
      <c r="P322" s="21"/>
    </row>
    <row r="323" customFormat="false" ht="15" hidden="false" customHeight="false" outlineLevel="0" collapsed="false">
      <c r="P323" s="21"/>
    </row>
    <row r="324" customFormat="false" ht="15" hidden="false" customHeight="false" outlineLevel="0" collapsed="false">
      <c r="P324" s="21"/>
    </row>
    <row r="325" customFormat="false" ht="15" hidden="false" customHeight="false" outlineLevel="0" collapsed="false">
      <c r="P325" s="21"/>
    </row>
    <row r="326" customFormat="false" ht="15" hidden="false" customHeight="false" outlineLevel="0" collapsed="false">
      <c r="P326" s="21"/>
    </row>
    <row r="327" customFormat="false" ht="15" hidden="false" customHeight="false" outlineLevel="0" collapsed="false">
      <c r="P327" s="21"/>
    </row>
    <row r="328" customFormat="false" ht="15" hidden="false" customHeight="false" outlineLevel="0" collapsed="false">
      <c r="P328" s="21"/>
    </row>
    <row r="329" customFormat="false" ht="15" hidden="false" customHeight="false" outlineLevel="0" collapsed="false">
      <c r="P329" s="21"/>
    </row>
    <row r="330" customFormat="false" ht="15" hidden="false" customHeight="false" outlineLevel="0" collapsed="false">
      <c r="P330" s="21"/>
    </row>
    <row r="331" customFormat="false" ht="15" hidden="false" customHeight="false" outlineLevel="0" collapsed="false">
      <c r="P331" s="21"/>
    </row>
    <row r="332" customFormat="false" ht="15" hidden="false" customHeight="false" outlineLevel="0" collapsed="false">
      <c r="P332" s="21"/>
    </row>
    <row r="333" customFormat="false" ht="15" hidden="false" customHeight="false" outlineLevel="0" collapsed="false">
      <c r="P333" s="21"/>
    </row>
    <row r="334" customFormat="false" ht="15" hidden="false" customHeight="false" outlineLevel="0" collapsed="false">
      <c r="P334" s="21"/>
    </row>
    <row r="335" customFormat="false" ht="15" hidden="false" customHeight="false" outlineLevel="0" collapsed="false">
      <c r="P335" s="21"/>
    </row>
    <row r="336" customFormat="false" ht="15" hidden="false" customHeight="false" outlineLevel="0" collapsed="false">
      <c r="P336" s="21"/>
    </row>
    <row r="337" customFormat="false" ht="15" hidden="false" customHeight="false" outlineLevel="0" collapsed="false">
      <c r="P337" s="21"/>
    </row>
    <row r="338" customFormat="false" ht="15" hidden="false" customHeight="false" outlineLevel="0" collapsed="false">
      <c r="P338" s="21"/>
    </row>
    <row r="339" customFormat="false" ht="15" hidden="false" customHeight="false" outlineLevel="0" collapsed="false">
      <c r="P339" s="21"/>
    </row>
    <row r="340" customFormat="false" ht="15" hidden="false" customHeight="false" outlineLevel="0" collapsed="false">
      <c r="P340" s="21"/>
    </row>
    <row r="341" customFormat="false" ht="15" hidden="false" customHeight="false" outlineLevel="0" collapsed="false">
      <c r="P341" s="21"/>
    </row>
    <row r="342" customFormat="false" ht="15" hidden="false" customHeight="false" outlineLevel="0" collapsed="false">
      <c r="P342" s="21"/>
    </row>
    <row r="343" customFormat="false" ht="15" hidden="false" customHeight="false" outlineLevel="0" collapsed="false">
      <c r="P343" s="21"/>
    </row>
    <row r="344" customFormat="false" ht="15" hidden="false" customHeight="false" outlineLevel="0" collapsed="false">
      <c r="P344" s="21"/>
    </row>
    <row r="345" customFormat="false" ht="15" hidden="false" customHeight="false" outlineLevel="0" collapsed="false">
      <c r="P345" s="21"/>
    </row>
    <row r="346" customFormat="false" ht="15" hidden="false" customHeight="false" outlineLevel="0" collapsed="false">
      <c r="P346" s="21"/>
    </row>
    <row r="347" customFormat="false" ht="15" hidden="false" customHeight="false" outlineLevel="0" collapsed="false">
      <c r="P347" s="21"/>
    </row>
    <row r="348" customFormat="false" ht="15" hidden="false" customHeight="false" outlineLevel="0" collapsed="false">
      <c r="P348" s="21"/>
    </row>
    <row r="349" customFormat="false" ht="15" hidden="false" customHeight="false" outlineLevel="0" collapsed="false">
      <c r="P349" s="21"/>
    </row>
    <row r="350" customFormat="false" ht="15" hidden="false" customHeight="false" outlineLevel="0" collapsed="false">
      <c r="P350" s="21"/>
    </row>
    <row r="351" customFormat="false" ht="15" hidden="false" customHeight="false" outlineLevel="0" collapsed="false">
      <c r="P351" s="21"/>
    </row>
    <row r="352" customFormat="false" ht="15" hidden="false" customHeight="false" outlineLevel="0" collapsed="false">
      <c r="P352" s="21"/>
    </row>
    <row r="353" customFormat="false" ht="15" hidden="false" customHeight="false" outlineLevel="0" collapsed="false">
      <c r="P353" s="21"/>
    </row>
    <row r="354" customFormat="false" ht="15" hidden="false" customHeight="false" outlineLevel="0" collapsed="false">
      <c r="P354" s="21"/>
    </row>
    <row r="355" customFormat="false" ht="15" hidden="false" customHeight="false" outlineLevel="0" collapsed="false">
      <c r="P355" s="21"/>
    </row>
    <row r="356" customFormat="false" ht="15" hidden="false" customHeight="false" outlineLevel="0" collapsed="false">
      <c r="P356" s="21"/>
    </row>
    <row r="357" customFormat="false" ht="15" hidden="false" customHeight="false" outlineLevel="0" collapsed="false">
      <c r="P357" s="21"/>
    </row>
    <row r="358" customFormat="false" ht="15" hidden="false" customHeight="false" outlineLevel="0" collapsed="false">
      <c r="P358" s="21"/>
    </row>
    <row r="359" customFormat="false" ht="15" hidden="false" customHeight="false" outlineLevel="0" collapsed="false">
      <c r="P359" s="21"/>
    </row>
    <row r="360" customFormat="false" ht="15" hidden="false" customHeight="false" outlineLevel="0" collapsed="false">
      <c r="P360" s="21"/>
    </row>
    <row r="361" customFormat="false" ht="15" hidden="false" customHeight="false" outlineLevel="0" collapsed="false">
      <c r="P361" s="21"/>
    </row>
    <row r="362" customFormat="false" ht="15" hidden="false" customHeight="false" outlineLevel="0" collapsed="false">
      <c r="P362" s="21"/>
    </row>
    <row r="363" customFormat="false" ht="15" hidden="false" customHeight="false" outlineLevel="0" collapsed="false">
      <c r="P363" s="21"/>
    </row>
    <row r="364" customFormat="false" ht="15" hidden="false" customHeight="false" outlineLevel="0" collapsed="false">
      <c r="P364" s="21"/>
    </row>
    <row r="365" customFormat="false" ht="15" hidden="false" customHeight="false" outlineLevel="0" collapsed="false">
      <c r="P365" s="21"/>
    </row>
    <row r="366" customFormat="false" ht="15" hidden="false" customHeight="false" outlineLevel="0" collapsed="false">
      <c r="P366" s="21"/>
    </row>
    <row r="367" customFormat="false" ht="15" hidden="false" customHeight="false" outlineLevel="0" collapsed="false">
      <c r="P367" s="21"/>
    </row>
    <row r="368" customFormat="false" ht="15" hidden="false" customHeight="false" outlineLevel="0" collapsed="false">
      <c r="P368" s="21"/>
    </row>
    <row r="369" customFormat="false" ht="15" hidden="false" customHeight="false" outlineLevel="0" collapsed="false">
      <c r="P369" s="21"/>
    </row>
    <row r="370" customFormat="false" ht="15" hidden="false" customHeight="false" outlineLevel="0" collapsed="false">
      <c r="P370" s="21"/>
    </row>
    <row r="371" customFormat="false" ht="15" hidden="false" customHeight="false" outlineLevel="0" collapsed="false">
      <c r="P371" s="21"/>
    </row>
    <row r="372" customFormat="false" ht="15" hidden="false" customHeight="false" outlineLevel="0" collapsed="false">
      <c r="P372" s="21"/>
    </row>
    <row r="373" customFormat="false" ht="15" hidden="false" customHeight="false" outlineLevel="0" collapsed="false">
      <c r="P373" s="21"/>
    </row>
    <row r="374" customFormat="false" ht="15" hidden="false" customHeight="false" outlineLevel="0" collapsed="false">
      <c r="P374" s="21"/>
    </row>
    <row r="375" customFormat="false" ht="15" hidden="false" customHeight="false" outlineLevel="0" collapsed="false">
      <c r="P375" s="21"/>
    </row>
    <row r="376" customFormat="false" ht="15" hidden="false" customHeight="false" outlineLevel="0" collapsed="false">
      <c r="P376" s="21"/>
    </row>
    <row r="377" customFormat="false" ht="15" hidden="false" customHeight="false" outlineLevel="0" collapsed="false">
      <c r="P377" s="21"/>
    </row>
    <row r="378" customFormat="false" ht="15" hidden="false" customHeight="false" outlineLevel="0" collapsed="false">
      <c r="P378" s="21"/>
    </row>
    <row r="379" customFormat="false" ht="15" hidden="false" customHeight="false" outlineLevel="0" collapsed="false">
      <c r="P379" s="21"/>
    </row>
    <row r="380" customFormat="false" ht="15" hidden="false" customHeight="false" outlineLevel="0" collapsed="false">
      <c r="P380" s="21"/>
    </row>
    <row r="381" customFormat="false" ht="15" hidden="false" customHeight="false" outlineLevel="0" collapsed="false">
      <c r="P381" s="21"/>
    </row>
    <row r="382" customFormat="false" ht="15" hidden="false" customHeight="false" outlineLevel="0" collapsed="false">
      <c r="P382" s="21"/>
    </row>
    <row r="383" customFormat="false" ht="15" hidden="false" customHeight="false" outlineLevel="0" collapsed="false">
      <c r="P383" s="21"/>
    </row>
    <row r="384" customFormat="false" ht="15" hidden="false" customHeight="false" outlineLevel="0" collapsed="false">
      <c r="P384" s="21"/>
    </row>
    <row r="385" customFormat="false" ht="15" hidden="false" customHeight="false" outlineLevel="0" collapsed="false">
      <c r="P385" s="21"/>
    </row>
    <row r="386" customFormat="false" ht="15" hidden="false" customHeight="false" outlineLevel="0" collapsed="false">
      <c r="P386" s="21"/>
    </row>
    <row r="387" customFormat="false" ht="15" hidden="false" customHeight="false" outlineLevel="0" collapsed="false">
      <c r="P387" s="21"/>
    </row>
    <row r="388" customFormat="false" ht="15" hidden="false" customHeight="false" outlineLevel="0" collapsed="false">
      <c r="P388" s="21"/>
    </row>
    <row r="389" customFormat="false" ht="15" hidden="false" customHeight="false" outlineLevel="0" collapsed="false">
      <c r="P389" s="21"/>
    </row>
    <row r="390" customFormat="false" ht="15" hidden="false" customHeight="false" outlineLevel="0" collapsed="false">
      <c r="P390" s="21"/>
    </row>
    <row r="391" customFormat="false" ht="15" hidden="false" customHeight="false" outlineLevel="0" collapsed="false">
      <c r="P391" s="21"/>
    </row>
    <row r="392" customFormat="false" ht="15" hidden="false" customHeight="false" outlineLevel="0" collapsed="false">
      <c r="P392" s="21"/>
    </row>
    <row r="393" customFormat="false" ht="15" hidden="false" customHeight="false" outlineLevel="0" collapsed="false">
      <c r="P393" s="21"/>
    </row>
    <row r="394" customFormat="false" ht="15" hidden="false" customHeight="false" outlineLevel="0" collapsed="false">
      <c r="P394" s="21"/>
    </row>
    <row r="395" customFormat="false" ht="15" hidden="false" customHeight="false" outlineLevel="0" collapsed="false">
      <c r="P395" s="21"/>
    </row>
    <row r="396" customFormat="false" ht="15" hidden="false" customHeight="false" outlineLevel="0" collapsed="false">
      <c r="P396" s="21"/>
    </row>
    <row r="397" customFormat="false" ht="15" hidden="false" customHeight="false" outlineLevel="0" collapsed="false">
      <c r="P397" s="21"/>
    </row>
    <row r="398" customFormat="false" ht="15" hidden="false" customHeight="false" outlineLevel="0" collapsed="false">
      <c r="P398" s="21"/>
    </row>
    <row r="399" customFormat="false" ht="15" hidden="false" customHeight="false" outlineLevel="0" collapsed="false">
      <c r="P399" s="21"/>
    </row>
    <row r="400" customFormat="false" ht="15" hidden="false" customHeight="false" outlineLevel="0" collapsed="false">
      <c r="P400" s="21"/>
    </row>
    <row r="401" customFormat="false" ht="15" hidden="false" customHeight="false" outlineLevel="0" collapsed="false">
      <c r="P401" s="21"/>
    </row>
    <row r="402" customFormat="false" ht="15" hidden="false" customHeight="false" outlineLevel="0" collapsed="false">
      <c r="P402" s="21"/>
    </row>
    <row r="403" customFormat="false" ht="15" hidden="false" customHeight="false" outlineLevel="0" collapsed="false">
      <c r="P403" s="21"/>
    </row>
    <row r="404" customFormat="false" ht="15" hidden="false" customHeight="false" outlineLevel="0" collapsed="false">
      <c r="P404" s="21"/>
    </row>
    <row r="405" customFormat="false" ht="15" hidden="false" customHeight="false" outlineLevel="0" collapsed="false">
      <c r="P405" s="21"/>
    </row>
    <row r="406" customFormat="false" ht="15" hidden="false" customHeight="false" outlineLevel="0" collapsed="false">
      <c r="P406" s="21"/>
    </row>
    <row r="407" customFormat="false" ht="15" hidden="false" customHeight="false" outlineLevel="0" collapsed="false">
      <c r="P407" s="21"/>
    </row>
    <row r="408" customFormat="false" ht="15" hidden="false" customHeight="false" outlineLevel="0" collapsed="false">
      <c r="P408" s="21"/>
    </row>
    <row r="409" customFormat="false" ht="15" hidden="false" customHeight="false" outlineLevel="0" collapsed="false">
      <c r="P409" s="21"/>
    </row>
    <row r="410" customFormat="false" ht="15" hidden="false" customHeight="false" outlineLevel="0" collapsed="false">
      <c r="P410" s="21"/>
    </row>
    <row r="411" customFormat="false" ht="15" hidden="false" customHeight="false" outlineLevel="0" collapsed="false">
      <c r="P411" s="21"/>
    </row>
    <row r="412" customFormat="false" ht="15" hidden="false" customHeight="false" outlineLevel="0" collapsed="false">
      <c r="P412" s="21"/>
    </row>
    <row r="413" customFormat="false" ht="15" hidden="false" customHeight="false" outlineLevel="0" collapsed="false">
      <c r="P413" s="21"/>
    </row>
    <row r="414" customFormat="false" ht="15" hidden="false" customHeight="false" outlineLevel="0" collapsed="false">
      <c r="P414" s="21"/>
    </row>
    <row r="415" customFormat="false" ht="15" hidden="false" customHeight="false" outlineLevel="0" collapsed="false">
      <c r="P415" s="21"/>
    </row>
    <row r="416" customFormat="false" ht="15" hidden="false" customHeight="false" outlineLevel="0" collapsed="false">
      <c r="P416" s="21"/>
    </row>
    <row r="417" customFormat="false" ht="15" hidden="false" customHeight="false" outlineLevel="0" collapsed="false">
      <c r="P417" s="21"/>
    </row>
    <row r="418" customFormat="false" ht="15" hidden="false" customHeight="false" outlineLevel="0" collapsed="false">
      <c r="P418" s="21"/>
    </row>
    <row r="419" customFormat="false" ht="15" hidden="false" customHeight="false" outlineLevel="0" collapsed="false">
      <c r="P419" s="21"/>
    </row>
    <row r="420" customFormat="false" ht="15" hidden="false" customHeight="false" outlineLevel="0" collapsed="false">
      <c r="P420" s="21"/>
    </row>
    <row r="421" customFormat="false" ht="15" hidden="false" customHeight="false" outlineLevel="0" collapsed="false">
      <c r="P421" s="21"/>
    </row>
    <row r="422" customFormat="false" ht="15" hidden="false" customHeight="false" outlineLevel="0" collapsed="false">
      <c r="P422" s="21"/>
    </row>
    <row r="423" customFormat="false" ht="15" hidden="false" customHeight="false" outlineLevel="0" collapsed="false">
      <c r="P423" s="21"/>
    </row>
    <row r="424" customFormat="false" ht="15" hidden="false" customHeight="false" outlineLevel="0" collapsed="false">
      <c r="P424" s="21"/>
    </row>
    <row r="425" customFormat="false" ht="15" hidden="false" customHeight="false" outlineLevel="0" collapsed="false">
      <c r="P425" s="21"/>
    </row>
  </sheetData>
  <autoFilter ref="A1:P225"/>
  <conditionalFormatting sqref="A2:A225">
    <cfRule type="cellIs" priority="2" operator="equal" aboveAverage="0" equalAverage="0" bottom="0" percent="0" rank="0" text="" dxfId="9">
      <formula>5</formula>
    </cfRule>
    <cfRule type="cellIs" priority="3" operator="equal" aboveAverage="0" equalAverage="0" bottom="0" percent="0" rank="0" text="" dxfId="10">
      <formula>4</formula>
    </cfRule>
  </conditionalFormatting>
  <conditionalFormatting sqref="L2:L225">
    <cfRule type="cellIs" priority="4" operator="equal" aboveAverage="0" equalAverage="0" bottom="0" percent="0" rank="0" text="" dxfId="11">
      <formula>"N"</formula>
    </cfRule>
  </conditionalFormatting>
  <conditionalFormatting sqref="N2:N225">
    <cfRule type="cellIs" priority="5" operator="equal" aboveAverage="0" equalAverage="0" bottom="0" percent="0" rank="0" text="" dxfId="12">
      <formula>"Partner"</formula>
    </cfRule>
    <cfRule type="cellIs" priority="6" operator="equal" aboveAverage="0" equalAverage="0" bottom="0" percent="0" rank="0" text="" dxfId="13">
      <formula>"Declined"</formula>
    </cfRule>
  </conditionalFormatting>
  <dataValidations count="2">
    <dataValidation allowBlank="true" error="Pick a status from the list" errorStyle="stop" errorTitle="Status" operator="between" prompt="Not started / Contacted / Applied / Booked / Partner / Declined" promptTitle="Status" showDropDown="false" showErrorMessage="true" showInputMessage="true" sqref="N2:N425" type="list">
      <formula1>"Not started,Contacted,Applied,Booked,Partner,Declined"</formula1>
      <formula2>0</formula2>
    </dataValidation>
    <dataValidation allowBlank="true" error="Enter a date (yyyy-mm-dd)" errorStyle="stop" operator="greaterThan" showDropDown="false" showErrorMessage="true" showInputMessage="false" sqref="P2:P425" type="date">
      <formula1>DATE(2026,1,1)</formula1>
      <formula2>0</formula2>
    </dataValidation>
  </dataValidations>
  <hyperlinks>
    <hyperlink ref="K2" r:id="rId1" display="https://www.naeyc.org/get-involved/membership/affiliates/network"/>
    <hyperlink ref="K3" r:id="rId2" display="https://nafcc.org/conference/sponsors-and-exhibitors/"/>
    <hyperlink ref="K4" r:id="rId3" display="https://www.ibpa-online.org"/>
    <hyperlink ref="K5" r:id="rId4" display="https://www.ptotoday.com"/>
    <hyperlink ref="K6" r:id="rId5" display="https://waldorfearlychildhood.org"/>
    <hyperlink ref="K7" r:id="rId6" display="https://www.pacey.org.uk"/>
    <hyperlink ref="K8" r:id="rId7" display="https://www.aimsmddc.org"/>
    <hyperlink ref="K9" r:id="rId8" display="https://mdaeyc.org/"/>
    <hyperlink ref="K10" r:id="rId9" display="https://www.mdlib.org"/>
    <hyperlink ref="K11" r:id="rId10" display="https://www.msfcca.org/annualconference"/>
    <hyperlink ref="K12" r:id="rId11" display="https://parentsasteachers.org/upcoming-events/"/>
    <hyperlink ref="K13" r:id="rId12" display="https://nhsa.org/our-work/state-regional-associations/"/>
    <hyperlink ref="K14" r:id="rId13" display="https://1000booksbeforekindergarten.org"/>
    <hyperlink ref="K15" r:id="rId14" display="https://www.ala.org/aasl"/>
    <hyperlink ref="K16" r:id="rId15" display="https://amshq.org/event/the-montessori-event-2027/"/>
    <hyperlink ref="K17" r:id="rId16" display="https://www.earlylearningleaders.org/vendor/conference-exhibits-and-sponsorships/"/>
    <hyperlink ref="K18" r:id="rId17" display="https://www.ala.org/alsc"/>
    <hyperlink ref="K19" r:id="rId18" display="https://www.erafans.org/"/>
    <hyperlink ref="K20" r:id="rId19" display="https://classwallet.com"/>
    <hyperlink ref="K21" r:id="rId20" display="https://exchangepress.com/"/>
    <hyperlink ref="K22" r:id="rId21" display="https://greathomeschoolconventions.com"/>
    <hyperlink ref="K23" r:id="rId22" display="https://www.juniorlibraryguild.com/publishers"/>
    <hyperlink ref="K24" r:id="rId23" display="https://www.childcareaware.org/resources/ccrr-search/"/>
    <hyperlink ref="K25" r:id="rId24" display="https://home.mackin.com/publisher-showcase/"/>
    <hyperlink ref="K26" r:id="rId25" display="https://www.naeyc.org/events/annual/exhibiting-and-advertising"/>
    <hyperlink ref="K27" r:id="rId26" display="https://www.nais.org"/>
    <hyperlink ref="K28" r:id="rId27" display="https://www.naesp.org"/>
    <hyperlink ref="K29" r:id="rId28" display="https://nhsa.org/conference/national-head-start-conference-and-expo/"/>
    <hyperlink ref="K30" r:id="rId29" display="https://microschoolingcenter.org"/>
    <hyperlink ref="K31" r:id="rId30" display="https://naturalstart.org/"/>
    <hyperlink ref="K32" r:id="rId31" display="https://withodyssey.com"/>
    <hyperlink ref="K33" r:id="rId32" display="https://www.zerotothree.org/learn-conference/"/>
    <hyperlink ref="K34" r:id="rId33" display="https://www.bewildandfree.org"/>
    <hyperlink ref="K35" r:id="rId34" display="https://www.1000hoursoutside.com"/>
    <hyperlink ref="K36" r:id="rId35" display="https://www.follettcontent.com"/>
    <hyperlink ref="K37" r:id="rId36" display="https://www.homeschoolbuyersco-op.org"/>
    <hyperlink ref="K38" r:id="rId37" display="https://www.familieslearning.org/"/>
    <hyperlink ref="K39" r:id="rId38" display="https://www.playgroupaustralia.org.au"/>
    <hyperlink ref="K40" r:id="rId39" display="https://www.earlychildhoodaustralia.org.au"/>
    <hyperlink ref="K41" r:id="rId40" display="https://www.earlychildhoodireland.ie"/>
    <hyperlink ref="K42" r:id="rId41" display="https://www.eyalliance.org.uk"/>
    <hyperlink ref="K43" r:id="rId42" display="https://www.familydaycare.com.au"/>
    <hyperlink ref="K44" r:id="rId43" display="https://www.nurseryworld.co.uk"/>
    <hyperlink ref="K45" r:id="rId44" display="https://www.teachwire.net"/>
    <hyperlink ref="K46" r:id="rId45" display="https://www.seca.info/exhibits"/>
    <hyperlink ref="K47" r:id="rId46" display="https://www.dcaeyc.org/"/>
    <hyperlink ref="K48" r:id="rId47" display="https://heav.org"/>
    <hyperlink ref="K49" r:id="rId48" display="https://maespmd.org"/>
    <hyperlink ref="K50" r:id="rId49" display="https://www.maslmd.org"/>
    <hyperlink ref="K51" r:id="rId50" display="https://marylandfamilynetwork.org/our-work/child-care-resource-network/"/>
    <hyperlink ref="K52" r:id="rId51" display="https://mscca.org/event/conference-by-the-sea/"/>
    <hyperlink ref="K53" r:id="rId52" display="https://vaaeyc.org/events/annual-conference/"/>
    <hyperlink ref="K54" r:id="rId53" display="https://mdearlychildhoodconference.com/"/>
    <hyperlink ref="K55" r:id="rId54" display="https://fpea.com"/>
    <hyperlink ref="K56" r:id="rId55" display="https://www.md-hsa.org/"/>
    <hyperlink ref="K57" r:id="rId56" display="https://www.somla.online"/>
    <hyperlink ref="K58" r:id="rId57" display="https://www.thereadingleague.org"/>
    <hyperlink ref="K59" r:id="rId58" display="https://www.publicwaldorf.org/annualconference"/>
    <hyperlink ref="K60" r:id="rId59" display="https://www.schoolcounselor.org"/>
    <hyperlink ref="K61" r:id="rId60" display="https://www.acsi.org"/>
    <hyperlink ref="K62" r:id="rId61" display="https://www.booklistonline.com"/>
    <hyperlink ref="K63" r:id="rId62" display="https://www.childcareaware.org/"/>
    <hyperlink ref="K64" r:id="rId63" display="https://cbcbooks.org"/>
    <hyperlink ref="K65" r:id="rId64" display="https://earlychildhoodchristiannetwork.com/conferences-3/"/>
    <hyperlink ref="K66" r:id="rId65" display="https://www.earlychildhoodinvestigations.com/"/>
    <hyperlink ref="K67" r:id="rId66" display="https://ecerjevents.com/"/>
    <hyperlink ref="K68" r:id="rId67" display="https://www.hippyus.org/conference/"/>
    <hyperlink ref="K69" r:id="rId68" display="https://www.kirkusreviews.com/indie-reviews/"/>
    <hyperlink ref="K70" r:id="rId69" display="https://www.arteducators.org"/>
    <hyperlink ref="K71" r:id="rId70" display="https://www.episcopalschools.org"/>
    <hyperlink ref="K72" r:id="rId71" display="https://ncea.org"/>
    <hyperlink ref="K73" r:id="rId72" display="https://www.public-montessori.org/"/>
    <hyperlink ref="K74" r:id="rId73" display="https://www.pta.org"/>
    <hyperlink ref="K75" r:id="rId74" display="https://www.reggioalliance.org/conferences/"/>
    <hyperlink ref="K76" r:id="rId75" display="https://prizmah.org"/>
    <hyperlink ref="K77" r:id="rId76" display="https://www.placonference.org"/>
    <hyperlink ref="K78" r:id="rId77" display="https://www.slj.com"/>
    <hyperlink ref="K79" r:id="rId78" display="https://screenfree.org"/>
    <hyperlink ref="K80" r:id="rId79" display="https://www.startearly.org/event/home-visiting-summit/sponsorship/"/>
    <hyperlink ref="K81" r:id="rId80" display="https://www.weareteachers.com/advertise-with-weareteachers/"/>
    <hyperlink ref="K82" r:id="rId81" display="https://2027.alaannual.org"/>
    <hyperlink ref="K83" r:id="rId82" display="https://www.amiusa.org/event/the-2027-montessori-experience-refresher-courses-and-more"/>
    <hyperlink ref="K84" r:id="rId83" display="https://mo.lcms.org/early-childhood-conferences/"/>
    <hyperlink ref="K85" r:id="rId84" display="https://convention.ncte.org"/>
    <hyperlink ref="K86" r:id="rId85" display="https://www.allprodad.com"/>
    <hyperlink ref="K87" r:id="rId86" display="https://bluestarfam.org"/>
    <hyperlink ref="K88" r:id="rId87" display="https://www.healthyfamiliesamerica.org/"/>
    <hyperlink ref="K89" r:id="rId88" display="https://www.themom.co"/>
    <hyperlink ref="K90" r:id="rId89" display="https://www.multiplesofamerica.org"/>
    <hyperlink ref="K91" r:id="rId90" display="https://www.nbcdi.org/"/>
    <hyperlink ref="K92" r:id="rId91" display="https://www.ap-od.org"/>
    <hyperlink ref="K93" r:id="rId92" display="https://www.asymca.org"/>
    <hyperlink ref="K94" r:id="rId93" display="https://www.waldorfeducation.org/"/>
    <hyperlink ref="K95" r:id="rId94" display="https://www.cobis.org.uk"/>
    <hyperlink ref="K96" r:id="rId95" display="https://dey.org/"/>
    <hyperlink ref="K97" r:id="rId96" display="https://firstbook.org/partners/"/>
    <hyperlink ref="K98" r:id="rId97" display="https://www.homeschool.com"/>
    <hyperlink ref="K99" r:id="rId98" display="https://hslda.org"/>
    <hyperlink ref="K100" r:id="rId99" display="https://www.militarychild.org"/>
    <hyperlink ref="K101" r:id="rId100" display="https://www.nafsce.org"/>
    <hyperlink ref="K102" r:id="rId101" display="https://www.nationaldayofunplugging.com"/>
    <hyperlink ref="K103" r:id="rId102" display="https://www.nihsda.org/"/>
    <hyperlink ref="K104" r:id="rId103" display="https://www.nmshsa.org/"/>
    <hyperlink ref="K105" r:id="rId104" display="https://www.operationhomefront.org"/>
    <hyperlink ref="K106" r:id="rId105" display="https://www.seahomeschoolers.com"/>
    <hyperlink ref="K107" r:id="rId106" display="https://www.teachthemdiligently.net"/>
    <hyperlink ref="K108" r:id="rId107" display="https://www.theoldschoolhouse.com"/>
    <hyperlink ref="K109" r:id="rId108" display="https://usplaycoalition.org/"/>
    <hyperlink ref="K110" r:id="rId109" display="https://childcarealliance.org.au"/>
    <hyperlink ref="K111" r:id="rId110" display="https://www.childminding.ie"/>
    <hyperlink ref="K112" r:id="rId111" display="https://www.cela.org.au"/>
    <hyperlink ref="K113" r:id="rId112" display="https://www.ecc.org.nz"/>
    <hyperlink ref="K114" r:id="rId113" display="https://early-education.org.uk"/>
    <hyperlink ref="K115" r:id="rId114" display="https://earlyyearsscotland.org"/>
    <hyperlink ref="K116" r:id="rId115" display="https://frp.ca"/>
    <hyperlink ref="K117" r:id="rId116" display="https://www.ippn.ie"/>
    <hyperlink ref="K118" r:id="rId117" display="https://www.montessori.org.uk"/>
    <hyperlink ref="K119" r:id="rId118" display="https://ndna.org.uk"/>
    <hyperlink ref="K120" r:id="rId119" display="https://www.nicma.org"/>
    <hyperlink ref="K121" r:id="rId120" display="https://www.parenta.com"/>
    <hyperlink ref="K122" r:id="rId121" display="https://www.parentkind.org.uk"/>
    <hyperlink ref="K123" r:id="rId122" display="https://www.playcentre.org.nz"/>
    <hyperlink ref="K124" r:id="rId123" display="https://www.childminding.org"/>
    <hyperlink ref="K125" r:id="rId124" display="https://www.ecnz.ac.nz"/>
    <hyperlink ref="K126" r:id="rId125" display="https://thesector.com.au"/>
    <hyperlink ref="K127" r:id="rId126" display="https://adwcatholicschools.org"/>
    <hyperlink ref="K128" r:id="rId127" display="https://www.archbalt.org/schools/"/>
    <hyperlink ref="K129" r:id="rId128" display="https://www.palibraries.org"/>
    <hyperlink ref="K130" r:id="rId129" display="https://www.vla.org"/>
    <hyperlink ref="K131" r:id="rId130" display="https://californiakindergartenassociation.org"/>
    <hyperlink ref="K132" r:id="rId131" display="https://www.mscaonline.org"/>
    <hyperlink ref="K133" r:id="rId132" display="https://www.wastatepta.org"/>
    <hyperlink ref="K134" r:id="rId133" display="https://www.afhe.org"/>
    <hyperlink ref="K135" r:id="rId134" display="https://www.capta.org"/>
    <hyperlink ref="K136" r:id="rId135" display="https://www.cheaofca.org"/>
    <hyperlink ref="K137" r:id="rId136" display="https://first5association.org/"/>
    <hyperlink ref="K138" r:id="rId137" display="https://www.floridapta.org"/>
    <hyperlink ref="K139" r:id="rId138" display="https://www.hsc.org"/>
    <hyperlink ref="K140" r:id="rId139" display="https://www.machemd.org"/>
    <hyperlink ref="K141" r:id="rId140" display="https://www.marylandarted.org"/>
    <hyperlink ref="K142" r:id="rId141" display="https://nyspta.org"/>
    <hyperlink ref="K143" r:id="rId142" display="https://thsc.org"/>
    <hyperlink ref="K144" r:id="rId143" display="https://www.txpta.org"/>
    <hyperlink ref="K145" r:id="rId144" display="https://www.vapta.org"/>
    <hyperlink ref="K146" r:id="rId145" display="https://www.chaponline.com"/>
    <hyperlink ref="K147" r:id="rId146" display="https://www.chec.org"/>
    <hyperlink ref="K148" r:id="rId147" display="https://www.nche.com"/>
    <hyperlink ref="K149" r:id="rId148" display="https://conference.txla.org"/>
    <hyperlink ref="K150" r:id="rId149" display="https://www.ecebc.ca"/>
    <hyperlink ref="K151" r:id="rId150" display="https://elaa.org.au"/>
    <hyperlink ref="K152" r:id="rId151" display="https://accessola.com"/>
    <hyperlink ref="K153" r:id="rId152" display="https://www.edutopia.org/about/your-turn-write-us"/>
    <hyperlink ref="K154" r:id="rId153" display="https://www.getyourteachon.com/sponsors"/>
    <hyperlink ref="K155" r:id="rId154" display="https://jcca.org/signature-programs-and-events/jsummit/"/>
    <hyperlink ref="K156" r:id="rId155" display="https://publiccharters.org/conference/"/>
    <hyperlink ref="K157" r:id="rId156" display="https://www.registryalliance.org/"/>
    <hyperlink ref="K158" r:id="rId157" display="https://www.scholastic.com/profmedia/mediakit/rates.htm"/>
    <hyperlink ref="K159" r:id="rId158" display="https://www.shapeamerica.org"/>
    <hyperlink ref="K160" r:id="rId159" display="https://montessori-ami.org"/>
    <hyperlink ref="K161" r:id="rId160" display="https://www.kdp.org"/>
    <hyperlink ref="K162" r:id="rId161" display="https://www.mochamoms.org"/>
    <hyperlink ref="K163" r:id="rId162" display="https://www.momsclub.org"/>
    <hyperlink ref="K164" r:id="rId163" display="https://www.screensanity.org"/>
    <hyperlink ref="K165" r:id="rId164" display="https://unidosus.org"/>
    <hyperlink ref="K166" r:id="rId165" display="https://aacte.org"/>
    <hyperlink ref="K167" r:id="rId166" display="https://www.actionforhealthykids.org"/>
    <hyperlink ref="K168" r:id="rId167" display="https://ceinternational1892.org"/>
    <hyperlink ref="K169" r:id="rId168" display="https://www.childrenandnature.org"/>
    <hyperlink ref="K170" r:id="rId169" display="https://www.colorincolorado.org"/>
    <hyperlink ref="K171" r:id="rId170" display="https://www.decsped.org/"/>
    <hyperlink ref="K172" r:id="rId171" display="https://www.ecis.org"/>
    <hyperlink ref="K173" r:id="rId172" display="https://www.eecera.org"/>
    <hyperlink ref="K174" r:id="rId173" display="https://www.gu.org"/>
    <hyperlink ref="K175" r:id="rId174" display="https://www.kaipodlearning.com"/>
    <hyperlink ref="K176" r:id="rId175" display="https://letgrow.org"/>
    <hyperlink ref="K177" r:id="rId176" display="https://fathers.com"/>
    <hyperlink ref="K178" r:id="rId177" display="https://www.fatherhood.org"/>
    <hyperlink ref="K179" r:id="rId178" display="https://www.militaryfamily.org"/>
    <hyperlink ref="K180" r:id="rId179" display="https://omepworld.org"/>
    <hyperlink ref="K181" r:id="rId180" display="https://www.piqe.org"/>
    <hyperlink ref="K182" r:id="rId181" display="https://www.nesacenter.org"/>
    <hyperlink ref="K183" r:id="rId182" display="https://www.screenstrong.org"/>
    <hyperlink ref="K184" r:id="rId183" display="https://www.smartphonefreechildhoodus.com"/>
    <hyperlink ref="K185" r:id="rId184" display="https://anxiousgeneration.com"/>
    <hyperlink ref="K186" r:id="rId185" display="https://www.waituntil8th.org"/>
    <hyperlink ref="K187" r:id="rId186" display="https://www.wildflowerschools.org"/>
    <hyperlink ref="K188" r:id="rId187" display="https://www.literacyworldwide.org"/>
    <hyperlink ref="K189" r:id="rId188" display="https://smartphonefreechildhood.co.uk"/>
    <hyperlink ref="K190" r:id="rId189" display="https://www.waece.org"/>
    <hyperlink ref="K191" r:id="rId190" display="https://www.alia.org.au"/>
    <hyperlink ref="K192" r:id="rId191" display="https://asla.org.au"/>
    <hyperlink ref="K193" r:id="rId192" display="https://www.childcareexpo.co.uk"/>
    <hyperlink ref="K194" r:id="rId193" display="https://childrensbooksireland.ie"/>
    <hyperlink ref="K195" r:id="rId194" display="https://www.cilip.org.uk"/>
    <hyperlink ref="K196" r:id="rId195" display="https://www.earcos.org"/>
    <hyperlink ref="K197" r:id="rId196" display="https://www.early-years.org"/>
    <hyperlink ref="K198" r:id="rId197" display="https://www.earlyyears.wales"/>
    <hyperlink ref="K199" r:id="rId198" display="https://www.fcbg.org.uk"/>
    <hyperlink ref="K200" r:id="rId199" display="https://forestschoolassociation.org"/>
    <hyperlink ref="K201" r:id="rId200" display="https://www.lianza.org.nz"/>
    <hyperlink ref="K202" r:id="rId201" display="https://literacytrust.org.uk"/>
    <hyperlink ref="K203" r:id="rId202" display="https://www.npc.ie"/>
    <hyperlink ref="K204" r:id="rId203" display="https://www.sla.org.uk"/>
    <hyperlink ref="K205" r:id="rId204" display="https://www.steinerwaldorf.org"/>
    <hyperlink ref="K206" r:id="rId205" display="https://ukla.org"/>
    <hyperlink ref="K207" r:id="rId206" display="https://www.fil.com.mx"/>
    <hyperlink ref="K208" r:id="rId207" display="https://graduate.bankstreet.edu/educator-resources/conferences-institutes/kindergarten-conference/"/>
    <hyperlink ref="K209" r:id="rId208" display="https://www.marylandfamilynetwork.org/for-providers-training/maryland-child-care-training-calendar-0"/>
    <hyperlink ref="K210" r:id="rId209" display="https://www.familiesinschools.org"/>
    <hyperlink ref="K211" r:id="rId210" display="https://www.illinoispta.org"/>
    <hyperlink ref="K212" r:id="rId211" display="https://mdcharters.org"/>
    <hyperlink ref="K213" r:id="rId212" display="https://www.papta.org"/>
    <hyperlink ref="K214" r:id="rId213" display="https://www.aeceo.ca"/>
    <hyperlink ref="K215" r:id="rId214" display="https://www.aqcpe.com"/>
    <hyperlink ref="K216" r:id="rId215" display="https://www.cccinc.org.au"/>
    <hyperlink ref="K217" r:id="rId216" display="https://www.parentsvictoria.asn.au"/>
    <hyperlink ref="K218" r:id="rId217" display="https://www.iaswece.org"/>
    <hyperlink ref="K219" r:id="rId218" display="https://www.booktrust.org.uk"/>
    <hyperlink ref="K220" r:id="rId219" display="https://www.cccf-fcsge.ca"/>
    <hyperlink ref="K221" r:id="rId220" display="https://cfla-fcab.ca"/>
    <hyperlink ref="K222" r:id="rId221" display="https://canadianhomeandschool.ca"/>
    <hyperlink ref="K223" r:id="rId222" display="https://www.ceapa.es"/>
    <hyperlink ref="K224" r:id="rId223" display="https://omepworld.org"/>
    <hyperlink ref="K225" r:id="rId224" display="https://www.mdpta.org"/>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2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34"/>
    <col collapsed="false" customWidth="true" hidden="false" outlineLevel="0" max="6" min="6" style="0" width="38"/>
    <col collapsed="false" customWidth="true" hidden="false" outlineLevel="0" max="7" min="7" style="0" width="32"/>
    <col collapsed="false" customWidth="true" hidden="false" outlineLevel="0" max="8" min="8" style="0" width="28"/>
    <col collapsed="false" customWidth="true" hidden="false" outlineLevel="0" max="9" min="9" style="0" width="40"/>
    <col collapsed="false" customWidth="true" hidden="false" outlineLevel="0" max="11" min="10" style="0" width="32"/>
    <col collapsed="false" customWidth="true" hidden="false" outlineLevel="0" max="12" min="12" style="0" width="11"/>
    <col collapsed="false" customWidth="true" hidden="false" outlineLevel="0" max="13" min="13" style="0" width="70"/>
    <col collapsed="false" customWidth="true" hidden="false" outlineLevel="0" max="14" min="14" style="0" width="14"/>
    <col collapsed="false" customWidth="true" hidden="false" outlineLevel="0" max="15" min="15" style="0" width="42"/>
    <col collapsed="false" customWidth="true" hidden="false" outlineLevel="0" max="16" min="16" style="0" width="12"/>
  </cols>
  <sheetData>
    <row r="1" customFormat="false" ht="30" hidden="false" customHeight="true" outlineLevel="0" collapsed="false">
      <c r="A1" s="6" t="s">
        <v>45</v>
      </c>
      <c r="B1" s="5" t="s">
        <v>46</v>
      </c>
      <c r="C1" s="5" t="s">
        <v>47</v>
      </c>
      <c r="D1" s="5" t="s">
        <v>48</v>
      </c>
      <c r="E1" s="5" t="s">
        <v>49</v>
      </c>
      <c r="F1" s="5" t="s">
        <v>50</v>
      </c>
      <c r="G1" s="5" t="s">
        <v>51</v>
      </c>
      <c r="H1" s="5" t="s">
        <v>52</v>
      </c>
      <c r="I1" s="5" t="s">
        <v>53</v>
      </c>
      <c r="J1" s="5" t="s">
        <v>54</v>
      </c>
      <c r="K1" s="5" t="s">
        <v>55</v>
      </c>
      <c r="L1" s="6" t="s">
        <v>56</v>
      </c>
      <c r="M1" s="5" t="s">
        <v>57</v>
      </c>
      <c r="N1" s="5" t="s">
        <v>58</v>
      </c>
      <c r="O1" s="5" t="s">
        <v>59</v>
      </c>
      <c r="P1" s="6" t="s">
        <v>60</v>
      </c>
    </row>
    <row r="2" customFormat="false" ht="54.75" hidden="false" customHeight="true" outlineLevel="0" collapsed="false">
      <c r="A2" s="15" t="n">
        <v>5</v>
      </c>
      <c r="B2" s="16" t="s">
        <v>61</v>
      </c>
      <c r="C2" s="17" t="s">
        <v>62</v>
      </c>
      <c r="D2" s="17" t="s">
        <v>63</v>
      </c>
      <c r="E2" s="17" t="s">
        <v>64</v>
      </c>
      <c r="F2" s="17" t="s">
        <v>65</v>
      </c>
      <c r="G2" s="17" t="s">
        <v>66</v>
      </c>
      <c r="H2" s="17" t="s">
        <v>67</v>
      </c>
      <c r="I2" s="17" t="s">
        <v>68</v>
      </c>
      <c r="J2" s="17" t="s">
        <v>69</v>
      </c>
      <c r="K2" s="18" t="s">
        <v>70</v>
      </c>
      <c r="L2" s="15" t="s">
        <v>71</v>
      </c>
      <c r="M2" s="17" t="s">
        <v>2026</v>
      </c>
      <c r="N2" s="19" t="s">
        <v>73</v>
      </c>
      <c r="O2" s="19" t="s">
        <v>74</v>
      </c>
      <c r="P2" s="20"/>
    </row>
    <row r="3" customFormat="false" ht="67.5" hidden="false" customHeight="true" outlineLevel="0" collapsed="false">
      <c r="A3" s="15" t="n">
        <v>5</v>
      </c>
      <c r="B3" s="16" t="s">
        <v>75</v>
      </c>
      <c r="C3" s="17" t="s">
        <v>76</v>
      </c>
      <c r="D3" s="17" t="s">
        <v>77</v>
      </c>
      <c r="E3" s="17" t="s">
        <v>78</v>
      </c>
      <c r="F3" s="17" t="s">
        <v>79</v>
      </c>
      <c r="G3" s="17" t="s">
        <v>80</v>
      </c>
      <c r="H3" s="17" t="s">
        <v>81</v>
      </c>
      <c r="I3" s="17" t="s">
        <v>82</v>
      </c>
      <c r="J3" s="17" t="s">
        <v>83</v>
      </c>
      <c r="K3" s="18" t="s">
        <v>84</v>
      </c>
      <c r="L3" s="15" t="s">
        <v>71</v>
      </c>
      <c r="M3" s="17" t="s">
        <v>2027</v>
      </c>
      <c r="N3" s="19" t="s">
        <v>73</v>
      </c>
      <c r="O3" s="19" t="s">
        <v>86</v>
      </c>
      <c r="P3" s="20"/>
    </row>
    <row r="4" customFormat="false" ht="42" hidden="false" customHeight="true" outlineLevel="0" collapsed="false">
      <c r="A4" s="15" t="n">
        <v>5</v>
      </c>
      <c r="B4" s="16" t="s">
        <v>145</v>
      </c>
      <c r="C4" s="17" t="s">
        <v>111</v>
      </c>
      <c r="D4" s="17" t="s">
        <v>146</v>
      </c>
      <c r="E4" s="17" t="s">
        <v>147</v>
      </c>
      <c r="F4" s="17" t="s">
        <v>148</v>
      </c>
      <c r="G4" s="17" t="s">
        <v>149</v>
      </c>
      <c r="H4" s="17" t="s">
        <v>150</v>
      </c>
      <c r="I4" s="17" t="s">
        <v>151</v>
      </c>
      <c r="J4" s="17" t="s">
        <v>152</v>
      </c>
      <c r="K4" s="18" t="s">
        <v>153</v>
      </c>
      <c r="L4" s="15" t="s">
        <v>71</v>
      </c>
      <c r="M4" s="17" t="s">
        <v>2028</v>
      </c>
      <c r="N4" s="19" t="s">
        <v>73</v>
      </c>
      <c r="O4" s="19" t="s">
        <v>155</v>
      </c>
      <c r="P4" s="20"/>
    </row>
    <row r="5" customFormat="false" ht="54.75" hidden="false" customHeight="true" outlineLevel="0" collapsed="false">
      <c r="A5" s="15" t="n">
        <v>5</v>
      </c>
      <c r="B5" s="16" t="s">
        <v>167</v>
      </c>
      <c r="C5" s="17" t="s">
        <v>76</v>
      </c>
      <c r="D5" s="17" t="s">
        <v>146</v>
      </c>
      <c r="E5" s="17" t="s">
        <v>168</v>
      </c>
      <c r="F5" s="17" t="s">
        <v>169</v>
      </c>
      <c r="G5" s="17" t="s">
        <v>170</v>
      </c>
      <c r="H5" s="17" t="s">
        <v>171</v>
      </c>
      <c r="I5" s="17" t="s">
        <v>172</v>
      </c>
      <c r="J5" s="17" t="s">
        <v>173</v>
      </c>
      <c r="K5" s="18" t="s">
        <v>174</v>
      </c>
      <c r="L5" s="15" t="s">
        <v>71</v>
      </c>
      <c r="M5" s="17" t="s">
        <v>2029</v>
      </c>
      <c r="N5" s="19" t="s">
        <v>73</v>
      </c>
      <c r="O5" s="19" t="s">
        <v>176</v>
      </c>
      <c r="P5" s="20"/>
    </row>
    <row r="6" customFormat="false" ht="67.5" hidden="false" customHeight="true" outlineLevel="0" collapsed="false">
      <c r="A6" s="15" t="n">
        <v>4</v>
      </c>
      <c r="B6" s="16" t="s">
        <v>177</v>
      </c>
      <c r="C6" s="17" t="s">
        <v>178</v>
      </c>
      <c r="D6" s="17" t="s">
        <v>179</v>
      </c>
      <c r="E6" s="17" t="s">
        <v>180</v>
      </c>
      <c r="F6" s="17" t="s">
        <v>181</v>
      </c>
      <c r="G6" s="17" t="s">
        <v>182</v>
      </c>
      <c r="H6" s="17" t="s">
        <v>183</v>
      </c>
      <c r="I6" s="17" t="s">
        <v>184</v>
      </c>
      <c r="J6" s="17" t="s">
        <v>185</v>
      </c>
      <c r="K6" s="18" t="s">
        <v>186</v>
      </c>
      <c r="L6" s="15" t="s">
        <v>71</v>
      </c>
      <c r="M6" s="17" t="s">
        <v>2030</v>
      </c>
      <c r="N6" s="19" t="s">
        <v>73</v>
      </c>
      <c r="O6" s="19" t="s">
        <v>188</v>
      </c>
      <c r="P6" s="20"/>
    </row>
    <row r="7" customFormat="false" ht="67.5" hidden="false" customHeight="true" outlineLevel="0" collapsed="false">
      <c r="A7" s="15" t="n">
        <v>4</v>
      </c>
      <c r="B7" s="16" t="s">
        <v>189</v>
      </c>
      <c r="C7" s="17" t="s">
        <v>62</v>
      </c>
      <c r="D7" s="17" t="s">
        <v>190</v>
      </c>
      <c r="E7" s="17" t="s">
        <v>191</v>
      </c>
      <c r="F7" s="17" t="s">
        <v>192</v>
      </c>
      <c r="G7" s="17" t="s">
        <v>193</v>
      </c>
      <c r="H7" s="17" t="s">
        <v>194</v>
      </c>
      <c r="I7" s="17" t="s">
        <v>195</v>
      </c>
      <c r="J7" s="17" t="s">
        <v>196</v>
      </c>
      <c r="K7" s="18" t="s">
        <v>197</v>
      </c>
      <c r="L7" s="15" t="s">
        <v>71</v>
      </c>
      <c r="M7" s="17" t="s">
        <v>2031</v>
      </c>
      <c r="N7" s="19" t="s">
        <v>73</v>
      </c>
      <c r="O7" s="19" t="s">
        <v>199</v>
      </c>
      <c r="P7" s="20"/>
    </row>
    <row r="8" customFormat="false" ht="42" hidden="false" customHeight="true" outlineLevel="0" collapsed="false">
      <c r="A8" s="15" t="n">
        <v>4</v>
      </c>
      <c r="B8" s="16" t="s">
        <v>222</v>
      </c>
      <c r="C8" s="17" t="s">
        <v>223</v>
      </c>
      <c r="D8" s="17" t="s">
        <v>179</v>
      </c>
      <c r="E8" s="17" t="s">
        <v>224</v>
      </c>
      <c r="F8" s="17" t="s">
        <v>225</v>
      </c>
      <c r="G8" s="17" t="s">
        <v>226</v>
      </c>
      <c r="H8" s="17" t="s">
        <v>227</v>
      </c>
      <c r="I8" s="17" t="s">
        <v>228</v>
      </c>
      <c r="J8" s="17" t="s">
        <v>229</v>
      </c>
      <c r="K8" s="18" t="s">
        <v>230</v>
      </c>
      <c r="L8" s="15" t="s">
        <v>71</v>
      </c>
      <c r="M8" s="17" t="s">
        <v>2032</v>
      </c>
      <c r="N8" s="19" t="s">
        <v>73</v>
      </c>
      <c r="O8" s="19" t="s">
        <v>232</v>
      </c>
      <c r="P8" s="20"/>
    </row>
    <row r="9" customFormat="false" ht="54.75" hidden="false" customHeight="true" outlineLevel="0" collapsed="false">
      <c r="A9" s="15" t="n">
        <v>4</v>
      </c>
      <c r="B9" s="16" t="s">
        <v>233</v>
      </c>
      <c r="C9" s="17" t="s">
        <v>76</v>
      </c>
      <c r="D9" s="17" t="s">
        <v>88</v>
      </c>
      <c r="E9" s="17" t="s">
        <v>234</v>
      </c>
      <c r="F9" s="17" t="s">
        <v>235</v>
      </c>
      <c r="G9" s="17" t="s">
        <v>236</v>
      </c>
      <c r="H9" s="17" t="s">
        <v>237</v>
      </c>
      <c r="I9" s="17" t="s">
        <v>238</v>
      </c>
      <c r="J9" s="17" t="s">
        <v>239</v>
      </c>
      <c r="K9" s="18" t="s">
        <v>240</v>
      </c>
      <c r="L9" s="15" t="s">
        <v>71</v>
      </c>
      <c r="M9" s="17" t="s">
        <v>2033</v>
      </c>
      <c r="N9" s="19" t="s">
        <v>73</v>
      </c>
      <c r="O9" s="19" t="s">
        <v>242</v>
      </c>
      <c r="P9" s="20"/>
    </row>
    <row r="10" customFormat="false" ht="42" hidden="false" customHeight="true" outlineLevel="0" collapsed="false">
      <c r="A10" s="15" t="n">
        <v>4</v>
      </c>
      <c r="B10" s="16" t="s">
        <v>253</v>
      </c>
      <c r="C10" s="17" t="s">
        <v>111</v>
      </c>
      <c r="D10" s="17" t="s">
        <v>254</v>
      </c>
      <c r="E10" s="17" t="s">
        <v>255</v>
      </c>
      <c r="F10" s="17" t="s">
        <v>256</v>
      </c>
      <c r="G10" s="17" t="s">
        <v>257</v>
      </c>
      <c r="H10" s="17" t="s">
        <v>258</v>
      </c>
      <c r="I10" s="17" t="s">
        <v>259</v>
      </c>
      <c r="J10" s="17" t="s">
        <v>260</v>
      </c>
      <c r="K10" s="18" t="s">
        <v>261</v>
      </c>
      <c r="L10" s="15" t="s">
        <v>71</v>
      </c>
      <c r="M10" s="17" t="s">
        <v>2034</v>
      </c>
      <c r="N10" s="19" t="s">
        <v>73</v>
      </c>
      <c r="O10" s="19" t="s">
        <v>263</v>
      </c>
      <c r="P10" s="20"/>
    </row>
    <row r="11" customFormat="false" ht="42" hidden="false" customHeight="true" outlineLevel="0" collapsed="false">
      <c r="A11" s="15" t="n">
        <v>4</v>
      </c>
      <c r="B11" s="16" t="s">
        <v>276</v>
      </c>
      <c r="C11" s="17" t="s">
        <v>277</v>
      </c>
      <c r="D11" s="17" t="s">
        <v>278</v>
      </c>
      <c r="E11" s="17" t="s">
        <v>279</v>
      </c>
      <c r="F11" s="17" t="s">
        <v>280</v>
      </c>
      <c r="G11" s="17" t="s">
        <v>281</v>
      </c>
      <c r="H11" s="17" t="s">
        <v>282</v>
      </c>
      <c r="I11" s="17" t="s">
        <v>283</v>
      </c>
      <c r="J11" s="17" t="s">
        <v>284</v>
      </c>
      <c r="K11" s="18" t="s">
        <v>285</v>
      </c>
      <c r="L11" s="15" t="s">
        <v>71</v>
      </c>
      <c r="M11" s="17" t="s">
        <v>2035</v>
      </c>
      <c r="N11" s="19" t="s">
        <v>73</v>
      </c>
      <c r="O11" s="19" t="s">
        <v>287</v>
      </c>
      <c r="P11" s="20"/>
    </row>
    <row r="12" customFormat="false" ht="54.75" hidden="false" customHeight="true" outlineLevel="0" collapsed="false">
      <c r="A12" s="15" t="n">
        <v>4</v>
      </c>
      <c r="B12" s="16" t="s">
        <v>310</v>
      </c>
      <c r="C12" s="17" t="s">
        <v>62</v>
      </c>
      <c r="D12" s="17" t="s">
        <v>311</v>
      </c>
      <c r="E12" s="17" t="s">
        <v>312</v>
      </c>
      <c r="F12" s="17" t="s">
        <v>313</v>
      </c>
      <c r="G12" s="17" t="s">
        <v>314</v>
      </c>
      <c r="H12" s="17" t="s">
        <v>315</v>
      </c>
      <c r="I12" s="17" t="s">
        <v>316</v>
      </c>
      <c r="J12" s="17" t="s">
        <v>208</v>
      </c>
      <c r="K12" s="18" t="s">
        <v>317</v>
      </c>
      <c r="L12" s="15" t="s">
        <v>71</v>
      </c>
      <c r="M12" s="17" t="s">
        <v>2036</v>
      </c>
      <c r="N12" s="19" t="s">
        <v>73</v>
      </c>
      <c r="O12" s="19" t="s">
        <v>319</v>
      </c>
      <c r="P12" s="20"/>
    </row>
    <row r="13" customFormat="false" ht="105.75" hidden="false" customHeight="true" outlineLevel="0" collapsed="false">
      <c r="A13" s="15" t="n">
        <v>4</v>
      </c>
      <c r="B13" s="16" t="s">
        <v>330</v>
      </c>
      <c r="C13" s="17" t="s">
        <v>223</v>
      </c>
      <c r="D13" s="17" t="s">
        <v>88</v>
      </c>
      <c r="E13" s="17" t="s">
        <v>331</v>
      </c>
      <c r="F13" s="17" t="s">
        <v>332</v>
      </c>
      <c r="G13" s="17" t="s">
        <v>333</v>
      </c>
      <c r="H13" s="17" t="s">
        <v>334</v>
      </c>
      <c r="I13" s="17" t="s">
        <v>335</v>
      </c>
      <c r="J13" s="17" t="s">
        <v>336</v>
      </c>
      <c r="K13" s="18" t="s">
        <v>337</v>
      </c>
      <c r="L13" s="15" t="s">
        <v>71</v>
      </c>
      <c r="M13" s="17" t="s">
        <v>2037</v>
      </c>
      <c r="N13" s="19" t="s">
        <v>73</v>
      </c>
      <c r="O13" s="19" t="s">
        <v>339</v>
      </c>
      <c r="P13" s="20"/>
    </row>
    <row r="14" customFormat="false" ht="67.5" hidden="false" customHeight="true" outlineLevel="0" collapsed="false">
      <c r="A14" s="15" t="n">
        <v>4</v>
      </c>
      <c r="B14" s="16" t="s">
        <v>358</v>
      </c>
      <c r="C14" s="17" t="s">
        <v>76</v>
      </c>
      <c r="D14" s="17" t="s">
        <v>88</v>
      </c>
      <c r="E14" s="17" t="s">
        <v>359</v>
      </c>
      <c r="F14" s="17" t="s">
        <v>360</v>
      </c>
      <c r="G14" s="17" t="s">
        <v>361</v>
      </c>
      <c r="H14" s="17" t="s">
        <v>161</v>
      </c>
      <c r="I14" s="17" t="s">
        <v>362</v>
      </c>
      <c r="J14" s="17" t="s">
        <v>363</v>
      </c>
      <c r="K14" s="18" t="s">
        <v>364</v>
      </c>
      <c r="L14" s="15" t="s">
        <v>71</v>
      </c>
      <c r="M14" s="17" t="s">
        <v>2038</v>
      </c>
      <c r="N14" s="19" t="s">
        <v>73</v>
      </c>
      <c r="O14" s="19" t="s">
        <v>366</v>
      </c>
      <c r="P14" s="20"/>
    </row>
    <row r="15" customFormat="false" ht="54.75" hidden="false" customHeight="true" outlineLevel="0" collapsed="false">
      <c r="A15" s="15" t="n">
        <v>4</v>
      </c>
      <c r="B15" s="16" t="s">
        <v>377</v>
      </c>
      <c r="C15" s="17" t="s">
        <v>178</v>
      </c>
      <c r="D15" s="17" t="s">
        <v>88</v>
      </c>
      <c r="E15" s="17" t="s">
        <v>378</v>
      </c>
      <c r="F15" s="17" t="s">
        <v>379</v>
      </c>
      <c r="G15" s="17" t="s">
        <v>380</v>
      </c>
      <c r="H15" s="17" t="s">
        <v>381</v>
      </c>
      <c r="I15" s="17" t="s">
        <v>382</v>
      </c>
      <c r="J15" s="17" t="s">
        <v>383</v>
      </c>
      <c r="K15" s="18" t="s">
        <v>384</v>
      </c>
      <c r="L15" s="15" t="s">
        <v>71</v>
      </c>
      <c r="M15" s="17" t="s">
        <v>2039</v>
      </c>
      <c r="N15" s="19" t="s">
        <v>73</v>
      </c>
      <c r="O15" s="19" t="s">
        <v>386</v>
      </c>
      <c r="P15" s="20"/>
    </row>
    <row r="16" customFormat="false" ht="67.5" hidden="false" customHeight="true" outlineLevel="0" collapsed="false">
      <c r="A16" s="15" t="n">
        <v>4</v>
      </c>
      <c r="B16" s="16" t="s">
        <v>2040</v>
      </c>
      <c r="C16" s="17" t="s">
        <v>76</v>
      </c>
      <c r="D16" s="17" t="s">
        <v>795</v>
      </c>
      <c r="E16" s="17" t="s">
        <v>2041</v>
      </c>
      <c r="F16" s="17" t="s">
        <v>2042</v>
      </c>
      <c r="G16" s="17" t="s">
        <v>2043</v>
      </c>
      <c r="H16" s="17" t="s">
        <v>2044</v>
      </c>
      <c r="I16" s="17" t="s">
        <v>2045</v>
      </c>
      <c r="J16" s="17" t="s">
        <v>2046</v>
      </c>
      <c r="K16" s="18" t="s">
        <v>2047</v>
      </c>
      <c r="L16" s="15" t="s">
        <v>71</v>
      </c>
      <c r="M16" s="17" t="s">
        <v>2048</v>
      </c>
      <c r="N16" s="19" t="s">
        <v>73</v>
      </c>
      <c r="O16" s="19" t="s">
        <v>121</v>
      </c>
      <c r="P16" s="20"/>
    </row>
    <row r="17" customFormat="false" ht="67.5" hidden="false" customHeight="true" outlineLevel="0" collapsed="false">
      <c r="A17" s="15" t="n">
        <v>4</v>
      </c>
      <c r="B17" s="16" t="s">
        <v>397</v>
      </c>
      <c r="C17" s="17" t="s">
        <v>76</v>
      </c>
      <c r="D17" s="17" t="s">
        <v>88</v>
      </c>
      <c r="E17" s="17" t="s">
        <v>398</v>
      </c>
      <c r="F17" s="17" t="s">
        <v>399</v>
      </c>
      <c r="G17" s="17" t="s">
        <v>400</v>
      </c>
      <c r="H17" s="17" t="s">
        <v>401</v>
      </c>
      <c r="I17" s="17" t="s">
        <v>402</v>
      </c>
      <c r="J17" s="17" t="s">
        <v>403</v>
      </c>
      <c r="K17" s="18" t="s">
        <v>404</v>
      </c>
      <c r="L17" s="15" t="s">
        <v>71</v>
      </c>
      <c r="M17" s="17" t="s">
        <v>2049</v>
      </c>
      <c r="N17" s="19" t="s">
        <v>73</v>
      </c>
      <c r="O17" s="19" t="s">
        <v>406</v>
      </c>
      <c r="P17" s="20"/>
    </row>
    <row r="18" customFormat="false" ht="54.75" hidden="false" customHeight="true" outlineLevel="0" collapsed="false">
      <c r="A18" s="15" t="n">
        <v>4</v>
      </c>
      <c r="B18" s="16" t="s">
        <v>445</v>
      </c>
      <c r="C18" s="17" t="s">
        <v>76</v>
      </c>
      <c r="D18" s="17" t="s">
        <v>88</v>
      </c>
      <c r="E18" s="17" t="s">
        <v>446</v>
      </c>
      <c r="F18" s="17" t="s">
        <v>447</v>
      </c>
      <c r="G18" s="17" t="s">
        <v>448</v>
      </c>
      <c r="H18" s="17" t="s">
        <v>449</v>
      </c>
      <c r="I18" s="17" t="s">
        <v>450</v>
      </c>
      <c r="J18" s="17" t="s">
        <v>451</v>
      </c>
      <c r="K18" s="18" t="s">
        <v>452</v>
      </c>
      <c r="L18" s="15" t="s">
        <v>131</v>
      </c>
      <c r="M18" s="17" t="s">
        <v>2050</v>
      </c>
      <c r="N18" s="19" t="s">
        <v>73</v>
      </c>
      <c r="O18" s="19" t="s">
        <v>417</v>
      </c>
      <c r="P18" s="20"/>
    </row>
    <row r="19" customFormat="false" ht="67.5" hidden="false" customHeight="true" outlineLevel="0" collapsed="false">
      <c r="A19" s="15" t="n">
        <v>4</v>
      </c>
      <c r="B19" s="16" t="s">
        <v>522</v>
      </c>
      <c r="C19" s="17" t="s">
        <v>76</v>
      </c>
      <c r="D19" s="17" t="s">
        <v>523</v>
      </c>
      <c r="E19" s="17" t="s">
        <v>524</v>
      </c>
      <c r="F19" s="17" t="s">
        <v>525</v>
      </c>
      <c r="G19" s="17" t="s">
        <v>526</v>
      </c>
      <c r="H19" s="17" t="s">
        <v>161</v>
      </c>
      <c r="I19" s="17" t="s">
        <v>527</v>
      </c>
      <c r="J19" s="17" t="s">
        <v>528</v>
      </c>
      <c r="K19" s="18" t="s">
        <v>529</v>
      </c>
      <c r="L19" s="15" t="s">
        <v>71</v>
      </c>
      <c r="M19" s="17" t="s">
        <v>2051</v>
      </c>
      <c r="N19" s="19" t="s">
        <v>73</v>
      </c>
      <c r="O19" s="19" t="s">
        <v>531</v>
      </c>
      <c r="P19" s="20"/>
    </row>
    <row r="20" customFormat="false" ht="42" hidden="false" customHeight="true" outlineLevel="0" collapsed="false">
      <c r="A20" s="15" t="n">
        <v>4</v>
      </c>
      <c r="B20" s="16" t="s">
        <v>532</v>
      </c>
      <c r="C20" s="17" t="s">
        <v>111</v>
      </c>
      <c r="D20" s="17" t="s">
        <v>533</v>
      </c>
      <c r="E20" s="17" t="s">
        <v>534</v>
      </c>
      <c r="F20" s="17" t="s">
        <v>535</v>
      </c>
      <c r="G20" s="17" t="s">
        <v>536</v>
      </c>
      <c r="H20" s="17" t="s">
        <v>537</v>
      </c>
      <c r="I20" s="17" t="s">
        <v>538</v>
      </c>
      <c r="J20" s="17" t="s">
        <v>539</v>
      </c>
      <c r="K20" s="18" t="s">
        <v>540</v>
      </c>
      <c r="L20" s="15" t="s">
        <v>71</v>
      </c>
      <c r="M20" s="17" t="s">
        <v>2052</v>
      </c>
      <c r="N20" s="19" t="s">
        <v>73</v>
      </c>
      <c r="O20" s="19" t="s">
        <v>542</v>
      </c>
      <c r="P20" s="20"/>
    </row>
    <row r="21" customFormat="false" ht="67.5" hidden="false" customHeight="true" outlineLevel="0" collapsed="false">
      <c r="A21" s="15" t="n">
        <v>4</v>
      </c>
      <c r="B21" s="16" t="s">
        <v>572</v>
      </c>
      <c r="C21" s="17" t="s">
        <v>62</v>
      </c>
      <c r="D21" s="17" t="s">
        <v>573</v>
      </c>
      <c r="E21" s="17" t="s">
        <v>574</v>
      </c>
      <c r="F21" s="17" t="s">
        <v>575</v>
      </c>
      <c r="G21" s="17" t="s">
        <v>576</v>
      </c>
      <c r="H21" s="17" t="s">
        <v>577</v>
      </c>
      <c r="I21" s="17" t="s">
        <v>578</v>
      </c>
      <c r="J21" s="17" t="s">
        <v>208</v>
      </c>
      <c r="K21" s="18" t="s">
        <v>579</v>
      </c>
      <c r="L21" s="15" t="s">
        <v>71</v>
      </c>
      <c r="M21" s="17" t="s">
        <v>2053</v>
      </c>
      <c r="N21" s="19" t="s">
        <v>73</v>
      </c>
      <c r="O21" s="19" t="s">
        <v>581</v>
      </c>
      <c r="P21" s="20"/>
    </row>
    <row r="22" customFormat="false" ht="42" hidden="false" customHeight="true" outlineLevel="0" collapsed="false">
      <c r="A22" s="15" t="n">
        <v>4</v>
      </c>
      <c r="B22" s="16" t="s">
        <v>582</v>
      </c>
      <c r="C22" s="17" t="s">
        <v>76</v>
      </c>
      <c r="D22" s="17" t="s">
        <v>146</v>
      </c>
      <c r="E22" s="17" t="s">
        <v>583</v>
      </c>
      <c r="F22" s="17" t="s">
        <v>584</v>
      </c>
      <c r="G22" s="17" t="s">
        <v>585</v>
      </c>
      <c r="H22" s="17" t="s">
        <v>586</v>
      </c>
      <c r="I22" s="17" t="s">
        <v>587</v>
      </c>
      <c r="J22" s="17" t="s">
        <v>588</v>
      </c>
      <c r="K22" s="18" t="s">
        <v>589</v>
      </c>
      <c r="L22" s="15" t="s">
        <v>71</v>
      </c>
      <c r="M22" s="17" t="s">
        <v>2054</v>
      </c>
      <c r="N22" s="19" t="s">
        <v>73</v>
      </c>
      <c r="O22" s="19" t="s">
        <v>591</v>
      </c>
      <c r="P22" s="20"/>
    </row>
    <row r="23" customFormat="false" ht="54.75" hidden="false" customHeight="true" outlineLevel="0" collapsed="false">
      <c r="A23" s="15" t="n">
        <v>4</v>
      </c>
      <c r="B23" s="16" t="s">
        <v>592</v>
      </c>
      <c r="C23" s="17" t="s">
        <v>76</v>
      </c>
      <c r="D23" s="17" t="s">
        <v>544</v>
      </c>
      <c r="E23" s="17" t="s">
        <v>593</v>
      </c>
      <c r="F23" s="17" t="s">
        <v>594</v>
      </c>
      <c r="G23" s="17" t="s">
        <v>595</v>
      </c>
      <c r="H23" s="17" t="s">
        <v>161</v>
      </c>
      <c r="I23" s="17" t="s">
        <v>596</v>
      </c>
      <c r="J23" s="17" t="s">
        <v>597</v>
      </c>
      <c r="K23" s="18" t="s">
        <v>598</v>
      </c>
      <c r="L23" s="15" t="s">
        <v>71</v>
      </c>
      <c r="M23" s="17" t="s">
        <v>2055</v>
      </c>
      <c r="N23" s="19" t="s">
        <v>73</v>
      </c>
      <c r="O23" s="19" t="s">
        <v>600</v>
      </c>
      <c r="P23" s="20"/>
    </row>
    <row r="24" customFormat="false" ht="54.75" hidden="false" customHeight="true" outlineLevel="0" collapsed="false">
      <c r="A24" s="15" t="n">
        <v>4</v>
      </c>
      <c r="B24" s="16" t="s">
        <v>601</v>
      </c>
      <c r="C24" s="17" t="s">
        <v>289</v>
      </c>
      <c r="D24" s="17" t="s">
        <v>602</v>
      </c>
      <c r="E24" s="17" t="s">
        <v>603</v>
      </c>
      <c r="F24" s="17" t="s">
        <v>604</v>
      </c>
      <c r="G24" s="17" t="s">
        <v>605</v>
      </c>
      <c r="H24" s="17" t="s">
        <v>116</v>
      </c>
      <c r="I24" s="17" t="s">
        <v>606</v>
      </c>
      <c r="J24" s="17" t="s">
        <v>607</v>
      </c>
      <c r="K24" s="18" t="s">
        <v>608</v>
      </c>
      <c r="L24" s="15" t="s">
        <v>71</v>
      </c>
      <c r="M24" s="17" t="s">
        <v>2056</v>
      </c>
      <c r="N24" s="19" t="s">
        <v>73</v>
      </c>
      <c r="O24" s="19" t="s">
        <v>610</v>
      </c>
      <c r="P24" s="20"/>
    </row>
    <row r="25" customFormat="false" ht="54.75" hidden="false" customHeight="true" outlineLevel="0" collapsed="false">
      <c r="A25" s="15" t="n">
        <v>4</v>
      </c>
      <c r="B25" s="16" t="s">
        <v>622</v>
      </c>
      <c r="C25" s="17" t="s">
        <v>111</v>
      </c>
      <c r="D25" s="17" t="s">
        <v>146</v>
      </c>
      <c r="E25" s="17" t="s">
        <v>623</v>
      </c>
      <c r="F25" s="17" t="s">
        <v>624</v>
      </c>
      <c r="G25" s="17" t="s">
        <v>193</v>
      </c>
      <c r="H25" s="17" t="s">
        <v>625</v>
      </c>
      <c r="I25" s="17" t="s">
        <v>626</v>
      </c>
      <c r="J25" s="17" t="s">
        <v>627</v>
      </c>
      <c r="K25" s="18" t="s">
        <v>628</v>
      </c>
      <c r="L25" s="15" t="s">
        <v>131</v>
      </c>
      <c r="M25" s="17" t="s">
        <v>2057</v>
      </c>
      <c r="N25" s="19" t="s">
        <v>73</v>
      </c>
      <c r="O25" s="19" t="s">
        <v>630</v>
      </c>
      <c r="P25" s="20"/>
    </row>
    <row r="26" customFormat="false" ht="42" hidden="false" customHeight="true" outlineLevel="0" collapsed="false">
      <c r="A26" s="15" t="n">
        <v>3</v>
      </c>
      <c r="B26" s="16" t="s">
        <v>650</v>
      </c>
      <c r="C26" s="17" t="s">
        <v>76</v>
      </c>
      <c r="D26" s="17" t="s">
        <v>88</v>
      </c>
      <c r="E26" s="17" t="s">
        <v>651</v>
      </c>
      <c r="F26" s="17" t="s">
        <v>652</v>
      </c>
      <c r="G26" s="17" t="s">
        <v>653</v>
      </c>
      <c r="H26" s="17" t="s">
        <v>654</v>
      </c>
      <c r="I26" s="17" t="s">
        <v>259</v>
      </c>
      <c r="J26" s="17" t="s">
        <v>655</v>
      </c>
      <c r="K26" s="18" t="s">
        <v>656</v>
      </c>
      <c r="L26" s="15" t="s">
        <v>71</v>
      </c>
      <c r="M26" s="17" t="s">
        <v>2058</v>
      </c>
      <c r="N26" s="19" t="s">
        <v>73</v>
      </c>
      <c r="O26" s="19" t="s">
        <v>658</v>
      </c>
      <c r="P26" s="20"/>
    </row>
    <row r="27" customFormat="false" ht="54.75" hidden="false" customHeight="true" outlineLevel="0" collapsed="false">
      <c r="A27" s="15" t="n">
        <v>3</v>
      </c>
      <c r="B27" s="16" t="s">
        <v>2059</v>
      </c>
      <c r="C27" s="17" t="s">
        <v>76</v>
      </c>
      <c r="D27" s="17" t="s">
        <v>278</v>
      </c>
      <c r="E27" s="17" t="s">
        <v>2060</v>
      </c>
      <c r="F27" s="17" t="s">
        <v>2061</v>
      </c>
      <c r="G27" s="17" t="s">
        <v>2062</v>
      </c>
      <c r="H27" s="17" t="s">
        <v>2063</v>
      </c>
      <c r="I27" s="17" t="s">
        <v>2064</v>
      </c>
      <c r="J27" s="17" t="s">
        <v>2065</v>
      </c>
      <c r="K27" s="18" t="s">
        <v>2066</v>
      </c>
      <c r="L27" s="15" t="s">
        <v>71</v>
      </c>
      <c r="M27" s="17" t="s">
        <v>2067</v>
      </c>
      <c r="N27" s="19" t="s">
        <v>73</v>
      </c>
      <c r="O27" s="19" t="s">
        <v>679</v>
      </c>
      <c r="P27" s="20"/>
    </row>
    <row r="28" customFormat="false" ht="54.75" hidden="false" customHeight="true" outlineLevel="0" collapsed="false">
      <c r="A28" s="15" t="n">
        <v>3</v>
      </c>
      <c r="B28" s="16" t="s">
        <v>690</v>
      </c>
      <c r="C28" s="17" t="s">
        <v>178</v>
      </c>
      <c r="D28" s="17" t="s">
        <v>88</v>
      </c>
      <c r="E28" s="17" t="s">
        <v>691</v>
      </c>
      <c r="F28" s="17" t="s">
        <v>692</v>
      </c>
      <c r="G28" s="17" t="s">
        <v>693</v>
      </c>
      <c r="H28" s="17" t="s">
        <v>694</v>
      </c>
      <c r="I28" s="17" t="s">
        <v>695</v>
      </c>
      <c r="J28" s="17" t="s">
        <v>696</v>
      </c>
      <c r="K28" s="18" t="s">
        <v>697</v>
      </c>
      <c r="L28" s="15" t="s">
        <v>71</v>
      </c>
      <c r="M28" s="17" t="s">
        <v>2068</v>
      </c>
      <c r="N28" s="19" t="s">
        <v>73</v>
      </c>
      <c r="O28" s="19" t="s">
        <v>699</v>
      </c>
      <c r="P28" s="20"/>
    </row>
    <row r="29" customFormat="false" ht="42" hidden="false" customHeight="true" outlineLevel="0" collapsed="false">
      <c r="A29" s="15" t="n">
        <v>3</v>
      </c>
      <c r="B29" s="16" t="s">
        <v>984</v>
      </c>
      <c r="C29" s="17" t="s">
        <v>832</v>
      </c>
      <c r="D29" s="17" t="s">
        <v>88</v>
      </c>
      <c r="E29" s="17" t="s">
        <v>985</v>
      </c>
      <c r="F29" s="17" t="s">
        <v>986</v>
      </c>
      <c r="G29" s="17" t="s">
        <v>987</v>
      </c>
      <c r="H29" s="17" t="s">
        <v>988</v>
      </c>
      <c r="I29" s="17" t="s">
        <v>989</v>
      </c>
      <c r="J29" s="17" t="s">
        <v>208</v>
      </c>
      <c r="K29" s="18" t="s">
        <v>990</v>
      </c>
      <c r="L29" s="15" t="s">
        <v>71</v>
      </c>
      <c r="M29" s="17" t="s">
        <v>2069</v>
      </c>
      <c r="N29" s="19" t="s">
        <v>73</v>
      </c>
      <c r="O29" s="19" t="s">
        <v>658</v>
      </c>
      <c r="P29" s="20"/>
    </row>
    <row r="30" customFormat="false" ht="29.25" hidden="false" customHeight="true" outlineLevel="0" collapsed="false">
      <c r="A30" s="15" t="n">
        <v>3</v>
      </c>
      <c r="B30" s="16" t="s">
        <v>710</v>
      </c>
      <c r="C30" s="17" t="s">
        <v>178</v>
      </c>
      <c r="D30" s="17" t="s">
        <v>711</v>
      </c>
      <c r="E30" s="17" t="s">
        <v>712</v>
      </c>
      <c r="F30" s="17" t="s">
        <v>713</v>
      </c>
      <c r="G30" s="17" t="s">
        <v>714</v>
      </c>
      <c r="H30" s="17" t="s">
        <v>161</v>
      </c>
      <c r="I30" s="17" t="s">
        <v>259</v>
      </c>
      <c r="J30" s="17" t="s">
        <v>715</v>
      </c>
      <c r="K30" s="18" t="s">
        <v>716</v>
      </c>
      <c r="L30" s="15" t="s">
        <v>71</v>
      </c>
      <c r="M30" s="17" t="s">
        <v>2070</v>
      </c>
      <c r="N30" s="19" t="s">
        <v>73</v>
      </c>
      <c r="O30" s="19" t="s">
        <v>649</v>
      </c>
      <c r="P30" s="20"/>
    </row>
    <row r="31" customFormat="false" ht="42" hidden="false" customHeight="true" outlineLevel="0" collapsed="false">
      <c r="A31" s="15" t="n">
        <v>3</v>
      </c>
      <c r="B31" s="16" t="s">
        <v>718</v>
      </c>
      <c r="C31" s="17" t="s">
        <v>719</v>
      </c>
      <c r="D31" s="17" t="s">
        <v>88</v>
      </c>
      <c r="E31" s="17" t="s">
        <v>720</v>
      </c>
      <c r="F31" s="17" t="s">
        <v>721</v>
      </c>
      <c r="G31" s="17" t="s">
        <v>722</v>
      </c>
      <c r="H31" s="17" t="s">
        <v>723</v>
      </c>
      <c r="I31" s="17" t="s">
        <v>259</v>
      </c>
      <c r="J31" s="17" t="s">
        <v>724</v>
      </c>
      <c r="K31" s="18" t="s">
        <v>725</v>
      </c>
      <c r="L31" s="15" t="s">
        <v>71</v>
      </c>
      <c r="M31" s="17" t="s">
        <v>2071</v>
      </c>
      <c r="N31" s="19" t="s">
        <v>73</v>
      </c>
      <c r="O31" s="19" t="s">
        <v>727</v>
      </c>
      <c r="P31" s="20"/>
    </row>
    <row r="32" customFormat="false" ht="29.25" hidden="false" customHeight="true" outlineLevel="0" collapsed="false">
      <c r="A32" s="15" t="n">
        <v>3</v>
      </c>
      <c r="B32" s="16" t="s">
        <v>728</v>
      </c>
      <c r="C32" s="17" t="s">
        <v>178</v>
      </c>
      <c r="D32" s="17" t="s">
        <v>88</v>
      </c>
      <c r="E32" s="17" t="s">
        <v>729</v>
      </c>
      <c r="F32" s="17" t="s">
        <v>730</v>
      </c>
      <c r="G32" s="17" t="s">
        <v>731</v>
      </c>
      <c r="H32" s="17" t="s">
        <v>732</v>
      </c>
      <c r="I32" s="17" t="s">
        <v>259</v>
      </c>
      <c r="J32" s="17" t="s">
        <v>733</v>
      </c>
      <c r="K32" s="18" t="s">
        <v>734</v>
      </c>
      <c r="L32" s="15" t="s">
        <v>71</v>
      </c>
      <c r="M32" s="17" t="s">
        <v>2072</v>
      </c>
      <c r="N32" s="19" t="s">
        <v>73</v>
      </c>
      <c r="O32" s="19" t="s">
        <v>649</v>
      </c>
      <c r="P32" s="20"/>
    </row>
    <row r="33" customFormat="false" ht="42" hidden="false" customHeight="true" outlineLevel="0" collapsed="false">
      <c r="A33" s="15" t="n">
        <v>3</v>
      </c>
      <c r="B33" s="16" t="s">
        <v>736</v>
      </c>
      <c r="C33" s="17" t="s">
        <v>178</v>
      </c>
      <c r="D33" s="17" t="s">
        <v>88</v>
      </c>
      <c r="E33" s="17" t="s">
        <v>737</v>
      </c>
      <c r="F33" s="17" t="s">
        <v>738</v>
      </c>
      <c r="G33" s="17" t="s">
        <v>739</v>
      </c>
      <c r="H33" s="17" t="s">
        <v>740</v>
      </c>
      <c r="I33" s="17" t="s">
        <v>259</v>
      </c>
      <c r="J33" s="17" t="s">
        <v>741</v>
      </c>
      <c r="K33" s="18" t="s">
        <v>742</v>
      </c>
      <c r="L33" s="15" t="s">
        <v>71</v>
      </c>
      <c r="M33" s="17" t="s">
        <v>2073</v>
      </c>
      <c r="N33" s="19" t="s">
        <v>73</v>
      </c>
      <c r="O33" s="19" t="s">
        <v>649</v>
      </c>
      <c r="P33" s="20"/>
    </row>
    <row r="34" customFormat="false" ht="42" hidden="false" customHeight="true" outlineLevel="0" collapsed="false">
      <c r="A34" s="15" t="n">
        <v>3</v>
      </c>
      <c r="B34" s="16" t="s">
        <v>778</v>
      </c>
      <c r="C34" s="17" t="s">
        <v>178</v>
      </c>
      <c r="D34" s="17" t="s">
        <v>88</v>
      </c>
      <c r="E34" s="17" t="s">
        <v>779</v>
      </c>
      <c r="F34" s="17" t="s">
        <v>780</v>
      </c>
      <c r="G34" s="17" t="s">
        <v>281</v>
      </c>
      <c r="H34" s="17" t="s">
        <v>781</v>
      </c>
      <c r="I34" s="17" t="s">
        <v>259</v>
      </c>
      <c r="J34" s="17" t="s">
        <v>782</v>
      </c>
      <c r="K34" s="18" t="s">
        <v>783</v>
      </c>
      <c r="L34" s="15" t="s">
        <v>71</v>
      </c>
      <c r="M34" s="17" t="s">
        <v>2074</v>
      </c>
      <c r="N34" s="19" t="s">
        <v>73</v>
      </c>
      <c r="O34" s="19" t="s">
        <v>658</v>
      </c>
      <c r="P34" s="20"/>
    </row>
    <row r="35" customFormat="false" ht="42" hidden="false" customHeight="true" outlineLevel="0" collapsed="false">
      <c r="A35" s="15" t="n">
        <v>3</v>
      </c>
      <c r="B35" s="16" t="s">
        <v>794</v>
      </c>
      <c r="C35" s="17" t="s">
        <v>178</v>
      </c>
      <c r="D35" s="17" t="s">
        <v>795</v>
      </c>
      <c r="E35" s="17" t="s">
        <v>796</v>
      </c>
      <c r="F35" s="17" t="s">
        <v>797</v>
      </c>
      <c r="G35" s="17" t="s">
        <v>798</v>
      </c>
      <c r="H35" s="17" t="s">
        <v>799</v>
      </c>
      <c r="I35" s="17" t="s">
        <v>259</v>
      </c>
      <c r="J35" s="17" t="s">
        <v>800</v>
      </c>
      <c r="K35" s="18" t="s">
        <v>801</v>
      </c>
      <c r="L35" s="15" t="s">
        <v>71</v>
      </c>
      <c r="M35" s="17" t="s">
        <v>2075</v>
      </c>
      <c r="N35" s="19" t="s">
        <v>73</v>
      </c>
      <c r="O35" s="19" t="s">
        <v>658</v>
      </c>
      <c r="P35" s="20"/>
    </row>
    <row r="36" customFormat="false" ht="29.25" hidden="false" customHeight="true" outlineLevel="0" collapsed="false">
      <c r="A36" s="15" t="n">
        <v>3</v>
      </c>
      <c r="B36" s="16" t="s">
        <v>843</v>
      </c>
      <c r="C36" s="17" t="s">
        <v>289</v>
      </c>
      <c r="D36" s="17" t="s">
        <v>88</v>
      </c>
      <c r="E36" s="17" t="s">
        <v>844</v>
      </c>
      <c r="F36" s="17" t="s">
        <v>845</v>
      </c>
      <c r="G36" s="17" t="s">
        <v>846</v>
      </c>
      <c r="H36" s="17" t="s">
        <v>847</v>
      </c>
      <c r="I36" s="17" t="s">
        <v>848</v>
      </c>
      <c r="J36" s="17" t="s">
        <v>849</v>
      </c>
      <c r="K36" s="18" t="s">
        <v>850</v>
      </c>
      <c r="L36" s="15" t="s">
        <v>71</v>
      </c>
      <c r="M36" s="17" t="s">
        <v>2076</v>
      </c>
      <c r="N36" s="19" t="s">
        <v>73</v>
      </c>
      <c r="O36" s="19" t="s">
        <v>852</v>
      </c>
      <c r="P36" s="20"/>
    </row>
    <row r="37" customFormat="false" ht="54.75" hidden="false" customHeight="true" outlineLevel="0" collapsed="false">
      <c r="A37" s="15" t="n">
        <v>3</v>
      </c>
      <c r="B37" s="16" t="s">
        <v>871</v>
      </c>
      <c r="C37" s="17" t="s">
        <v>76</v>
      </c>
      <c r="D37" s="17" t="s">
        <v>88</v>
      </c>
      <c r="E37" s="17" t="s">
        <v>872</v>
      </c>
      <c r="F37" s="17" t="s">
        <v>873</v>
      </c>
      <c r="G37" s="17" t="s">
        <v>874</v>
      </c>
      <c r="H37" s="17" t="s">
        <v>875</v>
      </c>
      <c r="I37" s="17" t="s">
        <v>259</v>
      </c>
      <c r="J37" s="17" t="s">
        <v>876</v>
      </c>
      <c r="K37" s="18" t="s">
        <v>877</v>
      </c>
      <c r="L37" s="15" t="s">
        <v>71</v>
      </c>
      <c r="M37" s="17" t="s">
        <v>2077</v>
      </c>
      <c r="N37" s="19" t="s">
        <v>73</v>
      </c>
      <c r="O37" s="19" t="s">
        <v>879</v>
      </c>
      <c r="P37" s="20"/>
    </row>
    <row r="38" customFormat="false" ht="54.75" hidden="false" customHeight="true" outlineLevel="0" collapsed="false">
      <c r="A38" s="15" t="n">
        <v>3</v>
      </c>
      <c r="B38" s="16" t="s">
        <v>880</v>
      </c>
      <c r="C38" s="17" t="s">
        <v>289</v>
      </c>
      <c r="D38" s="17" t="s">
        <v>881</v>
      </c>
      <c r="E38" s="17" t="s">
        <v>882</v>
      </c>
      <c r="F38" s="17" t="s">
        <v>883</v>
      </c>
      <c r="G38" s="17" t="s">
        <v>884</v>
      </c>
      <c r="H38" s="17" t="s">
        <v>116</v>
      </c>
      <c r="I38" s="17" t="s">
        <v>885</v>
      </c>
      <c r="J38" s="17" t="s">
        <v>886</v>
      </c>
      <c r="K38" s="18" t="s">
        <v>887</v>
      </c>
      <c r="L38" s="15" t="s">
        <v>71</v>
      </c>
      <c r="M38" s="17" t="s">
        <v>2078</v>
      </c>
      <c r="N38" s="19" t="s">
        <v>73</v>
      </c>
      <c r="O38" s="19" t="s">
        <v>879</v>
      </c>
      <c r="P38" s="20"/>
    </row>
    <row r="39" customFormat="false" ht="54.75" hidden="false" customHeight="true" outlineLevel="0" collapsed="false">
      <c r="A39" s="15" t="n">
        <v>3</v>
      </c>
      <c r="B39" s="16" t="s">
        <v>914</v>
      </c>
      <c r="C39" s="17" t="s">
        <v>178</v>
      </c>
      <c r="D39" s="17" t="s">
        <v>88</v>
      </c>
      <c r="E39" s="17" t="s">
        <v>915</v>
      </c>
      <c r="F39" s="17" t="s">
        <v>916</v>
      </c>
      <c r="G39" s="17" t="s">
        <v>917</v>
      </c>
      <c r="H39" s="17" t="s">
        <v>918</v>
      </c>
      <c r="I39" s="17" t="s">
        <v>259</v>
      </c>
      <c r="J39" s="17" t="s">
        <v>919</v>
      </c>
      <c r="K39" s="18" t="s">
        <v>920</v>
      </c>
      <c r="L39" s="15" t="s">
        <v>131</v>
      </c>
      <c r="M39" s="17" t="s">
        <v>2079</v>
      </c>
      <c r="N39" s="19" t="s">
        <v>73</v>
      </c>
      <c r="O39" s="19" t="s">
        <v>417</v>
      </c>
      <c r="P39" s="20"/>
    </row>
    <row r="40" customFormat="false" ht="54.75" hidden="false" customHeight="true" outlineLevel="0" collapsed="false">
      <c r="A40" s="15" t="n">
        <v>3</v>
      </c>
      <c r="B40" s="16" t="s">
        <v>939</v>
      </c>
      <c r="C40" s="17" t="s">
        <v>940</v>
      </c>
      <c r="D40" s="17" t="s">
        <v>941</v>
      </c>
      <c r="E40" s="17" t="s">
        <v>942</v>
      </c>
      <c r="F40" s="17" t="s">
        <v>943</v>
      </c>
      <c r="G40" s="17" t="s">
        <v>944</v>
      </c>
      <c r="H40" s="17" t="s">
        <v>945</v>
      </c>
      <c r="I40" s="17" t="s">
        <v>259</v>
      </c>
      <c r="J40" s="17" t="s">
        <v>946</v>
      </c>
      <c r="K40" s="18" t="s">
        <v>947</v>
      </c>
      <c r="L40" s="15" t="s">
        <v>131</v>
      </c>
      <c r="M40" s="17" t="s">
        <v>2080</v>
      </c>
      <c r="N40" s="19" t="s">
        <v>73</v>
      </c>
      <c r="O40" s="19" t="s">
        <v>417</v>
      </c>
      <c r="P40" s="20"/>
    </row>
    <row r="41" customFormat="false" ht="80.25" hidden="false" customHeight="true" outlineLevel="0" collapsed="false">
      <c r="A41" s="15" t="n">
        <v>3</v>
      </c>
      <c r="B41" s="16" t="s">
        <v>966</v>
      </c>
      <c r="C41" s="17" t="s">
        <v>111</v>
      </c>
      <c r="D41" s="17" t="s">
        <v>795</v>
      </c>
      <c r="E41" s="17" t="s">
        <v>967</v>
      </c>
      <c r="F41" s="17" t="s">
        <v>968</v>
      </c>
      <c r="G41" s="17" t="s">
        <v>969</v>
      </c>
      <c r="H41" s="17" t="s">
        <v>970</v>
      </c>
      <c r="I41" s="17" t="s">
        <v>259</v>
      </c>
      <c r="J41" s="17" t="s">
        <v>971</v>
      </c>
      <c r="K41" s="18" t="s">
        <v>972</v>
      </c>
      <c r="L41" s="15" t="s">
        <v>131</v>
      </c>
      <c r="M41" s="17" t="s">
        <v>2081</v>
      </c>
      <c r="N41" s="19" t="s">
        <v>73</v>
      </c>
      <c r="O41" s="19" t="s">
        <v>938</v>
      </c>
      <c r="P41" s="20"/>
    </row>
    <row r="42" customFormat="false" ht="42" hidden="false" customHeight="true" outlineLevel="0" collapsed="false">
      <c r="A42" s="15" t="n">
        <v>3</v>
      </c>
      <c r="B42" s="16" t="s">
        <v>1044</v>
      </c>
      <c r="C42" s="17" t="s">
        <v>76</v>
      </c>
      <c r="D42" s="17" t="s">
        <v>1045</v>
      </c>
      <c r="E42" s="17" t="s">
        <v>1046</v>
      </c>
      <c r="F42" s="17" t="s">
        <v>1047</v>
      </c>
      <c r="G42" s="17" t="s">
        <v>1048</v>
      </c>
      <c r="H42" s="17" t="s">
        <v>161</v>
      </c>
      <c r="I42" s="17" t="s">
        <v>259</v>
      </c>
      <c r="J42" s="17" t="s">
        <v>1049</v>
      </c>
      <c r="K42" s="18" t="s">
        <v>1050</v>
      </c>
      <c r="L42" s="15" t="s">
        <v>131</v>
      </c>
      <c r="M42" s="17" t="s">
        <v>2082</v>
      </c>
      <c r="N42" s="19" t="s">
        <v>73</v>
      </c>
      <c r="O42" s="19" t="s">
        <v>621</v>
      </c>
      <c r="P42" s="20"/>
    </row>
    <row r="43" customFormat="false" ht="42" hidden="false" customHeight="true" outlineLevel="0" collapsed="false">
      <c r="A43" s="15" t="n">
        <v>3</v>
      </c>
      <c r="B43" s="16" t="s">
        <v>1052</v>
      </c>
      <c r="C43" s="17" t="s">
        <v>76</v>
      </c>
      <c r="D43" s="17" t="s">
        <v>88</v>
      </c>
      <c r="E43" s="17" t="s">
        <v>1053</v>
      </c>
      <c r="F43" s="17" t="s">
        <v>1054</v>
      </c>
      <c r="G43" s="17" t="s">
        <v>1055</v>
      </c>
      <c r="H43" s="17" t="s">
        <v>161</v>
      </c>
      <c r="I43" s="17" t="s">
        <v>259</v>
      </c>
      <c r="J43" s="17" t="s">
        <v>1049</v>
      </c>
      <c r="K43" s="18" t="s">
        <v>1056</v>
      </c>
      <c r="L43" s="15" t="s">
        <v>131</v>
      </c>
      <c r="M43" s="17" t="s">
        <v>2083</v>
      </c>
      <c r="N43" s="19" t="s">
        <v>73</v>
      </c>
      <c r="O43" s="19" t="s">
        <v>621</v>
      </c>
      <c r="P43" s="20"/>
    </row>
    <row r="44" customFormat="false" ht="42" hidden="false" customHeight="true" outlineLevel="0" collapsed="false">
      <c r="A44" s="15" t="n">
        <v>3</v>
      </c>
      <c r="B44" s="16" t="s">
        <v>1089</v>
      </c>
      <c r="C44" s="17" t="s">
        <v>178</v>
      </c>
      <c r="D44" s="17" t="s">
        <v>88</v>
      </c>
      <c r="E44" s="17" t="s">
        <v>1090</v>
      </c>
      <c r="F44" s="17" t="s">
        <v>1091</v>
      </c>
      <c r="G44" s="17" t="s">
        <v>1092</v>
      </c>
      <c r="H44" s="17" t="s">
        <v>1093</v>
      </c>
      <c r="I44" s="17" t="s">
        <v>259</v>
      </c>
      <c r="J44" s="17" t="s">
        <v>1094</v>
      </c>
      <c r="K44" s="18" t="s">
        <v>1095</v>
      </c>
      <c r="L44" s="15" t="s">
        <v>131</v>
      </c>
      <c r="M44" s="17" t="s">
        <v>2084</v>
      </c>
      <c r="N44" s="19" t="s">
        <v>73</v>
      </c>
      <c r="O44" s="19" t="s">
        <v>992</v>
      </c>
      <c r="P44" s="20"/>
    </row>
    <row r="45" customFormat="false" ht="54.75" hidden="false" customHeight="true" outlineLevel="0" collapsed="false">
      <c r="A45" s="15" t="n">
        <v>3</v>
      </c>
      <c r="B45" s="16" t="s">
        <v>1319</v>
      </c>
      <c r="C45" s="17" t="s">
        <v>62</v>
      </c>
      <c r="D45" s="17" t="s">
        <v>1320</v>
      </c>
      <c r="E45" s="17" t="s">
        <v>1321</v>
      </c>
      <c r="F45" s="17" t="s">
        <v>1322</v>
      </c>
      <c r="G45" s="17" t="s">
        <v>1323</v>
      </c>
      <c r="H45" s="17" t="s">
        <v>1324</v>
      </c>
      <c r="I45" s="17" t="s">
        <v>1325</v>
      </c>
      <c r="J45" s="17" t="s">
        <v>208</v>
      </c>
      <c r="K45" s="18" t="s">
        <v>1326</v>
      </c>
      <c r="L45" s="15" t="s">
        <v>131</v>
      </c>
      <c r="M45" s="17" t="s">
        <v>2085</v>
      </c>
      <c r="N45" s="19" t="s">
        <v>73</v>
      </c>
      <c r="O45" s="19" t="s">
        <v>417</v>
      </c>
      <c r="P45" s="20"/>
    </row>
    <row r="46" customFormat="false" ht="42" hidden="false" customHeight="true" outlineLevel="0" collapsed="false">
      <c r="A46" s="15" t="n">
        <v>2</v>
      </c>
      <c r="B46" s="16" t="s">
        <v>1470</v>
      </c>
      <c r="C46" s="17" t="s">
        <v>62</v>
      </c>
      <c r="D46" s="17" t="s">
        <v>795</v>
      </c>
      <c r="E46" s="17" t="s">
        <v>1471</v>
      </c>
      <c r="F46" s="17" t="s">
        <v>1472</v>
      </c>
      <c r="G46" s="17" t="s">
        <v>1473</v>
      </c>
      <c r="H46" s="17" t="s">
        <v>1474</v>
      </c>
      <c r="I46" s="17" t="s">
        <v>259</v>
      </c>
      <c r="J46" s="17" t="s">
        <v>1475</v>
      </c>
      <c r="K46" s="18" t="s">
        <v>1476</v>
      </c>
      <c r="L46" s="15" t="s">
        <v>71</v>
      </c>
      <c r="M46" s="17" t="s">
        <v>2086</v>
      </c>
      <c r="N46" s="19" t="s">
        <v>73</v>
      </c>
      <c r="O46" s="19" t="s">
        <v>699</v>
      </c>
      <c r="P46" s="20"/>
    </row>
    <row r="47" customFormat="false" ht="42" hidden="false" customHeight="true" outlineLevel="0" collapsed="false">
      <c r="A47" s="15" t="n">
        <v>2</v>
      </c>
      <c r="B47" s="16" t="s">
        <v>1486</v>
      </c>
      <c r="C47" s="17" t="s">
        <v>62</v>
      </c>
      <c r="D47" s="17" t="s">
        <v>1487</v>
      </c>
      <c r="E47" s="17" t="s">
        <v>1488</v>
      </c>
      <c r="F47" s="17" t="s">
        <v>1489</v>
      </c>
      <c r="G47" s="17" t="s">
        <v>1490</v>
      </c>
      <c r="H47" s="17" t="s">
        <v>1491</v>
      </c>
      <c r="I47" s="17" t="s">
        <v>1492</v>
      </c>
      <c r="J47" s="17" t="s">
        <v>1493</v>
      </c>
      <c r="K47" s="18" t="s">
        <v>1494</v>
      </c>
      <c r="L47" s="15" t="s">
        <v>71</v>
      </c>
      <c r="M47" s="17" t="s">
        <v>2087</v>
      </c>
      <c r="N47" s="19" t="s">
        <v>73</v>
      </c>
      <c r="O47" s="19" t="s">
        <v>658</v>
      </c>
      <c r="P47" s="20"/>
    </row>
    <row r="48" customFormat="false" ht="80.25" hidden="false" customHeight="true" outlineLevel="0" collapsed="false">
      <c r="A48" s="15" t="n">
        <v>2</v>
      </c>
      <c r="B48" s="16" t="s">
        <v>1605</v>
      </c>
      <c r="C48" s="17" t="s">
        <v>76</v>
      </c>
      <c r="D48" s="17" t="s">
        <v>179</v>
      </c>
      <c r="E48" s="17" t="s">
        <v>1606</v>
      </c>
      <c r="F48" s="17" t="s">
        <v>1607</v>
      </c>
      <c r="G48" s="17" t="s">
        <v>1608</v>
      </c>
      <c r="H48" s="17" t="s">
        <v>1609</v>
      </c>
      <c r="I48" s="17" t="s">
        <v>259</v>
      </c>
      <c r="J48" s="17" t="s">
        <v>451</v>
      </c>
      <c r="K48" s="18" t="s">
        <v>1610</v>
      </c>
      <c r="L48" s="15" t="s">
        <v>131</v>
      </c>
      <c r="M48" s="17" t="s">
        <v>2088</v>
      </c>
      <c r="N48" s="19" t="s">
        <v>73</v>
      </c>
      <c r="O48" s="19" t="s">
        <v>938</v>
      </c>
      <c r="P48" s="20"/>
    </row>
    <row r="49" customFormat="false" ht="42" hidden="false" customHeight="true" outlineLevel="0" collapsed="false">
      <c r="A49" s="15" t="n">
        <v>2</v>
      </c>
      <c r="B49" s="16" t="s">
        <v>1907</v>
      </c>
      <c r="C49" s="17" t="s">
        <v>265</v>
      </c>
      <c r="D49" s="17" t="s">
        <v>146</v>
      </c>
      <c r="E49" s="17" t="s">
        <v>1908</v>
      </c>
      <c r="F49" s="17" t="s">
        <v>1909</v>
      </c>
      <c r="G49" s="17" t="s">
        <v>1910</v>
      </c>
      <c r="H49" s="17" t="s">
        <v>1911</v>
      </c>
      <c r="I49" s="17" t="s">
        <v>1912</v>
      </c>
      <c r="J49" s="17" t="s">
        <v>208</v>
      </c>
      <c r="K49" s="18" t="s">
        <v>1913</v>
      </c>
      <c r="L49" s="15" t="s">
        <v>71</v>
      </c>
      <c r="M49" s="17" t="s">
        <v>2089</v>
      </c>
      <c r="N49" s="19" t="s">
        <v>73</v>
      </c>
      <c r="O49" s="19" t="s">
        <v>658</v>
      </c>
      <c r="P49" s="20"/>
    </row>
    <row r="50" customFormat="false" ht="15" hidden="false" customHeight="false" outlineLevel="0" collapsed="false">
      <c r="P50" s="21"/>
    </row>
    <row r="51" customFormat="false" ht="15" hidden="false" customHeight="false" outlineLevel="0" collapsed="false">
      <c r="P51" s="21"/>
    </row>
    <row r="52" customFormat="false" ht="15" hidden="false" customHeight="false" outlineLevel="0" collapsed="false">
      <c r="P52" s="21"/>
    </row>
    <row r="53" customFormat="false" ht="15" hidden="false" customHeight="false" outlineLevel="0" collapsed="false">
      <c r="P53" s="21"/>
    </row>
    <row r="54" customFormat="false" ht="15" hidden="false" customHeight="false" outlineLevel="0" collapsed="false">
      <c r="P54" s="21"/>
    </row>
    <row r="55" customFormat="false" ht="15" hidden="false" customHeight="false" outlineLevel="0" collapsed="false">
      <c r="P55" s="21"/>
    </row>
    <row r="56" customFormat="false" ht="15" hidden="false" customHeight="false" outlineLevel="0" collapsed="false">
      <c r="P56" s="21"/>
    </row>
    <row r="57" customFormat="false" ht="15" hidden="false" customHeight="false" outlineLevel="0" collapsed="false">
      <c r="P57" s="21"/>
    </row>
    <row r="58" customFormat="false" ht="15" hidden="false" customHeight="false" outlineLevel="0" collapsed="false">
      <c r="P58" s="21"/>
    </row>
    <row r="59" customFormat="false" ht="15" hidden="false" customHeight="false" outlineLevel="0" collapsed="false">
      <c r="P59" s="21"/>
    </row>
    <row r="60" customFormat="false" ht="15" hidden="false" customHeight="false" outlineLevel="0" collapsed="false">
      <c r="P60" s="21"/>
    </row>
    <row r="61" customFormat="false" ht="15" hidden="false" customHeight="false" outlineLevel="0" collapsed="false">
      <c r="P61" s="21"/>
    </row>
    <row r="62" customFormat="false" ht="15" hidden="false" customHeight="false" outlineLevel="0" collapsed="false">
      <c r="P62" s="21"/>
    </row>
    <row r="63" customFormat="false" ht="15" hidden="false" customHeight="false" outlineLevel="0" collapsed="false">
      <c r="P63" s="21"/>
    </row>
    <row r="64" customFormat="false" ht="15" hidden="false" customHeight="false" outlineLevel="0" collapsed="false">
      <c r="P64" s="21"/>
    </row>
    <row r="65" customFormat="false" ht="15" hidden="false" customHeight="false" outlineLevel="0" collapsed="false">
      <c r="P65" s="21"/>
    </row>
    <row r="66" customFormat="false" ht="15" hidden="false" customHeight="false" outlineLevel="0" collapsed="false">
      <c r="P66" s="21"/>
    </row>
    <row r="67" customFormat="false" ht="15" hidden="false" customHeight="false" outlineLevel="0" collapsed="false">
      <c r="P67" s="21"/>
    </row>
    <row r="68" customFormat="false" ht="15" hidden="false" customHeight="false" outlineLevel="0" collapsed="false">
      <c r="P68" s="21"/>
    </row>
    <row r="69" customFormat="false" ht="15" hidden="false" customHeight="false" outlineLevel="0" collapsed="false">
      <c r="P69" s="21"/>
    </row>
    <row r="70" customFormat="false" ht="15" hidden="false" customHeight="false" outlineLevel="0" collapsed="false">
      <c r="P70" s="21"/>
    </row>
    <row r="71" customFormat="false" ht="15" hidden="false" customHeight="false" outlineLevel="0" collapsed="false">
      <c r="P71" s="21"/>
    </row>
    <row r="72" customFormat="false" ht="15" hidden="false" customHeight="false" outlineLevel="0" collapsed="false">
      <c r="P72" s="21"/>
    </row>
    <row r="73" customFormat="false" ht="15" hidden="false" customHeight="false" outlineLevel="0" collapsed="false">
      <c r="P73" s="21"/>
    </row>
    <row r="74" customFormat="false" ht="15" hidden="false" customHeight="false" outlineLevel="0" collapsed="false">
      <c r="P74" s="21"/>
    </row>
    <row r="75" customFormat="false" ht="15" hidden="false" customHeight="false" outlineLevel="0" collapsed="false">
      <c r="P75" s="21"/>
    </row>
    <row r="76" customFormat="false" ht="15" hidden="false" customHeight="false" outlineLevel="0" collapsed="false">
      <c r="P76" s="21"/>
    </row>
    <row r="77" customFormat="false" ht="15" hidden="false" customHeight="false" outlineLevel="0" collapsed="false">
      <c r="P77" s="21"/>
    </row>
    <row r="78" customFormat="false" ht="15" hidden="false" customHeight="false" outlineLevel="0" collapsed="false">
      <c r="P78" s="21"/>
    </row>
    <row r="79" customFormat="false" ht="15" hidden="false" customHeight="false" outlineLevel="0" collapsed="false">
      <c r="P79" s="21"/>
    </row>
    <row r="80" customFormat="false" ht="15" hidden="false" customHeight="false" outlineLevel="0" collapsed="false">
      <c r="P80" s="21"/>
    </row>
    <row r="81" customFormat="false" ht="15" hidden="false" customHeight="false" outlineLevel="0" collapsed="false">
      <c r="P81" s="21"/>
    </row>
    <row r="82" customFormat="false" ht="15" hidden="false" customHeight="false" outlineLevel="0" collapsed="false">
      <c r="P82" s="21"/>
    </row>
    <row r="83" customFormat="false" ht="15" hidden="false" customHeight="false" outlineLevel="0" collapsed="false">
      <c r="P83" s="21"/>
    </row>
    <row r="84" customFormat="false" ht="15" hidden="false" customHeight="false" outlineLevel="0" collapsed="false">
      <c r="P84" s="21"/>
    </row>
    <row r="85" customFormat="false" ht="15" hidden="false" customHeight="false" outlineLevel="0" collapsed="false">
      <c r="P85" s="21"/>
    </row>
    <row r="86" customFormat="false" ht="15" hidden="false" customHeight="false" outlineLevel="0" collapsed="false">
      <c r="P86" s="21"/>
    </row>
    <row r="87" customFormat="false" ht="15" hidden="false" customHeight="false" outlineLevel="0" collapsed="false">
      <c r="P87" s="21"/>
    </row>
    <row r="88" customFormat="false" ht="15" hidden="false" customHeight="false" outlineLevel="0" collapsed="false">
      <c r="P88" s="21"/>
    </row>
    <row r="89" customFormat="false" ht="15" hidden="false" customHeight="false" outlineLevel="0" collapsed="false">
      <c r="P89" s="21"/>
    </row>
    <row r="90" customFormat="false" ht="15" hidden="false" customHeight="false" outlineLevel="0" collapsed="false">
      <c r="P90" s="21"/>
    </row>
    <row r="91" customFormat="false" ht="15" hidden="false" customHeight="false" outlineLevel="0" collapsed="false">
      <c r="P91" s="21"/>
    </row>
    <row r="92" customFormat="false" ht="15" hidden="false" customHeight="false" outlineLevel="0" collapsed="false">
      <c r="P92" s="21"/>
    </row>
    <row r="93" customFormat="false" ht="15" hidden="false" customHeight="false" outlineLevel="0" collapsed="false">
      <c r="P93" s="21"/>
    </row>
    <row r="94" customFormat="false" ht="15" hidden="false" customHeight="false" outlineLevel="0" collapsed="false">
      <c r="P94" s="21"/>
    </row>
    <row r="95" customFormat="false" ht="15" hidden="false" customHeight="false" outlineLevel="0" collapsed="false">
      <c r="P95" s="21"/>
    </row>
    <row r="96" customFormat="false" ht="15" hidden="false" customHeight="false" outlineLevel="0" collapsed="false">
      <c r="P96" s="21"/>
    </row>
    <row r="97" customFormat="false" ht="15" hidden="false" customHeight="false" outlineLevel="0" collapsed="false">
      <c r="P97" s="21"/>
    </row>
    <row r="98" customFormat="false" ht="15" hidden="false" customHeight="false" outlineLevel="0" collapsed="false">
      <c r="P98" s="21"/>
    </row>
    <row r="99" customFormat="false" ht="15" hidden="false" customHeight="false" outlineLevel="0" collapsed="false">
      <c r="P99" s="21"/>
    </row>
    <row r="100" customFormat="false" ht="15" hidden="false" customHeight="false" outlineLevel="0" collapsed="false">
      <c r="P100" s="21"/>
    </row>
    <row r="101" customFormat="false" ht="15" hidden="false" customHeight="false" outlineLevel="0" collapsed="false">
      <c r="P101" s="21"/>
    </row>
    <row r="102" customFormat="false" ht="15" hidden="false" customHeight="false" outlineLevel="0" collapsed="false">
      <c r="P102" s="21"/>
    </row>
    <row r="103" customFormat="false" ht="15" hidden="false" customHeight="false" outlineLevel="0" collapsed="false">
      <c r="P103" s="21"/>
    </row>
    <row r="104" customFormat="false" ht="15" hidden="false" customHeight="false" outlineLevel="0" collapsed="false">
      <c r="P104" s="21"/>
    </row>
    <row r="105" customFormat="false" ht="15" hidden="false" customHeight="false" outlineLevel="0" collapsed="false">
      <c r="P105" s="21"/>
    </row>
    <row r="106" customFormat="false" ht="15" hidden="false" customHeight="false" outlineLevel="0" collapsed="false">
      <c r="P106" s="21"/>
    </row>
    <row r="107" customFormat="false" ht="15" hidden="false" customHeight="false" outlineLevel="0" collapsed="false">
      <c r="P107" s="21"/>
    </row>
    <row r="108" customFormat="false" ht="15" hidden="false" customHeight="false" outlineLevel="0" collapsed="false">
      <c r="P108" s="21"/>
    </row>
    <row r="109" customFormat="false" ht="15" hidden="false" customHeight="false" outlineLevel="0" collapsed="false">
      <c r="P109" s="21"/>
    </row>
    <row r="110" customFormat="false" ht="15" hidden="false" customHeight="false" outlineLevel="0" collapsed="false">
      <c r="P110" s="21"/>
    </row>
    <row r="111" customFormat="false" ht="15" hidden="false" customHeight="false" outlineLevel="0" collapsed="false">
      <c r="P111" s="21"/>
    </row>
    <row r="112" customFormat="false" ht="15" hidden="false" customHeight="false" outlineLevel="0" collapsed="false">
      <c r="P112" s="21"/>
    </row>
    <row r="113" customFormat="false" ht="15" hidden="false" customHeight="false" outlineLevel="0" collapsed="false">
      <c r="P113" s="21"/>
    </row>
    <row r="114" customFormat="false" ht="15" hidden="false" customHeight="false" outlineLevel="0" collapsed="false">
      <c r="P114" s="21"/>
    </row>
    <row r="115" customFormat="false" ht="15" hidden="false" customHeight="false" outlineLevel="0" collapsed="false">
      <c r="P115" s="21"/>
    </row>
    <row r="116" customFormat="false" ht="15" hidden="false" customHeight="false" outlineLevel="0" collapsed="false">
      <c r="P116" s="21"/>
    </row>
    <row r="117" customFormat="false" ht="15" hidden="false" customHeight="false" outlineLevel="0" collapsed="false">
      <c r="P117" s="21"/>
    </row>
    <row r="118" customFormat="false" ht="15" hidden="false" customHeight="false" outlineLevel="0" collapsed="false">
      <c r="P118" s="21"/>
    </row>
    <row r="119" customFormat="false" ht="15" hidden="false" customHeight="false" outlineLevel="0" collapsed="false">
      <c r="P119" s="21"/>
    </row>
    <row r="120" customFormat="false" ht="15" hidden="false" customHeight="false" outlineLevel="0" collapsed="false">
      <c r="P120" s="21"/>
    </row>
    <row r="121" customFormat="false" ht="15" hidden="false" customHeight="false" outlineLevel="0" collapsed="false">
      <c r="P121" s="21"/>
    </row>
    <row r="122" customFormat="false" ht="15" hidden="false" customHeight="false" outlineLevel="0" collapsed="false">
      <c r="P122" s="21"/>
    </row>
    <row r="123" customFormat="false" ht="15" hidden="false" customHeight="false" outlineLevel="0" collapsed="false">
      <c r="P123" s="21"/>
    </row>
    <row r="124" customFormat="false" ht="15" hidden="false" customHeight="false" outlineLevel="0" collapsed="false">
      <c r="P124" s="21"/>
    </row>
    <row r="125" customFormat="false" ht="15" hidden="false" customHeight="false" outlineLevel="0" collapsed="false">
      <c r="P125" s="21"/>
    </row>
    <row r="126" customFormat="false" ht="15" hidden="false" customHeight="false" outlineLevel="0" collapsed="false">
      <c r="P126" s="21"/>
    </row>
    <row r="127" customFormat="false" ht="15" hidden="false" customHeight="false" outlineLevel="0" collapsed="false">
      <c r="P127" s="21"/>
    </row>
    <row r="128" customFormat="false" ht="15" hidden="false" customHeight="false" outlineLevel="0" collapsed="false">
      <c r="P128" s="21"/>
    </row>
    <row r="129" customFormat="false" ht="15" hidden="false" customHeight="false" outlineLevel="0" collapsed="false">
      <c r="P129" s="21"/>
    </row>
    <row r="130" customFormat="false" ht="15" hidden="false" customHeight="false" outlineLevel="0" collapsed="false">
      <c r="P130" s="21"/>
    </row>
    <row r="131" customFormat="false" ht="15" hidden="false" customHeight="false" outlineLevel="0" collapsed="false">
      <c r="P131" s="21"/>
    </row>
    <row r="132" customFormat="false" ht="15" hidden="false" customHeight="false" outlineLevel="0" collapsed="false">
      <c r="P132" s="21"/>
    </row>
    <row r="133" customFormat="false" ht="15" hidden="false" customHeight="false" outlineLevel="0" collapsed="false">
      <c r="P133" s="21"/>
    </row>
    <row r="134" customFormat="false" ht="15" hidden="false" customHeight="false" outlineLevel="0" collapsed="false">
      <c r="P134" s="21"/>
    </row>
    <row r="135" customFormat="false" ht="15" hidden="false" customHeight="false" outlineLevel="0" collapsed="false">
      <c r="P135" s="21"/>
    </row>
    <row r="136" customFormat="false" ht="15" hidden="false" customHeight="false" outlineLevel="0" collapsed="false">
      <c r="P136" s="21"/>
    </row>
    <row r="137" customFormat="false" ht="15" hidden="false" customHeight="false" outlineLevel="0" collapsed="false">
      <c r="P137" s="21"/>
    </row>
    <row r="138" customFormat="false" ht="15" hidden="false" customHeight="false" outlineLevel="0" collapsed="false">
      <c r="P138" s="21"/>
    </row>
    <row r="139" customFormat="false" ht="15" hidden="false" customHeight="false" outlineLevel="0" collapsed="false">
      <c r="P139" s="21"/>
    </row>
    <row r="140" customFormat="false" ht="15" hidden="false" customHeight="false" outlineLevel="0" collapsed="false">
      <c r="P140" s="21"/>
    </row>
    <row r="141" customFormat="false" ht="15" hidden="false" customHeight="false" outlineLevel="0" collapsed="false">
      <c r="P141" s="21"/>
    </row>
    <row r="142" customFormat="false" ht="15" hidden="false" customHeight="false" outlineLevel="0" collapsed="false">
      <c r="P142" s="21"/>
    </row>
    <row r="143" customFormat="false" ht="15" hidden="false" customHeight="false" outlineLevel="0" collapsed="false">
      <c r="P143" s="21"/>
    </row>
    <row r="144" customFormat="false" ht="15" hidden="false" customHeight="false" outlineLevel="0" collapsed="false">
      <c r="P144" s="21"/>
    </row>
    <row r="145" customFormat="false" ht="15" hidden="false" customHeight="false" outlineLevel="0" collapsed="false">
      <c r="P145" s="21"/>
    </row>
    <row r="146" customFormat="false" ht="15" hidden="false" customHeight="false" outlineLevel="0" collapsed="false">
      <c r="P146" s="21"/>
    </row>
    <row r="147" customFormat="false" ht="15" hidden="false" customHeight="false" outlineLevel="0" collapsed="false">
      <c r="P147" s="21"/>
    </row>
    <row r="148" customFormat="false" ht="15" hidden="false" customHeight="false" outlineLevel="0" collapsed="false">
      <c r="P148" s="21"/>
    </row>
    <row r="149" customFormat="false" ht="15" hidden="false" customHeight="false" outlineLevel="0" collapsed="false">
      <c r="P149" s="21"/>
    </row>
    <row r="150" customFormat="false" ht="15" hidden="false" customHeight="false" outlineLevel="0" collapsed="false">
      <c r="P150" s="21"/>
    </row>
    <row r="151" customFormat="false" ht="15" hidden="false" customHeight="false" outlineLevel="0" collapsed="false">
      <c r="P151" s="21"/>
    </row>
    <row r="152" customFormat="false" ht="15" hidden="false" customHeight="false" outlineLevel="0" collapsed="false">
      <c r="P152" s="21"/>
    </row>
    <row r="153" customFormat="false" ht="15" hidden="false" customHeight="false" outlineLevel="0" collapsed="false">
      <c r="P153" s="21"/>
    </row>
    <row r="154" customFormat="false" ht="15" hidden="false" customHeight="false" outlineLevel="0" collapsed="false">
      <c r="P154" s="21"/>
    </row>
    <row r="155" customFormat="false" ht="15" hidden="false" customHeight="false" outlineLevel="0" collapsed="false">
      <c r="P155" s="21"/>
    </row>
    <row r="156" customFormat="false" ht="15" hidden="false" customHeight="false" outlineLevel="0" collapsed="false">
      <c r="P156" s="21"/>
    </row>
    <row r="157" customFormat="false" ht="15" hidden="false" customHeight="false" outlineLevel="0" collapsed="false">
      <c r="P157" s="21"/>
    </row>
    <row r="158" customFormat="false" ht="15" hidden="false" customHeight="false" outlineLevel="0" collapsed="false">
      <c r="P158" s="21"/>
    </row>
    <row r="159" customFormat="false" ht="15" hidden="false" customHeight="false" outlineLevel="0" collapsed="false">
      <c r="P159" s="21"/>
    </row>
    <row r="160" customFormat="false" ht="15" hidden="false" customHeight="false" outlineLevel="0" collapsed="false">
      <c r="P160" s="21"/>
    </row>
    <row r="161" customFormat="false" ht="15" hidden="false" customHeight="false" outlineLevel="0" collapsed="false">
      <c r="P161" s="21"/>
    </row>
    <row r="162" customFormat="false" ht="15" hidden="false" customHeight="false" outlineLevel="0" collapsed="false">
      <c r="P162" s="21"/>
    </row>
    <row r="163" customFormat="false" ht="15" hidden="false" customHeight="false" outlineLevel="0" collapsed="false">
      <c r="P163" s="21"/>
    </row>
    <row r="164" customFormat="false" ht="15" hidden="false" customHeight="false" outlineLevel="0" collapsed="false">
      <c r="P164" s="21"/>
    </row>
    <row r="165" customFormat="false" ht="15" hidden="false" customHeight="false" outlineLevel="0" collapsed="false">
      <c r="P165" s="21"/>
    </row>
    <row r="166" customFormat="false" ht="15" hidden="false" customHeight="false" outlineLevel="0" collapsed="false">
      <c r="P166" s="21"/>
    </row>
    <row r="167" customFormat="false" ht="15" hidden="false" customHeight="false" outlineLevel="0" collapsed="false">
      <c r="P167" s="21"/>
    </row>
    <row r="168" customFormat="false" ht="15" hidden="false" customHeight="false" outlineLevel="0" collapsed="false">
      <c r="P168" s="21"/>
    </row>
    <row r="169" customFormat="false" ht="15" hidden="false" customHeight="false" outlineLevel="0" collapsed="false">
      <c r="P169" s="21"/>
    </row>
    <row r="170" customFormat="false" ht="15" hidden="false" customHeight="false" outlineLevel="0" collapsed="false">
      <c r="P170" s="21"/>
    </row>
    <row r="171" customFormat="false" ht="15" hidden="false" customHeight="false" outlineLevel="0" collapsed="false">
      <c r="P171" s="21"/>
    </row>
    <row r="172" customFormat="false" ht="15" hidden="false" customHeight="false" outlineLevel="0" collapsed="false">
      <c r="P172" s="21"/>
    </row>
    <row r="173" customFormat="false" ht="15" hidden="false" customHeight="false" outlineLevel="0" collapsed="false">
      <c r="P173" s="21"/>
    </row>
    <row r="174" customFormat="false" ht="15" hidden="false" customHeight="false" outlineLevel="0" collapsed="false">
      <c r="P174" s="21"/>
    </row>
    <row r="175" customFormat="false" ht="15" hidden="false" customHeight="false" outlineLevel="0" collapsed="false">
      <c r="P175" s="21"/>
    </row>
    <row r="176" customFormat="false" ht="15" hidden="false" customHeight="false" outlineLevel="0" collapsed="false">
      <c r="P176" s="21"/>
    </row>
    <row r="177" customFormat="false" ht="15" hidden="false" customHeight="false" outlineLevel="0" collapsed="false">
      <c r="P177" s="21"/>
    </row>
    <row r="178" customFormat="false" ht="15" hidden="false" customHeight="false" outlineLevel="0" collapsed="false">
      <c r="P178" s="21"/>
    </row>
    <row r="179" customFormat="false" ht="15" hidden="false" customHeight="false" outlineLevel="0" collapsed="false">
      <c r="P179" s="21"/>
    </row>
    <row r="180" customFormat="false" ht="15" hidden="false" customHeight="false" outlineLevel="0" collapsed="false">
      <c r="P180" s="21"/>
    </row>
    <row r="181" customFormat="false" ht="15" hidden="false" customHeight="false" outlineLevel="0" collapsed="false">
      <c r="P181" s="21"/>
    </row>
    <row r="182" customFormat="false" ht="15" hidden="false" customHeight="false" outlineLevel="0" collapsed="false">
      <c r="P182" s="21"/>
    </row>
    <row r="183" customFormat="false" ht="15" hidden="false" customHeight="false" outlineLevel="0" collapsed="false">
      <c r="P183" s="21"/>
    </row>
    <row r="184" customFormat="false" ht="15" hidden="false" customHeight="false" outlineLevel="0" collapsed="false">
      <c r="P184" s="21"/>
    </row>
    <row r="185" customFormat="false" ht="15" hidden="false" customHeight="false" outlineLevel="0" collapsed="false">
      <c r="P185" s="21"/>
    </row>
    <row r="186" customFormat="false" ht="15" hidden="false" customHeight="false" outlineLevel="0" collapsed="false">
      <c r="P186" s="21"/>
    </row>
    <row r="187" customFormat="false" ht="15" hidden="false" customHeight="false" outlineLevel="0" collapsed="false">
      <c r="P187" s="21"/>
    </row>
    <row r="188" customFormat="false" ht="15" hidden="false" customHeight="false" outlineLevel="0" collapsed="false">
      <c r="P188" s="21"/>
    </row>
    <row r="189" customFormat="false" ht="15" hidden="false" customHeight="false" outlineLevel="0" collapsed="false">
      <c r="P189" s="21"/>
    </row>
    <row r="190" customFormat="false" ht="15" hidden="false" customHeight="false" outlineLevel="0" collapsed="false">
      <c r="P190" s="21"/>
    </row>
    <row r="191" customFormat="false" ht="15" hidden="false" customHeight="false" outlineLevel="0" collapsed="false">
      <c r="P191" s="21"/>
    </row>
    <row r="192" customFormat="false" ht="15" hidden="false" customHeight="false" outlineLevel="0" collapsed="false">
      <c r="P192" s="21"/>
    </row>
    <row r="193" customFormat="false" ht="15" hidden="false" customHeight="false" outlineLevel="0" collapsed="false">
      <c r="P193" s="21"/>
    </row>
    <row r="194" customFormat="false" ht="15" hidden="false" customHeight="false" outlineLevel="0" collapsed="false">
      <c r="P194" s="21"/>
    </row>
    <row r="195" customFormat="false" ht="15" hidden="false" customHeight="false" outlineLevel="0" collapsed="false">
      <c r="P195" s="21"/>
    </row>
    <row r="196" customFormat="false" ht="15" hidden="false" customHeight="false" outlineLevel="0" collapsed="false">
      <c r="P196" s="21"/>
    </row>
    <row r="197" customFormat="false" ht="15" hidden="false" customHeight="false" outlineLevel="0" collapsed="false">
      <c r="P197" s="21"/>
    </row>
    <row r="198" customFormat="false" ht="15" hidden="false" customHeight="false" outlineLevel="0" collapsed="false">
      <c r="P198" s="21"/>
    </row>
    <row r="199" customFormat="false" ht="15" hidden="false" customHeight="false" outlineLevel="0" collapsed="false">
      <c r="P199" s="21"/>
    </row>
    <row r="200" customFormat="false" ht="15" hidden="false" customHeight="false" outlineLevel="0" collapsed="false">
      <c r="P200" s="21"/>
    </row>
    <row r="201" customFormat="false" ht="15" hidden="false" customHeight="false" outlineLevel="0" collapsed="false">
      <c r="P201" s="21"/>
    </row>
    <row r="202" customFormat="false" ht="15" hidden="false" customHeight="false" outlineLevel="0" collapsed="false">
      <c r="P202" s="21"/>
    </row>
    <row r="203" customFormat="false" ht="15" hidden="false" customHeight="false" outlineLevel="0" collapsed="false">
      <c r="P203" s="21"/>
    </row>
    <row r="204" customFormat="false" ht="15" hidden="false" customHeight="false" outlineLevel="0" collapsed="false">
      <c r="P204" s="21"/>
    </row>
    <row r="205" customFormat="false" ht="15" hidden="false" customHeight="false" outlineLevel="0" collapsed="false">
      <c r="P205" s="21"/>
    </row>
    <row r="206" customFormat="false" ht="15" hidden="false" customHeight="false" outlineLevel="0" collapsed="false">
      <c r="P206" s="21"/>
    </row>
    <row r="207" customFormat="false" ht="15" hidden="false" customHeight="false" outlineLevel="0" collapsed="false">
      <c r="P207" s="21"/>
    </row>
    <row r="208" customFormat="false" ht="15" hidden="false" customHeight="false" outlineLevel="0" collapsed="false">
      <c r="P208" s="21"/>
    </row>
    <row r="209" customFormat="false" ht="15" hidden="false" customHeight="false" outlineLevel="0" collapsed="false">
      <c r="P209" s="21"/>
    </row>
    <row r="210" customFormat="false" ht="15" hidden="false" customHeight="false" outlineLevel="0" collapsed="false">
      <c r="P210" s="21"/>
    </row>
    <row r="211" customFormat="false" ht="15" hidden="false" customHeight="false" outlineLevel="0" collapsed="false">
      <c r="P211" s="21"/>
    </row>
    <row r="212" customFormat="false" ht="15" hidden="false" customHeight="false" outlineLevel="0" collapsed="false">
      <c r="P212" s="21"/>
    </row>
    <row r="213" customFormat="false" ht="15" hidden="false" customHeight="false" outlineLevel="0" collapsed="false">
      <c r="P213" s="21"/>
    </row>
    <row r="214" customFormat="false" ht="15" hidden="false" customHeight="false" outlineLevel="0" collapsed="false">
      <c r="P214" s="21"/>
    </row>
    <row r="215" customFormat="false" ht="15" hidden="false" customHeight="false" outlineLevel="0" collapsed="false">
      <c r="P215" s="21"/>
    </row>
    <row r="216" customFormat="false" ht="15" hidden="false" customHeight="false" outlineLevel="0" collapsed="false">
      <c r="P216" s="21"/>
    </row>
    <row r="217" customFormat="false" ht="15" hidden="false" customHeight="false" outlineLevel="0" collapsed="false">
      <c r="P217" s="21"/>
    </row>
    <row r="218" customFormat="false" ht="15" hidden="false" customHeight="false" outlineLevel="0" collapsed="false">
      <c r="P218" s="21"/>
    </row>
    <row r="219" customFormat="false" ht="15" hidden="false" customHeight="false" outlineLevel="0" collapsed="false">
      <c r="P219" s="21"/>
    </row>
    <row r="220" customFormat="false" ht="15" hidden="false" customHeight="false" outlineLevel="0" collapsed="false">
      <c r="P220" s="21"/>
    </row>
    <row r="221" customFormat="false" ht="15" hidden="false" customHeight="false" outlineLevel="0" collapsed="false">
      <c r="P221" s="21"/>
    </row>
    <row r="222" customFormat="false" ht="15" hidden="false" customHeight="false" outlineLevel="0" collapsed="false">
      <c r="P222" s="21"/>
    </row>
    <row r="223" customFormat="false" ht="15" hidden="false" customHeight="false" outlineLevel="0" collapsed="false">
      <c r="P223" s="21"/>
    </row>
    <row r="224" customFormat="false" ht="15" hidden="false" customHeight="false" outlineLevel="0" collapsed="false">
      <c r="P224" s="21"/>
    </row>
    <row r="225" customFormat="false" ht="15" hidden="false" customHeight="false" outlineLevel="0" collapsed="false">
      <c r="P225" s="21"/>
    </row>
    <row r="226" customFormat="false" ht="15" hidden="false" customHeight="false" outlineLevel="0" collapsed="false">
      <c r="P226" s="21"/>
    </row>
    <row r="227" customFormat="false" ht="15" hidden="false" customHeight="false" outlineLevel="0" collapsed="false">
      <c r="P227" s="21"/>
    </row>
    <row r="228" customFormat="false" ht="15" hidden="false" customHeight="false" outlineLevel="0" collapsed="false">
      <c r="P228" s="21"/>
    </row>
    <row r="229" customFormat="false" ht="15" hidden="false" customHeight="false" outlineLevel="0" collapsed="false">
      <c r="P229" s="21"/>
    </row>
    <row r="230" customFormat="false" ht="15" hidden="false" customHeight="false" outlineLevel="0" collapsed="false">
      <c r="P230" s="21"/>
    </row>
    <row r="231" customFormat="false" ht="15" hidden="false" customHeight="false" outlineLevel="0" collapsed="false">
      <c r="P231" s="21"/>
    </row>
    <row r="232" customFormat="false" ht="15" hidden="false" customHeight="false" outlineLevel="0" collapsed="false">
      <c r="P232" s="21"/>
    </row>
    <row r="233" customFormat="false" ht="15" hidden="false" customHeight="false" outlineLevel="0" collapsed="false">
      <c r="P233" s="21"/>
    </row>
    <row r="234" customFormat="false" ht="15" hidden="false" customHeight="false" outlineLevel="0" collapsed="false">
      <c r="P234" s="21"/>
    </row>
    <row r="235" customFormat="false" ht="15" hidden="false" customHeight="false" outlineLevel="0" collapsed="false">
      <c r="P235" s="21"/>
    </row>
    <row r="236" customFormat="false" ht="15" hidden="false" customHeight="false" outlineLevel="0" collapsed="false">
      <c r="P236" s="21"/>
    </row>
    <row r="237" customFormat="false" ht="15" hidden="false" customHeight="false" outlineLevel="0" collapsed="false">
      <c r="P237" s="21"/>
    </row>
    <row r="238" customFormat="false" ht="15" hidden="false" customHeight="false" outlineLevel="0" collapsed="false">
      <c r="P238" s="21"/>
    </row>
    <row r="239" customFormat="false" ht="15" hidden="false" customHeight="false" outlineLevel="0" collapsed="false">
      <c r="P239" s="21"/>
    </row>
    <row r="240" customFormat="false" ht="15" hidden="false" customHeight="false" outlineLevel="0" collapsed="false">
      <c r="P240" s="21"/>
    </row>
    <row r="241" customFormat="false" ht="15" hidden="false" customHeight="false" outlineLevel="0" collapsed="false">
      <c r="P241" s="21"/>
    </row>
    <row r="242" customFormat="false" ht="15" hidden="false" customHeight="false" outlineLevel="0" collapsed="false">
      <c r="P242" s="21"/>
    </row>
    <row r="243" customFormat="false" ht="15" hidden="false" customHeight="false" outlineLevel="0" collapsed="false">
      <c r="P243" s="21"/>
    </row>
    <row r="244" customFormat="false" ht="15" hidden="false" customHeight="false" outlineLevel="0" collapsed="false">
      <c r="P244" s="21"/>
    </row>
    <row r="245" customFormat="false" ht="15" hidden="false" customHeight="false" outlineLevel="0" collapsed="false">
      <c r="P245" s="21"/>
    </row>
    <row r="246" customFormat="false" ht="15" hidden="false" customHeight="false" outlineLevel="0" collapsed="false">
      <c r="P246" s="21"/>
    </row>
    <row r="247" customFormat="false" ht="15" hidden="false" customHeight="false" outlineLevel="0" collapsed="false">
      <c r="P247" s="21"/>
    </row>
    <row r="248" customFormat="false" ht="15" hidden="false" customHeight="false" outlineLevel="0" collapsed="false">
      <c r="P248" s="21"/>
    </row>
    <row r="249" customFormat="false" ht="15" hidden="false" customHeight="false" outlineLevel="0" collapsed="false">
      <c r="P249" s="21"/>
    </row>
  </sheetData>
  <autoFilter ref="A1:P49"/>
  <conditionalFormatting sqref="A2:A49">
    <cfRule type="cellIs" priority="2" operator="equal" aboveAverage="0" equalAverage="0" bottom="0" percent="0" rank="0" text="" dxfId="9">
      <formula>5</formula>
    </cfRule>
    <cfRule type="cellIs" priority="3" operator="equal" aboveAverage="0" equalAverage="0" bottom="0" percent="0" rank="0" text="" dxfId="10">
      <formula>4</formula>
    </cfRule>
  </conditionalFormatting>
  <conditionalFormatting sqref="L2:L49">
    <cfRule type="cellIs" priority="4" operator="equal" aboveAverage="0" equalAverage="0" bottom="0" percent="0" rank="0" text="" dxfId="11">
      <formula>"N"</formula>
    </cfRule>
  </conditionalFormatting>
  <conditionalFormatting sqref="N2:N49">
    <cfRule type="cellIs" priority="5" operator="equal" aboveAverage="0" equalAverage="0" bottom="0" percent="0" rank="0" text="" dxfId="12">
      <formula>"Partner"</formula>
    </cfRule>
    <cfRule type="cellIs" priority="6" operator="equal" aboveAverage="0" equalAverage="0" bottom="0" percent="0" rank="0" text="" dxfId="13">
      <formula>"Declined"</formula>
    </cfRule>
  </conditionalFormatting>
  <dataValidations count="2">
    <dataValidation allowBlank="true" error="Pick a status from the list" errorStyle="stop" errorTitle="Status" operator="between" prompt="Not started / Contacted / Applied / Booked / Partner / Declined" promptTitle="Status" showDropDown="false" showErrorMessage="true" showInputMessage="true" sqref="N2:N249" type="list">
      <formula1>"Not started,Contacted,Applied,Booked,Partner,Declined"</formula1>
      <formula2>0</formula2>
    </dataValidation>
    <dataValidation allowBlank="true" error="Enter a date (yyyy-mm-dd)" errorStyle="stop" operator="greaterThan" showDropDown="false" showErrorMessage="true" showInputMessage="false" sqref="P2:P249" type="date">
      <formula1>DATE(2026,1,1)</formula1>
      <formula2>0</formula2>
    </dataValidation>
  </dataValidations>
  <hyperlinks>
    <hyperlink ref="K2" r:id="rId1" display="https://www.naeyc.org/get-involved/membership/affiliates/network"/>
    <hyperlink ref="K3" r:id="rId2" display="https://nafcc.org/conference/sponsors-and-exhibitors/"/>
    <hyperlink ref="K4" r:id="rId3" display="https://mdaeyc.org/"/>
    <hyperlink ref="K5" r:id="rId4" display="https://www.msfcca.org/annualconference"/>
    <hyperlink ref="K6" r:id="rId5" display="https://parentsasteachers.org/upcoming-events/"/>
    <hyperlink ref="K7" r:id="rId6" display="https://nhsa.org/our-work/state-regional-associations/"/>
    <hyperlink ref="K8" r:id="rId7" display="https://amshq.org/event/the-montessori-event-2027/"/>
    <hyperlink ref="K9" r:id="rId8" display="https://www.earlylearningleaders.org/vendor/conference-exhibits-and-sponsorships/"/>
    <hyperlink ref="K10" r:id="rId9" display="https://www.erafans.org/"/>
    <hyperlink ref="K11" r:id="rId10" display="https://exchangepress.com/"/>
    <hyperlink ref="K12" r:id="rId11" display="https://www.childcareaware.org/resources/ccrr-search/"/>
    <hyperlink ref="K13" r:id="rId12" display="https://www.naeyc.org/events/annual/exhibiting-and-advertising"/>
    <hyperlink ref="K14" r:id="rId13" display="https://nhsa.org/conference/national-head-start-conference-and-expo/"/>
    <hyperlink ref="K15" r:id="rId14" display="https://naturalstart.org/"/>
    <hyperlink ref="K16" r:id="rId15" display="https://waldorfearlychildhood.org/news-and-events/conferences/"/>
    <hyperlink ref="K17" r:id="rId16" display="https://www.zerotothree.org/learn-conference/"/>
    <hyperlink ref="K18" r:id="rId17" display="https://www.familieslearning.org/"/>
    <hyperlink ref="K19" r:id="rId18" display="https://www.seca.info/exhibits"/>
    <hyperlink ref="K20" r:id="rId19" display="https://www.dcaeyc.org/"/>
    <hyperlink ref="K21" r:id="rId20" display="https://marylandfamilynetwork.org/our-work/child-care-resource-network/"/>
    <hyperlink ref="K22" r:id="rId21" display="https://mscca.org/event/conference-by-the-sea/"/>
    <hyperlink ref="K23" r:id="rId22" display="https://vaaeyc.org/events/annual-conference/"/>
    <hyperlink ref="K24" r:id="rId23" display="https://mdearlychildhoodconference.com/"/>
    <hyperlink ref="K25" r:id="rId24" display="https://www.md-hsa.org/"/>
    <hyperlink ref="K26" r:id="rId25" display="https://www.publicwaldorf.org/annualconference"/>
    <hyperlink ref="K27" r:id="rId26" display="https://acsi.org/events-and-community/exhibitor-and-advertiser-information"/>
    <hyperlink ref="K28" r:id="rId27" display="https://www.childcareaware.org/"/>
    <hyperlink ref="K29" r:id="rId28" display="https://dey.org/"/>
    <hyperlink ref="K30" r:id="rId29" display="https://earlychildhoodchristiannetwork.com/conferences-3/"/>
    <hyperlink ref="K31" r:id="rId30" display="https://www.earlychildhoodinvestigations.com/"/>
    <hyperlink ref="K32" r:id="rId31" display="https://ecerjevents.com/"/>
    <hyperlink ref="K33" r:id="rId32" display="https://www.hippyus.org/conference/"/>
    <hyperlink ref="K34" r:id="rId33" display="https://www.public-montessori.org/"/>
    <hyperlink ref="K35" r:id="rId34" display="https://www.reggioalliance.org/conferences/"/>
    <hyperlink ref="K36" r:id="rId35" display="https://www.startearly.org/event/home-visiting-summit/sponsorship/"/>
    <hyperlink ref="K37" r:id="rId36" display="https://www.amiusa.org/event/the-2027-montessori-experience-refresher-courses-and-more"/>
    <hyperlink ref="K38" r:id="rId37" display="https://mo.lcms.org/early-childhood-conferences/"/>
    <hyperlink ref="K39" r:id="rId38" display="https://www.healthyfamiliesamerica.org/"/>
    <hyperlink ref="K40" r:id="rId39" display="https://www.nbcdi.org/"/>
    <hyperlink ref="K41" r:id="rId40" display="https://www.waldorfeducation.org/"/>
    <hyperlink ref="K42" r:id="rId41" display="https://www.nihsda.org/"/>
    <hyperlink ref="K43" r:id="rId42" display="https://www.nmshsa.org/"/>
    <hyperlink ref="K44" r:id="rId43" display="https://usplaycoalition.org/"/>
    <hyperlink ref="K45" r:id="rId44" display="https://first5association.org/"/>
    <hyperlink ref="K46" r:id="rId45" display="https://jcca.org/signature-programs-and-events/jsummit/"/>
    <hyperlink ref="K47" r:id="rId46" display="https://www.registryalliance.org/"/>
    <hyperlink ref="K48" r:id="rId47" display="https://www.decsped.org/"/>
    <hyperlink ref="K49" r:id="rId48" display="https://www.marylandfamilynetwork.org/for-providers-training/maryland-child-care-training-calendar-0"/>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4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34"/>
    <col collapsed="false" customWidth="true" hidden="false" outlineLevel="0" max="6" min="6" style="0" width="38"/>
    <col collapsed="false" customWidth="true" hidden="false" outlineLevel="0" max="7" min="7" style="0" width="32"/>
    <col collapsed="false" customWidth="true" hidden="false" outlineLevel="0" max="8" min="8" style="0" width="28"/>
    <col collapsed="false" customWidth="true" hidden="false" outlineLevel="0" max="9" min="9" style="0" width="40"/>
    <col collapsed="false" customWidth="true" hidden="false" outlineLevel="0" max="11" min="10" style="0" width="32"/>
    <col collapsed="false" customWidth="true" hidden="false" outlineLevel="0" max="12" min="12" style="0" width="11"/>
    <col collapsed="false" customWidth="true" hidden="false" outlineLevel="0" max="13" min="13" style="0" width="70"/>
    <col collapsed="false" customWidth="true" hidden="false" outlineLevel="0" max="14" min="14" style="0" width="14"/>
    <col collapsed="false" customWidth="true" hidden="false" outlineLevel="0" max="15" min="15" style="0" width="42"/>
    <col collapsed="false" customWidth="true" hidden="false" outlineLevel="0" max="16" min="16" style="0" width="12"/>
  </cols>
  <sheetData>
    <row r="1" customFormat="false" ht="30" hidden="false" customHeight="true" outlineLevel="0" collapsed="false">
      <c r="A1" s="6" t="s">
        <v>45</v>
      </c>
      <c r="B1" s="5" t="s">
        <v>46</v>
      </c>
      <c r="C1" s="5" t="s">
        <v>47</v>
      </c>
      <c r="D1" s="5" t="s">
        <v>48</v>
      </c>
      <c r="E1" s="5" t="s">
        <v>49</v>
      </c>
      <c r="F1" s="5" t="s">
        <v>50</v>
      </c>
      <c r="G1" s="5" t="s">
        <v>51</v>
      </c>
      <c r="H1" s="5" t="s">
        <v>52</v>
      </c>
      <c r="I1" s="5" t="s">
        <v>53</v>
      </c>
      <c r="J1" s="5" t="s">
        <v>54</v>
      </c>
      <c r="K1" s="5" t="s">
        <v>55</v>
      </c>
      <c r="L1" s="6" t="s">
        <v>56</v>
      </c>
      <c r="M1" s="5" t="s">
        <v>57</v>
      </c>
      <c r="N1" s="5" t="s">
        <v>58</v>
      </c>
      <c r="O1" s="5" t="s">
        <v>59</v>
      </c>
      <c r="P1" s="6" t="s">
        <v>60</v>
      </c>
    </row>
    <row r="2" customFormat="false" ht="105.75" hidden="false" customHeight="true" outlineLevel="0" collapsed="false">
      <c r="A2" s="15" t="n">
        <v>5</v>
      </c>
      <c r="B2" s="16" t="s">
        <v>87</v>
      </c>
      <c r="C2" s="17" t="s">
        <v>62</v>
      </c>
      <c r="D2" s="17" t="s">
        <v>88</v>
      </c>
      <c r="E2" s="17" t="s">
        <v>89</v>
      </c>
      <c r="F2" s="17" t="s">
        <v>90</v>
      </c>
      <c r="G2" s="17" t="s">
        <v>91</v>
      </c>
      <c r="H2" s="17" t="s">
        <v>92</v>
      </c>
      <c r="I2" s="17" t="s">
        <v>93</v>
      </c>
      <c r="J2" s="17" t="s">
        <v>94</v>
      </c>
      <c r="K2" s="18" t="s">
        <v>95</v>
      </c>
      <c r="L2" s="15" t="s">
        <v>71</v>
      </c>
      <c r="M2" s="17" t="s">
        <v>2090</v>
      </c>
      <c r="N2" s="19" t="s">
        <v>73</v>
      </c>
      <c r="O2" s="19" t="s">
        <v>97</v>
      </c>
      <c r="P2" s="20"/>
    </row>
    <row r="3" customFormat="false" ht="118.5" hidden="false" customHeight="true" outlineLevel="0" collapsed="false">
      <c r="A3" s="15" t="n">
        <v>5</v>
      </c>
      <c r="B3" s="16" t="s">
        <v>2091</v>
      </c>
      <c r="C3" s="17" t="s">
        <v>277</v>
      </c>
      <c r="D3" s="17" t="s">
        <v>2092</v>
      </c>
      <c r="E3" s="17" t="s">
        <v>2093</v>
      </c>
      <c r="F3" s="17" t="s">
        <v>2094</v>
      </c>
      <c r="G3" s="17" t="s">
        <v>2095</v>
      </c>
      <c r="H3" s="17" t="s">
        <v>2096</v>
      </c>
      <c r="I3" s="17" t="s">
        <v>2097</v>
      </c>
      <c r="J3" s="17" t="s">
        <v>2098</v>
      </c>
      <c r="K3" s="18" t="s">
        <v>107</v>
      </c>
      <c r="L3" s="15" t="s">
        <v>71</v>
      </c>
      <c r="M3" s="17" t="s">
        <v>2099</v>
      </c>
      <c r="N3" s="19" t="s">
        <v>73</v>
      </c>
      <c r="O3" s="19" t="s">
        <v>109</v>
      </c>
      <c r="P3" s="20"/>
    </row>
    <row r="4" customFormat="false" ht="93" hidden="false" customHeight="true" outlineLevel="0" collapsed="false">
      <c r="A4" s="15" t="n">
        <v>5</v>
      </c>
      <c r="B4" s="16" t="s">
        <v>110</v>
      </c>
      <c r="C4" s="17" t="s">
        <v>111</v>
      </c>
      <c r="D4" s="17" t="s">
        <v>112</v>
      </c>
      <c r="E4" s="17" t="s">
        <v>113</v>
      </c>
      <c r="F4" s="17" t="s">
        <v>114</v>
      </c>
      <c r="G4" s="17" t="s">
        <v>115</v>
      </c>
      <c r="H4" s="17" t="s">
        <v>116</v>
      </c>
      <c r="I4" s="17" t="s">
        <v>117</v>
      </c>
      <c r="J4" s="17" t="s">
        <v>118</v>
      </c>
      <c r="K4" s="18" t="s">
        <v>119</v>
      </c>
      <c r="L4" s="15" t="s">
        <v>71</v>
      </c>
      <c r="M4" s="17" t="s">
        <v>2100</v>
      </c>
      <c r="N4" s="19" t="s">
        <v>73</v>
      </c>
      <c r="O4" s="19" t="s">
        <v>121</v>
      </c>
      <c r="P4" s="20"/>
    </row>
    <row r="5" customFormat="false" ht="42" hidden="false" customHeight="true" outlineLevel="0" collapsed="false">
      <c r="A5" s="15" t="n">
        <v>5</v>
      </c>
      <c r="B5" s="16" t="s">
        <v>134</v>
      </c>
      <c r="C5" s="17" t="s">
        <v>111</v>
      </c>
      <c r="D5" s="17" t="s">
        <v>135</v>
      </c>
      <c r="E5" s="17" t="s">
        <v>136</v>
      </c>
      <c r="F5" s="17" t="s">
        <v>137</v>
      </c>
      <c r="G5" s="17" t="s">
        <v>138</v>
      </c>
      <c r="H5" s="17" t="s">
        <v>139</v>
      </c>
      <c r="I5" s="17" t="s">
        <v>140</v>
      </c>
      <c r="J5" s="17" t="s">
        <v>141</v>
      </c>
      <c r="K5" s="18" t="s">
        <v>142</v>
      </c>
      <c r="L5" s="15" t="s">
        <v>71</v>
      </c>
      <c r="M5" s="17" t="s">
        <v>2101</v>
      </c>
      <c r="N5" s="19" t="s">
        <v>73</v>
      </c>
      <c r="O5" s="19" t="s">
        <v>144</v>
      </c>
      <c r="P5" s="20"/>
    </row>
    <row r="6" customFormat="false" ht="54.75" hidden="false" customHeight="true" outlineLevel="0" collapsed="false">
      <c r="A6" s="15" t="n">
        <v>5</v>
      </c>
      <c r="B6" s="16" t="s">
        <v>156</v>
      </c>
      <c r="C6" s="17" t="s">
        <v>111</v>
      </c>
      <c r="D6" s="17" t="s">
        <v>157</v>
      </c>
      <c r="E6" s="17" t="s">
        <v>158</v>
      </c>
      <c r="F6" s="17" t="s">
        <v>159</v>
      </c>
      <c r="G6" s="17" t="s">
        <v>160</v>
      </c>
      <c r="H6" s="17" t="s">
        <v>161</v>
      </c>
      <c r="I6" s="17" t="s">
        <v>162</v>
      </c>
      <c r="J6" s="17" t="s">
        <v>163</v>
      </c>
      <c r="K6" s="18" t="s">
        <v>164</v>
      </c>
      <c r="L6" s="15" t="s">
        <v>71</v>
      </c>
      <c r="M6" s="17" t="s">
        <v>2102</v>
      </c>
      <c r="N6" s="19" t="s">
        <v>73</v>
      </c>
      <c r="O6" s="19" t="s">
        <v>166</v>
      </c>
      <c r="P6" s="20"/>
    </row>
    <row r="7" customFormat="false" ht="42" hidden="false" customHeight="true" outlineLevel="0" collapsed="false">
      <c r="A7" s="15" t="n">
        <v>4</v>
      </c>
      <c r="B7" s="16" t="s">
        <v>212</v>
      </c>
      <c r="C7" s="17" t="s">
        <v>111</v>
      </c>
      <c r="D7" s="17" t="s">
        <v>88</v>
      </c>
      <c r="E7" s="17" t="s">
        <v>213</v>
      </c>
      <c r="F7" s="17" t="s">
        <v>214</v>
      </c>
      <c r="G7" s="17" t="s">
        <v>215</v>
      </c>
      <c r="H7" s="17" t="s">
        <v>216</v>
      </c>
      <c r="I7" s="17" t="s">
        <v>217</v>
      </c>
      <c r="J7" s="17" t="s">
        <v>218</v>
      </c>
      <c r="K7" s="18" t="s">
        <v>219</v>
      </c>
      <c r="L7" s="15" t="s">
        <v>71</v>
      </c>
      <c r="M7" s="17" t="s">
        <v>2103</v>
      </c>
      <c r="N7" s="19" t="s">
        <v>73</v>
      </c>
      <c r="O7" s="19" t="s">
        <v>221</v>
      </c>
      <c r="P7" s="20"/>
    </row>
    <row r="8" customFormat="false" ht="42" hidden="false" customHeight="true" outlineLevel="0" collapsed="false">
      <c r="A8" s="15" t="n">
        <v>4</v>
      </c>
      <c r="B8" s="16" t="s">
        <v>2104</v>
      </c>
      <c r="C8" s="17" t="s">
        <v>111</v>
      </c>
      <c r="D8" s="17" t="s">
        <v>88</v>
      </c>
      <c r="E8" s="17" t="s">
        <v>2105</v>
      </c>
      <c r="F8" s="17" t="s">
        <v>2106</v>
      </c>
      <c r="G8" s="17" t="s">
        <v>2107</v>
      </c>
      <c r="H8" s="17" t="s">
        <v>161</v>
      </c>
      <c r="I8" s="17" t="s">
        <v>2108</v>
      </c>
      <c r="J8" s="17" t="s">
        <v>2109</v>
      </c>
      <c r="K8" s="18" t="s">
        <v>2110</v>
      </c>
      <c r="L8" s="15" t="s">
        <v>71</v>
      </c>
      <c r="M8" s="17" t="s">
        <v>2111</v>
      </c>
      <c r="N8" s="19" t="s">
        <v>73</v>
      </c>
      <c r="O8" s="19" t="s">
        <v>232</v>
      </c>
      <c r="P8" s="20"/>
    </row>
    <row r="9" customFormat="false" ht="54.75" hidden="false" customHeight="true" outlineLevel="0" collapsed="false">
      <c r="A9" s="15" t="n">
        <v>4</v>
      </c>
      <c r="B9" s="16" t="s">
        <v>243</v>
      </c>
      <c r="C9" s="17" t="s">
        <v>111</v>
      </c>
      <c r="D9" s="17" t="s">
        <v>88</v>
      </c>
      <c r="E9" s="17" t="s">
        <v>244</v>
      </c>
      <c r="F9" s="17" t="s">
        <v>245</v>
      </c>
      <c r="G9" s="17" t="s">
        <v>246</v>
      </c>
      <c r="H9" s="17" t="s">
        <v>247</v>
      </c>
      <c r="I9" s="17" t="s">
        <v>248</v>
      </c>
      <c r="J9" s="17" t="s">
        <v>249</v>
      </c>
      <c r="K9" s="18" t="s">
        <v>250</v>
      </c>
      <c r="L9" s="15" t="s">
        <v>71</v>
      </c>
      <c r="M9" s="17" t="s">
        <v>2112</v>
      </c>
      <c r="N9" s="19" t="s">
        <v>73</v>
      </c>
      <c r="O9" s="19" t="s">
        <v>252</v>
      </c>
      <c r="P9" s="20"/>
    </row>
    <row r="10" customFormat="false" ht="80.25" hidden="false" customHeight="true" outlineLevel="0" collapsed="false">
      <c r="A10" s="15" t="n">
        <v>4</v>
      </c>
      <c r="B10" s="16" t="s">
        <v>300</v>
      </c>
      <c r="C10" s="17" t="s">
        <v>62</v>
      </c>
      <c r="D10" s="17" t="s">
        <v>88</v>
      </c>
      <c r="E10" s="17" t="s">
        <v>301</v>
      </c>
      <c r="F10" s="17" t="s">
        <v>302</v>
      </c>
      <c r="G10" s="17" t="s">
        <v>303</v>
      </c>
      <c r="H10" s="17" t="s">
        <v>304</v>
      </c>
      <c r="I10" s="17" t="s">
        <v>305</v>
      </c>
      <c r="J10" s="17" t="s">
        <v>306</v>
      </c>
      <c r="K10" s="18" t="s">
        <v>307</v>
      </c>
      <c r="L10" s="15" t="s">
        <v>71</v>
      </c>
      <c r="M10" s="17" t="s">
        <v>2113</v>
      </c>
      <c r="N10" s="19" t="s">
        <v>73</v>
      </c>
      <c r="O10" s="19" t="s">
        <v>309</v>
      </c>
      <c r="P10" s="20"/>
    </row>
    <row r="11" customFormat="false" ht="54.75" hidden="false" customHeight="true" outlineLevel="0" collapsed="false">
      <c r="A11" s="15" t="n">
        <v>4</v>
      </c>
      <c r="B11" s="16" t="s">
        <v>320</v>
      </c>
      <c r="C11" s="17" t="s">
        <v>265</v>
      </c>
      <c r="D11" s="17" t="s">
        <v>88</v>
      </c>
      <c r="E11" s="17" t="s">
        <v>321</v>
      </c>
      <c r="F11" s="17" t="s">
        <v>322</v>
      </c>
      <c r="G11" s="17" t="s">
        <v>323</v>
      </c>
      <c r="H11" s="17" t="s">
        <v>324</v>
      </c>
      <c r="I11" s="17" t="s">
        <v>325</v>
      </c>
      <c r="J11" s="17" t="s">
        <v>326</v>
      </c>
      <c r="K11" s="18" t="s">
        <v>327</v>
      </c>
      <c r="L11" s="15" t="s">
        <v>71</v>
      </c>
      <c r="M11" s="17" t="s">
        <v>2114</v>
      </c>
      <c r="N11" s="19" t="s">
        <v>73</v>
      </c>
      <c r="O11" s="19" t="s">
        <v>329</v>
      </c>
      <c r="P11" s="20"/>
    </row>
    <row r="12" customFormat="false" ht="67.5" hidden="false" customHeight="true" outlineLevel="0" collapsed="false">
      <c r="A12" s="15" t="n">
        <v>4</v>
      </c>
      <c r="B12" s="16" t="s">
        <v>340</v>
      </c>
      <c r="C12" s="17" t="s">
        <v>111</v>
      </c>
      <c r="D12" s="17" t="s">
        <v>88</v>
      </c>
      <c r="E12" s="17" t="s">
        <v>341</v>
      </c>
      <c r="F12" s="17" t="s">
        <v>342</v>
      </c>
      <c r="G12" s="17" t="s">
        <v>138</v>
      </c>
      <c r="H12" s="17" t="s">
        <v>343</v>
      </c>
      <c r="I12" s="17" t="s">
        <v>344</v>
      </c>
      <c r="J12" s="17" t="s">
        <v>345</v>
      </c>
      <c r="K12" s="18" t="s">
        <v>346</v>
      </c>
      <c r="L12" s="15" t="s">
        <v>71</v>
      </c>
      <c r="M12" s="17" t="s">
        <v>2115</v>
      </c>
      <c r="N12" s="19" t="s">
        <v>73</v>
      </c>
      <c r="O12" s="19" t="s">
        <v>348</v>
      </c>
      <c r="P12" s="20"/>
    </row>
    <row r="13" customFormat="false" ht="54.75" hidden="false" customHeight="true" outlineLevel="0" collapsed="false">
      <c r="A13" s="15" t="n">
        <v>4</v>
      </c>
      <c r="B13" s="16" t="s">
        <v>349</v>
      </c>
      <c r="C13" s="17" t="s">
        <v>111</v>
      </c>
      <c r="D13" s="17" t="s">
        <v>88</v>
      </c>
      <c r="E13" s="17" t="s">
        <v>350</v>
      </c>
      <c r="F13" s="17" t="s">
        <v>351</v>
      </c>
      <c r="G13" s="17" t="s">
        <v>352</v>
      </c>
      <c r="H13" s="17" t="s">
        <v>161</v>
      </c>
      <c r="I13" s="17" t="s">
        <v>353</v>
      </c>
      <c r="J13" s="17" t="s">
        <v>354</v>
      </c>
      <c r="K13" s="18" t="s">
        <v>355</v>
      </c>
      <c r="L13" s="15" t="s">
        <v>71</v>
      </c>
      <c r="M13" s="17" t="s">
        <v>2116</v>
      </c>
      <c r="N13" s="19" t="s">
        <v>73</v>
      </c>
      <c r="O13" s="19" t="s">
        <v>357</v>
      </c>
      <c r="P13" s="20"/>
    </row>
    <row r="14" customFormat="false" ht="67.5" hidden="false" customHeight="true" outlineLevel="0" collapsed="false">
      <c r="A14" s="15" t="n">
        <v>4</v>
      </c>
      <c r="B14" s="16" t="s">
        <v>427</v>
      </c>
      <c r="C14" s="17" t="s">
        <v>265</v>
      </c>
      <c r="D14" s="17" t="s">
        <v>88</v>
      </c>
      <c r="E14" s="17" t="s">
        <v>428</v>
      </c>
      <c r="F14" s="17" t="s">
        <v>429</v>
      </c>
      <c r="G14" s="17" t="s">
        <v>430</v>
      </c>
      <c r="H14" s="17" t="s">
        <v>431</v>
      </c>
      <c r="I14" s="17" t="s">
        <v>432</v>
      </c>
      <c r="J14" s="17" t="s">
        <v>326</v>
      </c>
      <c r="K14" s="18" t="s">
        <v>433</v>
      </c>
      <c r="L14" s="15" t="s">
        <v>131</v>
      </c>
      <c r="M14" s="17" t="s">
        <v>2117</v>
      </c>
      <c r="N14" s="19" t="s">
        <v>73</v>
      </c>
      <c r="O14" s="19" t="s">
        <v>435</v>
      </c>
      <c r="P14" s="20"/>
    </row>
    <row r="15" customFormat="false" ht="93" hidden="false" customHeight="true" outlineLevel="0" collapsed="false">
      <c r="A15" s="15" t="n">
        <v>4</v>
      </c>
      <c r="B15" s="16" t="s">
        <v>554</v>
      </c>
      <c r="C15" s="17" t="s">
        <v>111</v>
      </c>
      <c r="D15" s="17" t="s">
        <v>146</v>
      </c>
      <c r="E15" s="17" t="s">
        <v>555</v>
      </c>
      <c r="F15" s="17" t="s">
        <v>556</v>
      </c>
      <c r="G15" s="17" t="s">
        <v>557</v>
      </c>
      <c r="H15" s="17" t="s">
        <v>161</v>
      </c>
      <c r="I15" s="17" t="s">
        <v>558</v>
      </c>
      <c r="J15" s="17" t="s">
        <v>559</v>
      </c>
      <c r="K15" s="18" t="s">
        <v>560</v>
      </c>
      <c r="L15" s="15" t="s">
        <v>71</v>
      </c>
      <c r="M15" s="17" t="s">
        <v>2118</v>
      </c>
      <c r="N15" s="19" t="s">
        <v>73</v>
      </c>
      <c r="O15" s="19" t="s">
        <v>562</v>
      </c>
      <c r="P15" s="20"/>
    </row>
    <row r="16" customFormat="false" ht="67.5" hidden="false" customHeight="true" outlineLevel="0" collapsed="false">
      <c r="A16" s="15" t="n">
        <v>4</v>
      </c>
      <c r="B16" s="16" t="s">
        <v>563</v>
      </c>
      <c r="C16" s="17" t="s">
        <v>111</v>
      </c>
      <c r="D16" s="17" t="s">
        <v>146</v>
      </c>
      <c r="E16" s="17" t="s">
        <v>564</v>
      </c>
      <c r="F16" s="17" t="s">
        <v>565</v>
      </c>
      <c r="G16" s="17" t="s">
        <v>566</v>
      </c>
      <c r="H16" s="17" t="s">
        <v>161</v>
      </c>
      <c r="I16" s="17" t="s">
        <v>567</v>
      </c>
      <c r="J16" s="17" t="s">
        <v>568</v>
      </c>
      <c r="K16" s="18" t="s">
        <v>569</v>
      </c>
      <c r="L16" s="15" t="s">
        <v>71</v>
      </c>
      <c r="M16" s="17" t="s">
        <v>2119</v>
      </c>
      <c r="N16" s="19" t="s">
        <v>73</v>
      </c>
      <c r="O16" s="19" t="s">
        <v>571</v>
      </c>
      <c r="P16" s="20"/>
    </row>
    <row r="17" customFormat="false" ht="42" hidden="false" customHeight="true" outlineLevel="0" collapsed="false">
      <c r="A17" s="15" t="n">
        <v>4</v>
      </c>
      <c r="B17" s="16" t="s">
        <v>631</v>
      </c>
      <c r="C17" s="17" t="s">
        <v>111</v>
      </c>
      <c r="D17" s="17" t="s">
        <v>146</v>
      </c>
      <c r="E17" s="17" t="s">
        <v>632</v>
      </c>
      <c r="F17" s="17" t="s">
        <v>633</v>
      </c>
      <c r="G17" s="17" t="s">
        <v>634</v>
      </c>
      <c r="H17" s="17" t="s">
        <v>635</v>
      </c>
      <c r="I17" s="17" t="s">
        <v>636</v>
      </c>
      <c r="J17" s="17" t="s">
        <v>637</v>
      </c>
      <c r="K17" s="18" t="s">
        <v>638</v>
      </c>
      <c r="L17" s="15" t="s">
        <v>131</v>
      </c>
      <c r="M17" s="17" t="s">
        <v>2120</v>
      </c>
      <c r="N17" s="19" t="s">
        <v>73</v>
      </c>
      <c r="O17" s="19" t="s">
        <v>621</v>
      </c>
      <c r="P17" s="20"/>
    </row>
    <row r="18" customFormat="false" ht="42" hidden="false" customHeight="true" outlineLevel="0" collapsed="false">
      <c r="A18" s="15" t="n">
        <v>3</v>
      </c>
      <c r="B18" s="16" t="s">
        <v>640</v>
      </c>
      <c r="C18" s="17" t="s">
        <v>111</v>
      </c>
      <c r="D18" s="17" t="s">
        <v>641</v>
      </c>
      <c r="E18" s="17" t="s">
        <v>642</v>
      </c>
      <c r="F18" s="17" t="s">
        <v>643</v>
      </c>
      <c r="G18" s="17" t="s">
        <v>644</v>
      </c>
      <c r="H18" s="17" t="s">
        <v>645</v>
      </c>
      <c r="I18" s="17" t="s">
        <v>259</v>
      </c>
      <c r="J18" s="17" t="s">
        <v>646</v>
      </c>
      <c r="K18" s="18" t="s">
        <v>647</v>
      </c>
      <c r="L18" s="15" t="s">
        <v>71</v>
      </c>
      <c r="M18" s="17" t="s">
        <v>2121</v>
      </c>
      <c r="N18" s="19" t="s">
        <v>73</v>
      </c>
      <c r="O18" s="19" t="s">
        <v>649</v>
      </c>
      <c r="P18" s="20"/>
    </row>
    <row r="19" customFormat="false" ht="54.75" hidden="false" customHeight="true" outlineLevel="0" collapsed="false">
      <c r="A19" s="15" t="n">
        <v>3</v>
      </c>
      <c r="B19" s="16" t="s">
        <v>659</v>
      </c>
      <c r="C19" s="17" t="s">
        <v>111</v>
      </c>
      <c r="D19" s="17" t="s">
        <v>88</v>
      </c>
      <c r="E19" s="17" t="s">
        <v>660</v>
      </c>
      <c r="F19" s="17" t="s">
        <v>661</v>
      </c>
      <c r="G19" s="17" t="s">
        <v>662</v>
      </c>
      <c r="H19" s="17" t="s">
        <v>663</v>
      </c>
      <c r="I19" s="17" t="s">
        <v>664</v>
      </c>
      <c r="J19" s="17" t="s">
        <v>665</v>
      </c>
      <c r="K19" s="18" t="s">
        <v>666</v>
      </c>
      <c r="L19" s="15" t="s">
        <v>71</v>
      </c>
      <c r="M19" s="17" t="s">
        <v>2122</v>
      </c>
      <c r="N19" s="19" t="s">
        <v>73</v>
      </c>
      <c r="O19" s="19" t="s">
        <v>668</v>
      </c>
      <c r="P19" s="20"/>
    </row>
    <row r="20" customFormat="false" ht="80.25" hidden="false" customHeight="true" outlineLevel="0" collapsed="false">
      <c r="A20" s="15" t="n">
        <v>3</v>
      </c>
      <c r="B20" s="16" t="s">
        <v>669</v>
      </c>
      <c r="C20" s="17" t="s">
        <v>111</v>
      </c>
      <c r="D20" s="17" t="s">
        <v>670</v>
      </c>
      <c r="E20" s="17" t="s">
        <v>671</v>
      </c>
      <c r="F20" s="17" t="s">
        <v>672</v>
      </c>
      <c r="G20" s="17" t="s">
        <v>673</v>
      </c>
      <c r="H20" s="17" t="s">
        <v>674</v>
      </c>
      <c r="I20" s="17" t="s">
        <v>675</v>
      </c>
      <c r="J20" s="17" t="s">
        <v>676</v>
      </c>
      <c r="K20" s="18" t="s">
        <v>677</v>
      </c>
      <c r="L20" s="15" t="s">
        <v>71</v>
      </c>
      <c r="M20" s="17" t="s">
        <v>2123</v>
      </c>
      <c r="N20" s="19" t="s">
        <v>73</v>
      </c>
      <c r="O20" s="19" t="s">
        <v>679</v>
      </c>
      <c r="P20" s="20"/>
    </row>
    <row r="21" customFormat="false" ht="67.5" hidden="false" customHeight="true" outlineLevel="0" collapsed="false">
      <c r="A21" s="15" t="n">
        <v>3</v>
      </c>
      <c r="B21" s="16" t="s">
        <v>680</v>
      </c>
      <c r="C21" s="17" t="s">
        <v>277</v>
      </c>
      <c r="D21" s="17" t="s">
        <v>88</v>
      </c>
      <c r="E21" s="17" t="s">
        <v>681</v>
      </c>
      <c r="F21" s="17" t="s">
        <v>682</v>
      </c>
      <c r="G21" s="17" t="s">
        <v>683</v>
      </c>
      <c r="H21" s="17" t="s">
        <v>684</v>
      </c>
      <c r="I21" s="17" t="s">
        <v>685</v>
      </c>
      <c r="J21" s="17" t="s">
        <v>686</v>
      </c>
      <c r="K21" s="18" t="s">
        <v>687</v>
      </c>
      <c r="L21" s="15" t="s">
        <v>71</v>
      </c>
      <c r="M21" s="17" t="s">
        <v>2124</v>
      </c>
      <c r="N21" s="19" t="s">
        <v>73</v>
      </c>
      <c r="O21" s="19" t="s">
        <v>689</v>
      </c>
      <c r="P21" s="20"/>
    </row>
    <row r="22" customFormat="false" ht="54.75" hidden="false" customHeight="true" outlineLevel="0" collapsed="false">
      <c r="A22" s="15" t="n">
        <v>3</v>
      </c>
      <c r="B22" s="16" t="s">
        <v>700</v>
      </c>
      <c r="C22" s="17" t="s">
        <v>111</v>
      </c>
      <c r="D22" s="17" t="s">
        <v>88</v>
      </c>
      <c r="E22" s="17" t="s">
        <v>701</v>
      </c>
      <c r="F22" s="17" t="s">
        <v>702</v>
      </c>
      <c r="G22" s="17" t="s">
        <v>703</v>
      </c>
      <c r="H22" s="17" t="s">
        <v>704</v>
      </c>
      <c r="I22" s="17" t="s">
        <v>705</v>
      </c>
      <c r="J22" s="17" t="s">
        <v>706</v>
      </c>
      <c r="K22" s="18" t="s">
        <v>707</v>
      </c>
      <c r="L22" s="15" t="s">
        <v>71</v>
      </c>
      <c r="M22" s="17" t="s">
        <v>2125</v>
      </c>
      <c r="N22" s="19" t="s">
        <v>73</v>
      </c>
      <c r="O22" s="19" t="s">
        <v>709</v>
      </c>
      <c r="P22" s="20"/>
    </row>
    <row r="23" customFormat="false" ht="54.75" hidden="false" customHeight="true" outlineLevel="0" collapsed="false">
      <c r="A23" s="15" t="n">
        <v>3</v>
      </c>
      <c r="B23" s="16" t="s">
        <v>744</v>
      </c>
      <c r="C23" s="17" t="s">
        <v>277</v>
      </c>
      <c r="D23" s="17" t="s">
        <v>88</v>
      </c>
      <c r="E23" s="17" t="s">
        <v>745</v>
      </c>
      <c r="F23" s="17" t="s">
        <v>746</v>
      </c>
      <c r="G23" s="17" t="s">
        <v>303</v>
      </c>
      <c r="H23" s="17" t="s">
        <v>747</v>
      </c>
      <c r="I23" s="17" t="s">
        <v>748</v>
      </c>
      <c r="J23" s="17" t="s">
        <v>326</v>
      </c>
      <c r="K23" s="18" t="s">
        <v>749</v>
      </c>
      <c r="L23" s="15" t="s">
        <v>71</v>
      </c>
      <c r="M23" s="17" t="s">
        <v>2126</v>
      </c>
      <c r="N23" s="19" t="s">
        <v>73</v>
      </c>
      <c r="O23" s="19" t="s">
        <v>751</v>
      </c>
      <c r="P23" s="20"/>
    </row>
    <row r="24" customFormat="false" ht="29.25" hidden="false" customHeight="true" outlineLevel="0" collapsed="false">
      <c r="A24" s="15" t="n">
        <v>3</v>
      </c>
      <c r="B24" s="16" t="s">
        <v>752</v>
      </c>
      <c r="C24" s="17" t="s">
        <v>111</v>
      </c>
      <c r="D24" s="17" t="s">
        <v>88</v>
      </c>
      <c r="E24" s="17" t="s">
        <v>753</v>
      </c>
      <c r="F24" s="17" t="s">
        <v>754</v>
      </c>
      <c r="G24" s="17" t="s">
        <v>755</v>
      </c>
      <c r="H24" s="17" t="s">
        <v>161</v>
      </c>
      <c r="I24" s="17" t="s">
        <v>756</v>
      </c>
      <c r="J24" s="17" t="s">
        <v>757</v>
      </c>
      <c r="K24" s="18" t="s">
        <v>758</v>
      </c>
      <c r="L24" s="15" t="s">
        <v>71</v>
      </c>
      <c r="M24" s="17" t="s">
        <v>2127</v>
      </c>
      <c r="N24" s="19" t="s">
        <v>73</v>
      </c>
      <c r="O24" s="19" t="s">
        <v>760</v>
      </c>
      <c r="P24" s="20"/>
    </row>
    <row r="25" customFormat="false" ht="42" hidden="false" customHeight="true" outlineLevel="0" collapsed="false">
      <c r="A25" s="15" t="n">
        <v>3</v>
      </c>
      <c r="B25" s="16" t="s">
        <v>761</v>
      </c>
      <c r="C25" s="17" t="s">
        <v>111</v>
      </c>
      <c r="D25" s="17" t="s">
        <v>88</v>
      </c>
      <c r="E25" s="17" t="s">
        <v>762</v>
      </c>
      <c r="F25" s="17" t="s">
        <v>763</v>
      </c>
      <c r="G25" s="17" t="s">
        <v>764</v>
      </c>
      <c r="H25" s="17" t="s">
        <v>161</v>
      </c>
      <c r="I25" s="17" t="s">
        <v>765</v>
      </c>
      <c r="J25" s="17" t="s">
        <v>766</v>
      </c>
      <c r="K25" s="18" t="s">
        <v>767</v>
      </c>
      <c r="L25" s="15" t="s">
        <v>71</v>
      </c>
      <c r="M25" s="17" t="s">
        <v>2128</v>
      </c>
      <c r="N25" s="19" t="s">
        <v>73</v>
      </c>
      <c r="O25" s="19" t="s">
        <v>769</v>
      </c>
      <c r="P25" s="20"/>
    </row>
    <row r="26" customFormat="false" ht="42" hidden="false" customHeight="true" outlineLevel="0" collapsed="false">
      <c r="A26" s="15" t="n">
        <v>3</v>
      </c>
      <c r="B26" s="16" t="s">
        <v>770</v>
      </c>
      <c r="C26" s="17" t="s">
        <v>111</v>
      </c>
      <c r="D26" s="17" t="s">
        <v>88</v>
      </c>
      <c r="E26" s="17" t="s">
        <v>771</v>
      </c>
      <c r="F26" s="17" t="s">
        <v>772</v>
      </c>
      <c r="G26" s="17" t="s">
        <v>773</v>
      </c>
      <c r="H26" s="17" t="s">
        <v>774</v>
      </c>
      <c r="I26" s="17" t="s">
        <v>259</v>
      </c>
      <c r="J26" s="17" t="s">
        <v>775</v>
      </c>
      <c r="K26" s="18" t="s">
        <v>776</v>
      </c>
      <c r="L26" s="15" t="s">
        <v>71</v>
      </c>
      <c r="M26" s="17" t="s">
        <v>2129</v>
      </c>
      <c r="N26" s="19" t="s">
        <v>73</v>
      </c>
      <c r="O26" s="19" t="s">
        <v>649</v>
      </c>
      <c r="P26" s="20"/>
    </row>
    <row r="27" customFormat="false" ht="42" hidden="false" customHeight="true" outlineLevel="0" collapsed="false">
      <c r="A27" s="15" t="n">
        <v>3</v>
      </c>
      <c r="B27" s="16" t="s">
        <v>803</v>
      </c>
      <c r="C27" s="17" t="s">
        <v>111</v>
      </c>
      <c r="D27" s="17" t="s">
        <v>112</v>
      </c>
      <c r="E27" s="17" t="s">
        <v>804</v>
      </c>
      <c r="F27" s="17" t="s">
        <v>805</v>
      </c>
      <c r="G27" s="17" t="s">
        <v>806</v>
      </c>
      <c r="H27" s="17" t="s">
        <v>161</v>
      </c>
      <c r="I27" s="17" t="s">
        <v>807</v>
      </c>
      <c r="J27" s="17" t="s">
        <v>808</v>
      </c>
      <c r="K27" s="18" t="s">
        <v>809</v>
      </c>
      <c r="L27" s="15" t="s">
        <v>71</v>
      </c>
      <c r="M27" s="17" t="s">
        <v>2130</v>
      </c>
      <c r="N27" s="19" t="s">
        <v>73</v>
      </c>
      <c r="O27" s="19" t="s">
        <v>811</v>
      </c>
      <c r="P27" s="20"/>
    </row>
    <row r="28" customFormat="false" ht="42" hidden="false" customHeight="true" outlineLevel="0" collapsed="false">
      <c r="A28" s="15" t="n">
        <v>3</v>
      </c>
      <c r="B28" s="16" t="s">
        <v>812</v>
      </c>
      <c r="C28" s="17" t="s">
        <v>111</v>
      </c>
      <c r="D28" s="17" t="s">
        <v>88</v>
      </c>
      <c r="E28" s="17" t="s">
        <v>813</v>
      </c>
      <c r="F28" s="17" t="s">
        <v>814</v>
      </c>
      <c r="G28" s="17" t="s">
        <v>815</v>
      </c>
      <c r="H28" s="17" t="s">
        <v>161</v>
      </c>
      <c r="I28" s="17" t="s">
        <v>816</v>
      </c>
      <c r="J28" s="17" t="s">
        <v>817</v>
      </c>
      <c r="K28" s="18" t="s">
        <v>818</v>
      </c>
      <c r="L28" s="15" t="s">
        <v>71</v>
      </c>
      <c r="M28" s="17" t="s">
        <v>2131</v>
      </c>
      <c r="N28" s="19" t="s">
        <v>73</v>
      </c>
      <c r="O28" s="19" t="s">
        <v>820</v>
      </c>
      <c r="P28" s="20"/>
    </row>
    <row r="29" customFormat="false" ht="54.75" hidden="false" customHeight="true" outlineLevel="0" collapsed="false">
      <c r="A29" s="15" t="n">
        <v>3</v>
      </c>
      <c r="B29" s="16" t="s">
        <v>821</v>
      </c>
      <c r="C29" s="17" t="s">
        <v>277</v>
      </c>
      <c r="D29" s="17" t="s">
        <v>88</v>
      </c>
      <c r="E29" s="17" t="s">
        <v>822</v>
      </c>
      <c r="F29" s="17" t="s">
        <v>823</v>
      </c>
      <c r="G29" s="17" t="s">
        <v>824</v>
      </c>
      <c r="H29" s="17" t="s">
        <v>825</v>
      </c>
      <c r="I29" s="17" t="s">
        <v>826</v>
      </c>
      <c r="J29" s="17" t="s">
        <v>827</v>
      </c>
      <c r="K29" s="18" t="s">
        <v>828</v>
      </c>
      <c r="L29" s="15" t="s">
        <v>71</v>
      </c>
      <c r="M29" s="17" t="s">
        <v>2132</v>
      </c>
      <c r="N29" s="19" t="s">
        <v>73</v>
      </c>
      <c r="O29" s="19" t="s">
        <v>830</v>
      </c>
      <c r="P29" s="20"/>
    </row>
    <row r="30" customFormat="false" ht="42" hidden="false" customHeight="true" outlineLevel="0" collapsed="false">
      <c r="A30" s="15" t="n">
        <v>3</v>
      </c>
      <c r="B30" s="16" t="s">
        <v>853</v>
      </c>
      <c r="C30" s="17" t="s">
        <v>277</v>
      </c>
      <c r="D30" s="17" t="s">
        <v>88</v>
      </c>
      <c r="E30" s="17" t="s">
        <v>854</v>
      </c>
      <c r="F30" s="17" t="s">
        <v>855</v>
      </c>
      <c r="G30" s="17" t="s">
        <v>856</v>
      </c>
      <c r="H30" s="17" t="s">
        <v>857</v>
      </c>
      <c r="I30" s="17" t="s">
        <v>858</v>
      </c>
      <c r="J30" s="17" t="s">
        <v>326</v>
      </c>
      <c r="K30" s="18" t="s">
        <v>859</v>
      </c>
      <c r="L30" s="15" t="s">
        <v>71</v>
      </c>
      <c r="M30" s="17" t="s">
        <v>2133</v>
      </c>
      <c r="N30" s="19" t="s">
        <v>73</v>
      </c>
      <c r="O30" s="19" t="s">
        <v>861</v>
      </c>
      <c r="P30" s="20"/>
    </row>
    <row r="31" customFormat="false" ht="67.5" hidden="false" customHeight="true" outlineLevel="0" collapsed="false">
      <c r="A31" s="15" t="n">
        <v>3</v>
      </c>
      <c r="B31" s="16" t="s">
        <v>862</v>
      </c>
      <c r="C31" s="17" t="s">
        <v>289</v>
      </c>
      <c r="D31" s="17" t="s">
        <v>88</v>
      </c>
      <c r="E31" s="17" t="s">
        <v>863</v>
      </c>
      <c r="F31" s="17" t="s">
        <v>864</v>
      </c>
      <c r="G31" s="17" t="s">
        <v>430</v>
      </c>
      <c r="H31" s="17" t="s">
        <v>865</v>
      </c>
      <c r="I31" s="17" t="s">
        <v>866</v>
      </c>
      <c r="J31" s="17" t="s">
        <v>867</v>
      </c>
      <c r="K31" s="18" t="s">
        <v>868</v>
      </c>
      <c r="L31" s="15" t="s">
        <v>71</v>
      </c>
      <c r="M31" s="17" t="s">
        <v>2134</v>
      </c>
      <c r="N31" s="19" t="s">
        <v>73</v>
      </c>
      <c r="O31" s="19" t="s">
        <v>870</v>
      </c>
      <c r="P31" s="20"/>
    </row>
    <row r="32" customFormat="false" ht="54.75" hidden="false" customHeight="true" outlineLevel="0" collapsed="false">
      <c r="A32" s="15" t="n">
        <v>3</v>
      </c>
      <c r="B32" s="16" t="s">
        <v>889</v>
      </c>
      <c r="C32" s="17" t="s">
        <v>111</v>
      </c>
      <c r="D32" s="17" t="s">
        <v>88</v>
      </c>
      <c r="E32" s="17" t="s">
        <v>890</v>
      </c>
      <c r="F32" s="17" t="s">
        <v>891</v>
      </c>
      <c r="G32" s="17" t="s">
        <v>892</v>
      </c>
      <c r="H32" s="17" t="s">
        <v>875</v>
      </c>
      <c r="I32" s="17" t="s">
        <v>893</v>
      </c>
      <c r="J32" s="17" t="s">
        <v>894</v>
      </c>
      <c r="K32" s="18" t="s">
        <v>895</v>
      </c>
      <c r="L32" s="15" t="s">
        <v>71</v>
      </c>
      <c r="M32" s="17" t="s">
        <v>2135</v>
      </c>
      <c r="N32" s="19" t="s">
        <v>73</v>
      </c>
      <c r="O32" s="19" t="s">
        <v>897</v>
      </c>
      <c r="P32" s="20"/>
    </row>
    <row r="33" customFormat="false" ht="54.75" hidden="false" customHeight="true" outlineLevel="0" collapsed="false">
      <c r="A33" s="15" t="n">
        <v>3</v>
      </c>
      <c r="B33" s="16" t="s">
        <v>966</v>
      </c>
      <c r="C33" s="17" t="s">
        <v>111</v>
      </c>
      <c r="D33" s="17" t="s">
        <v>112</v>
      </c>
      <c r="E33" s="17" t="s">
        <v>2136</v>
      </c>
      <c r="F33" s="17" t="s">
        <v>2137</v>
      </c>
      <c r="G33" s="17" t="s">
        <v>2138</v>
      </c>
      <c r="H33" s="17" t="s">
        <v>2139</v>
      </c>
      <c r="I33" s="17" t="s">
        <v>2140</v>
      </c>
      <c r="J33" s="17" t="s">
        <v>2141</v>
      </c>
      <c r="K33" s="18" t="s">
        <v>2142</v>
      </c>
      <c r="L33" s="15" t="s">
        <v>131</v>
      </c>
      <c r="M33" s="17" t="s">
        <v>2143</v>
      </c>
      <c r="N33" s="19" t="s">
        <v>73</v>
      </c>
      <c r="O33" s="19" t="s">
        <v>621</v>
      </c>
      <c r="P33" s="20"/>
    </row>
    <row r="34" customFormat="false" ht="54.75" hidden="false" customHeight="true" outlineLevel="0" collapsed="false">
      <c r="A34" s="15" t="n">
        <v>3</v>
      </c>
      <c r="B34" s="16" t="s">
        <v>984</v>
      </c>
      <c r="C34" s="17" t="s">
        <v>832</v>
      </c>
      <c r="D34" s="17" t="s">
        <v>88</v>
      </c>
      <c r="E34" s="17" t="s">
        <v>2144</v>
      </c>
      <c r="F34" s="17" t="s">
        <v>2145</v>
      </c>
      <c r="G34" s="17" t="s">
        <v>2146</v>
      </c>
      <c r="H34" s="17" t="s">
        <v>2147</v>
      </c>
      <c r="I34" s="17" t="s">
        <v>2148</v>
      </c>
      <c r="J34" s="17" t="s">
        <v>326</v>
      </c>
      <c r="K34" s="18" t="s">
        <v>2149</v>
      </c>
      <c r="L34" s="15" t="s">
        <v>131</v>
      </c>
      <c r="M34" s="17" t="s">
        <v>2150</v>
      </c>
      <c r="N34" s="19" t="s">
        <v>73</v>
      </c>
      <c r="O34" s="19" t="s">
        <v>992</v>
      </c>
      <c r="P34" s="20"/>
    </row>
    <row r="35" customFormat="false" ht="54.75" hidden="false" customHeight="true" outlineLevel="0" collapsed="false">
      <c r="A35" s="15" t="n">
        <v>3</v>
      </c>
      <c r="B35" s="16" t="s">
        <v>993</v>
      </c>
      <c r="C35" s="17" t="s">
        <v>62</v>
      </c>
      <c r="D35" s="17" t="s">
        <v>88</v>
      </c>
      <c r="E35" s="17" t="s">
        <v>994</v>
      </c>
      <c r="F35" s="17" t="s">
        <v>995</v>
      </c>
      <c r="G35" s="17" t="s">
        <v>996</v>
      </c>
      <c r="H35" s="17" t="s">
        <v>997</v>
      </c>
      <c r="I35" s="17" t="s">
        <v>998</v>
      </c>
      <c r="J35" s="17" t="s">
        <v>326</v>
      </c>
      <c r="K35" s="18" t="s">
        <v>999</v>
      </c>
      <c r="L35" s="15" t="s">
        <v>131</v>
      </c>
      <c r="M35" s="17" t="s">
        <v>2151</v>
      </c>
      <c r="N35" s="19" t="s">
        <v>73</v>
      </c>
      <c r="O35" s="19" t="s">
        <v>417</v>
      </c>
      <c r="P35" s="20"/>
    </row>
    <row r="36" customFormat="false" ht="42" hidden="false" customHeight="true" outlineLevel="0" collapsed="false">
      <c r="A36" s="15" t="n">
        <v>3</v>
      </c>
      <c r="B36" s="16" t="s">
        <v>1231</v>
      </c>
      <c r="C36" s="17" t="s">
        <v>62</v>
      </c>
      <c r="D36" s="17" t="s">
        <v>1232</v>
      </c>
      <c r="E36" s="17" t="s">
        <v>1233</v>
      </c>
      <c r="F36" s="17" t="s">
        <v>1234</v>
      </c>
      <c r="G36" s="17" t="s">
        <v>1235</v>
      </c>
      <c r="H36" s="17" t="s">
        <v>1236</v>
      </c>
      <c r="I36" s="17" t="s">
        <v>1237</v>
      </c>
      <c r="J36" s="17" t="s">
        <v>1238</v>
      </c>
      <c r="K36" s="18" t="s">
        <v>1239</v>
      </c>
      <c r="L36" s="15" t="s">
        <v>131</v>
      </c>
      <c r="M36" s="17" t="s">
        <v>2152</v>
      </c>
      <c r="N36" s="19" t="s">
        <v>73</v>
      </c>
      <c r="O36" s="19" t="s">
        <v>621</v>
      </c>
      <c r="P36" s="20"/>
    </row>
    <row r="37" customFormat="false" ht="42" hidden="false" customHeight="true" outlineLevel="0" collapsed="false">
      <c r="A37" s="15" t="n">
        <v>3</v>
      </c>
      <c r="B37" s="16" t="s">
        <v>1241</v>
      </c>
      <c r="C37" s="17" t="s">
        <v>62</v>
      </c>
      <c r="D37" s="17" t="s">
        <v>146</v>
      </c>
      <c r="E37" s="17" t="s">
        <v>1242</v>
      </c>
      <c r="F37" s="17" t="s">
        <v>1243</v>
      </c>
      <c r="G37" s="17" t="s">
        <v>1244</v>
      </c>
      <c r="H37" s="17" t="s">
        <v>1245</v>
      </c>
      <c r="I37" s="17" t="s">
        <v>1246</v>
      </c>
      <c r="J37" s="17" t="s">
        <v>326</v>
      </c>
      <c r="K37" s="18" t="s">
        <v>1247</v>
      </c>
      <c r="L37" s="15" t="s">
        <v>71</v>
      </c>
      <c r="M37" s="17" t="s">
        <v>2153</v>
      </c>
      <c r="N37" s="19" t="s">
        <v>73</v>
      </c>
      <c r="O37" s="19" t="s">
        <v>1249</v>
      </c>
      <c r="P37" s="20"/>
    </row>
    <row r="38" customFormat="false" ht="54.75" hidden="false" customHeight="true" outlineLevel="0" collapsed="false">
      <c r="A38" s="15" t="n">
        <v>3</v>
      </c>
      <c r="B38" s="16" t="s">
        <v>1250</v>
      </c>
      <c r="C38" s="17" t="s">
        <v>111</v>
      </c>
      <c r="D38" s="17" t="s">
        <v>1251</v>
      </c>
      <c r="E38" s="17" t="s">
        <v>1252</v>
      </c>
      <c r="F38" s="17" t="s">
        <v>1253</v>
      </c>
      <c r="G38" s="17" t="s">
        <v>1254</v>
      </c>
      <c r="H38" s="17" t="s">
        <v>161</v>
      </c>
      <c r="I38" s="17" t="s">
        <v>1255</v>
      </c>
      <c r="J38" s="17" t="s">
        <v>1256</v>
      </c>
      <c r="K38" s="18" t="s">
        <v>1257</v>
      </c>
      <c r="L38" s="15" t="s">
        <v>71</v>
      </c>
      <c r="M38" s="17" t="s">
        <v>2154</v>
      </c>
      <c r="N38" s="19" t="s">
        <v>73</v>
      </c>
      <c r="O38" s="19" t="s">
        <v>1259</v>
      </c>
      <c r="P38" s="20"/>
    </row>
    <row r="39" customFormat="false" ht="67.5" hidden="false" customHeight="true" outlineLevel="0" collapsed="false">
      <c r="A39" s="15" t="n">
        <v>3</v>
      </c>
      <c r="B39" s="16" t="s">
        <v>1260</v>
      </c>
      <c r="C39" s="17" t="s">
        <v>111</v>
      </c>
      <c r="D39" s="17" t="s">
        <v>544</v>
      </c>
      <c r="E39" s="17" t="s">
        <v>1261</v>
      </c>
      <c r="F39" s="17" t="s">
        <v>1262</v>
      </c>
      <c r="G39" s="17" t="s">
        <v>1254</v>
      </c>
      <c r="H39" s="17" t="s">
        <v>161</v>
      </c>
      <c r="I39" s="17" t="s">
        <v>1263</v>
      </c>
      <c r="J39" s="17" t="s">
        <v>1264</v>
      </c>
      <c r="K39" s="18" t="s">
        <v>1265</v>
      </c>
      <c r="L39" s="15" t="s">
        <v>71</v>
      </c>
      <c r="M39" s="17" t="s">
        <v>2155</v>
      </c>
      <c r="N39" s="19" t="s">
        <v>73</v>
      </c>
      <c r="O39" s="19" t="s">
        <v>1267</v>
      </c>
      <c r="P39" s="20"/>
    </row>
    <row r="40" customFormat="false" ht="54.75" hidden="false" customHeight="true" outlineLevel="0" collapsed="false">
      <c r="A40" s="15" t="n">
        <v>3</v>
      </c>
      <c r="B40" s="16" t="s">
        <v>1268</v>
      </c>
      <c r="C40" s="17" t="s">
        <v>289</v>
      </c>
      <c r="D40" s="17" t="s">
        <v>1269</v>
      </c>
      <c r="E40" s="17" t="s">
        <v>1270</v>
      </c>
      <c r="F40" s="17" t="s">
        <v>1271</v>
      </c>
      <c r="G40" s="17" t="s">
        <v>1272</v>
      </c>
      <c r="H40" s="17" t="s">
        <v>875</v>
      </c>
      <c r="I40" s="17" t="s">
        <v>1273</v>
      </c>
      <c r="J40" s="17" t="s">
        <v>1274</v>
      </c>
      <c r="K40" s="18" t="s">
        <v>1275</v>
      </c>
      <c r="L40" s="15" t="s">
        <v>71</v>
      </c>
      <c r="M40" s="17" t="s">
        <v>2156</v>
      </c>
      <c r="N40" s="19" t="s">
        <v>73</v>
      </c>
      <c r="O40" s="19" t="s">
        <v>879</v>
      </c>
      <c r="P40" s="20"/>
    </row>
    <row r="41" customFormat="false" ht="54.75" hidden="false" customHeight="true" outlineLevel="0" collapsed="false">
      <c r="A41" s="15" t="n">
        <v>3</v>
      </c>
      <c r="B41" s="16" t="s">
        <v>1277</v>
      </c>
      <c r="C41" s="17" t="s">
        <v>111</v>
      </c>
      <c r="D41" s="17" t="s">
        <v>146</v>
      </c>
      <c r="E41" s="17" t="s">
        <v>1278</v>
      </c>
      <c r="F41" s="17" t="s">
        <v>1279</v>
      </c>
      <c r="G41" s="17" t="s">
        <v>1280</v>
      </c>
      <c r="H41" s="17" t="s">
        <v>1281</v>
      </c>
      <c r="I41" s="17" t="s">
        <v>1282</v>
      </c>
      <c r="J41" s="17" t="s">
        <v>1283</v>
      </c>
      <c r="K41" s="18" t="s">
        <v>1284</v>
      </c>
      <c r="L41" s="15" t="s">
        <v>71</v>
      </c>
      <c r="M41" s="17" t="s">
        <v>2157</v>
      </c>
      <c r="N41" s="19" t="s">
        <v>73</v>
      </c>
      <c r="O41" s="19" t="s">
        <v>1286</v>
      </c>
      <c r="P41" s="20"/>
    </row>
    <row r="42" customFormat="false" ht="42" hidden="false" customHeight="true" outlineLevel="0" collapsed="false">
      <c r="A42" s="15" t="n">
        <v>3</v>
      </c>
      <c r="B42" s="16" t="s">
        <v>1351</v>
      </c>
      <c r="C42" s="17" t="s">
        <v>111</v>
      </c>
      <c r="D42" s="17" t="s">
        <v>146</v>
      </c>
      <c r="E42" s="17" t="s">
        <v>1352</v>
      </c>
      <c r="F42" s="17" t="s">
        <v>1353</v>
      </c>
      <c r="G42" s="17" t="s">
        <v>1354</v>
      </c>
      <c r="H42" s="17" t="s">
        <v>1355</v>
      </c>
      <c r="I42" s="17" t="s">
        <v>1356</v>
      </c>
      <c r="J42" s="17" t="s">
        <v>1357</v>
      </c>
      <c r="K42" s="18" t="s">
        <v>1358</v>
      </c>
      <c r="L42" s="15" t="s">
        <v>131</v>
      </c>
      <c r="M42" s="17" t="s">
        <v>2158</v>
      </c>
      <c r="N42" s="19" t="s">
        <v>73</v>
      </c>
      <c r="O42" s="19" t="s">
        <v>1360</v>
      </c>
      <c r="P42" s="20"/>
    </row>
    <row r="43" customFormat="false" ht="42" hidden="false" customHeight="true" outlineLevel="0" collapsed="false">
      <c r="A43" s="15" t="n">
        <v>3</v>
      </c>
      <c r="B43" s="16" t="s">
        <v>1414</v>
      </c>
      <c r="C43" s="17" t="s">
        <v>111</v>
      </c>
      <c r="D43" s="17" t="s">
        <v>1371</v>
      </c>
      <c r="E43" s="17" t="s">
        <v>1415</v>
      </c>
      <c r="F43" s="17" t="s">
        <v>1416</v>
      </c>
      <c r="G43" s="17" t="s">
        <v>1417</v>
      </c>
      <c r="H43" s="17" t="s">
        <v>1418</v>
      </c>
      <c r="I43" s="17" t="s">
        <v>413</v>
      </c>
      <c r="J43" s="17" t="s">
        <v>1419</v>
      </c>
      <c r="K43" s="18" t="s">
        <v>1420</v>
      </c>
      <c r="L43" s="15" t="s">
        <v>131</v>
      </c>
      <c r="M43" s="17" t="s">
        <v>2159</v>
      </c>
      <c r="N43" s="19" t="s">
        <v>73</v>
      </c>
      <c r="O43" s="19" t="s">
        <v>1399</v>
      </c>
      <c r="P43" s="20"/>
    </row>
    <row r="44" customFormat="false" ht="42" hidden="false" customHeight="true" outlineLevel="0" collapsed="false">
      <c r="A44" s="15" t="n">
        <v>2</v>
      </c>
      <c r="B44" s="16" t="s">
        <v>1451</v>
      </c>
      <c r="C44" s="17" t="s">
        <v>277</v>
      </c>
      <c r="D44" s="17" t="s">
        <v>88</v>
      </c>
      <c r="E44" s="17" t="s">
        <v>1452</v>
      </c>
      <c r="F44" s="17" t="s">
        <v>1453</v>
      </c>
      <c r="G44" s="17" t="s">
        <v>1454</v>
      </c>
      <c r="H44" s="17" t="s">
        <v>1455</v>
      </c>
      <c r="I44" s="17" t="s">
        <v>1456</v>
      </c>
      <c r="J44" s="17" t="s">
        <v>1457</v>
      </c>
      <c r="K44" s="18" t="s">
        <v>1458</v>
      </c>
      <c r="L44" s="15" t="s">
        <v>71</v>
      </c>
      <c r="M44" s="17" t="s">
        <v>2160</v>
      </c>
      <c r="N44" s="19" t="s">
        <v>73</v>
      </c>
      <c r="O44" s="19" t="s">
        <v>1460</v>
      </c>
      <c r="P44" s="20"/>
    </row>
    <row r="45" customFormat="false" ht="42" hidden="false" customHeight="true" outlineLevel="0" collapsed="false">
      <c r="A45" s="15" t="n">
        <v>2</v>
      </c>
      <c r="B45" s="16" t="s">
        <v>1461</v>
      </c>
      <c r="C45" s="17" t="s">
        <v>289</v>
      </c>
      <c r="D45" s="17" t="s">
        <v>88</v>
      </c>
      <c r="E45" s="17" t="s">
        <v>1462</v>
      </c>
      <c r="F45" s="17" t="s">
        <v>1463</v>
      </c>
      <c r="G45" s="17" t="s">
        <v>1464</v>
      </c>
      <c r="H45" s="17" t="s">
        <v>1465</v>
      </c>
      <c r="I45" s="17" t="s">
        <v>1466</v>
      </c>
      <c r="J45" s="17" t="s">
        <v>1467</v>
      </c>
      <c r="K45" s="18" t="s">
        <v>1468</v>
      </c>
      <c r="L45" s="15" t="s">
        <v>71</v>
      </c>
      <c r="M45" s="17" t="s">
        <v>2161</v>
      </c>
      <c r="N45" s="19" t="s">
        <v>73</v>
      </c>
      <c r="O45" s="19" t="s">
        <v>861</v>
      </c>
      <c r="P45" s="20"/>
    </row>
    <row r="46" customFormat="false" ht="42" hidden="false" customHeight="true" outlineLevel="0" collapsed="false">
      <c r="A46" s="15" t="n">
        <v>2</v>
      </c>
      <c r="B46" s="16" t="s">
        <v>1478</v>
      </c>
      <c r="C46" s="17" t="s">
        <v>289</v>
      </c>
      <c r="D46" s="17" t="s">
        <v>88</v>
      </c>
      <c r="E46" s="17" t="s">
        <v>1479</v>
      </c>
      <c r="F46" s="17" t="s">
        <v>1480</v>
      </c>
      <c r="G46" s="17" t="s">
        <v>1481</v>
      </c>
      <c r="H46" s="17" t="s">
        <v>161</v>
      </c>
      <c r="I46" s="17" t="s">
        <v>1482</v>
      </c>
      <c r="J46" s="17" t="s">
        <v>1483</v>
      </c>
      <c r="K46" s="18" t="s">
        <v>1484</v>
      </c>
      <c r="L46" s="15" t="s">
        <v>71</v>
      </c>
      <c r="M46" s="17" t="s">
        <v>2162</v>
      </c>
      <c r="N46" s="19" t="s">
        <v>73</v>
      </c>
      <c r="O46" s="19" t="s">
        <v>649</v>
      </c>
      <c r="P46" s="20"/>
    </row>
    <row r="47" customFormat="false" ht="29.25" hidden="false" customHeight="true" outlineLevel="0" collapsed="false">
      <c r="A47" s="15" t="n">
        <v>2</v>
      </c>
      <c r="B47" s="16" t="s">
        <v>1496</v>
      </c>
      <c r="C47" s="17" t="s">
        <v>277</v>
      </c>
      <c r="D47" s="17" t="s">
        <v>88</v>
      </c>
      <c r="E47" s="17" t="s">
        <v>1497</v>
      </c>
      <c r="F47" s="17" t="s">
        <v>1498</v>
      </c>
      <c r="G47" s="17" t="s">
        <v>1499</v>
      </c>
      <c r="H47" s="17" t="s">
        <v>1500</v>
      </c>
      <c r="I47" s="17" t="s">
        <v>1501</v>
      </c>
      <c r="J47" s="17" t="s">
        <v>326</v>
      </c>
      <c r="K47" s="18" t="s">
        <v>1502</v>
      </c>
      <c r="L47" s="15" t="s">
        <v>71</v>
      </c>
      <c r="M47" s="17" t="s">
        <v>2163</v>
      </c>
      <c r="N47" s="19" t="s">
        <v>73</v>
      </c>
      <c r="O47" s="19" t="s">
        <v>861</v>
      </c>
      <c r="P47" s="20"/>
    </row>
    <row r="48" customFormat="false" ht="42" hidden="false" customHeight="true" outlineLevel="0" collapsed="false">
      <c r="A48" s="15" t="n">
        <v>2</v>
      </c>
      <c r="B48" s="16" t="s">
        <v>1504</v>
      </c>
      <c r="C48" s="17" t="s">
        <v>111</v>
      </c>
      <c r="D48" s="17" t="s">
        <v>88</v>
      </c>
      <c r="E48" s="17" t="s">
        <v>1505</v>
      </c>
      <c r="F48" s="17" t="s">
        <v>1506</v>
      </c>
      <c r="G48" s="17" t="s">
        <v>1507</v>
      </c>
      <c r="H48" s="17" t="s">
        <v>1508</v>
      </c>
      <c r="I48" s="17" t="s">
        <v>1509</v>
      </c>
      <c r="J48" s="17" t="s">
        <v>1510</v>
      </c>
      <c r="K48" s="18" t="s">
        <v>1511</v>
      </c>
      <c r="L48" s="15" t="s">
        <v>71</v>
      </c>
      <c r="M48" s="17" t="s">
        <v>2164</v>
      </c>
      <c r="N48" s="19" t="s">
        <v>73</v>
      </c>
      <c r="O48" s="19" t="s">
        <v>861</v>
      </c>
      <c r="P48" s="20"/>
    </row>
    <row r="49" customFormat="false" ht="42" hidden="false" customHeight="true" outlineLevel="0" collapsed="false">
      <c r="A49" s="15" t="n">
        <v>2</v>
      </c>
      <c r="B49" s="16" t="s">
        <v>1522</v>
      </c>
      <c r="C49" s="17" t="s">
        <v>111</v>
      </c>
      <c r="D49" s="17" t="s">
        <v>1523</v>
      </c>
      <c r="E49" s="17" t="s">
        <v>1524</v>
      </c>
      <c r="F49" s="17" t="s">
        <v>1525</v>
      </c>
      <c r="G49" s="17" t="s">
        <v>1526</v>
      </c>
      <c r="H49" s="17" t="s">
        <v>1527</v>
      </c>
      <c r="I49" s="17" t="s">
        <v>1528</v>
      </c>
      <c r="J49" s="17" t="s">
        <v>1529</v>
      </c>
      <c r="K49" s="18" t="s">
        <v>1530</v>
      </c>
      <c r="L49" s="15" t="s">
        <v>131</v>
      </c>
      <c r="M49" s="17" t="s">
        <v>2165</v>
      </c>
      <c r="N49" s="19" t="s">
        <v>73</v>
      </c>
      <c r="O49" s="19" t="s">
        <v>1532</v>
      </c>
      <c r="P49" s="20"/>
    </row>
    <row r="50" customFormat="false" ht="42" hidden="false" customHeight="true" outlineLevel="0" collapsed="false">
      <c r="A50" s="15" t="n">
        <v>2</v>
      </c>
      <c r="B50" s="16" t="s">
        <v>1566</v>
      </c>
      <c r="C50" s="17" t="s">
        <v>111</v>
      </c>
      <c r="D50" s="17" t="s">
        <v>88</v>
      </c>
      <c r="E50" s="17" t="s">
        <v>1567</v>
      </c>
      <c r="F50" s="17" t="s">
        <v>1568</v>
      </c>
      <c r="G50" s="17" t="s">
        <v>1569</v>
      </c>
      <c r="H50" s="17" t="s">
        <v>1355</v>
      </c>
      <c r="I50" s="17" t="s">
        <v>259</v>
      </c>
      <c r="J50" s="17" t="s">
        <v>1570</v>
      </c>
      <c r="K50" s="18" t="s">
        <v>1571</v>
      </c>
      <c r="L50" s="15" t="s">
        <v>131</v>
      </c>
      <c r="M50" s="17" t="s">
        <v>2166</v>
      </c>
      <c r="N50" s="19" t="s">
        <v>73</v>
      </c>
      <c r="O50" s="19" t="s">
        <v>1573</v>
      </c>
      <c r="P50" s="20"/>
    </row>
    <row r="51" customFormat="false" ht="42" hidden="false" customHeight="true" outlineLevel="0" collapsed="false">
      <c r="A51" s="15" t="n">
        <v>2</v>
      </c>
      <c r="B51" s="16" t="s">
        <v>1574</v>
      </c>
      <c r="C51" s="17" t="s">
        <v>62</v>
      </c>
      <c r="D51" s="17" t="s">
        <v>88</v>
      </c>
      <c r="E51" s="17" t="s">
        <v>1575</v>
      </c>
      <c r="F51" s="17" t="s">
        <v>1576</v>
      </c>
      <c r="G51" s="17" t="s">
        <v>1577</v>
      </c>
      <c r="H51" s="17" t="s">
        <v>1578</v>
      </c>
      <c r="I51" s="17" t="s">
        <v>1579</v>
      </c>
      <c r="J51" s="17" t="s">
        <v>326</v>
      </c>
      <c r="K51" s="18" t="s">
        <v>1580</v>
      </c>
      <c r="L51" s="15" t="s">
        <v>131</v>
      </c>
      <c r="M51" s="17" t="s">
        <v>2167</v>
      </c>
      <c r="N51" s="19" t="s">
        <v>73</v>
      </c>
      <c r="O51" s="19" t="s">
        <v>417</v>
      </c>
      <c r="P51" s="20"/>
    </row>
    <row r="52" customFormat="false" ht="80.25" hidden="false" customHeight="true" outlineLevel="0" collapsed="false">
      <c r="A52" s="15" t="n">
        <v>2</v>
      </c>
      <c r="B52" s="16" t="s">
        <v>1735</v>
      </c>
      <c r="C52" s="17" t="s">
        <v>111</v>
      </c>
      <c r="D52" s="17" t="s">
        <v>278</v>
      </c>
      <c r="E52" s="17" t="s">
        <v>1736</v>
      </c>
      <c r="F52" s="17" t="s">
        <v>1737</v>
      </c>
      <c r="G52" s="17" t="s">
        <v>1738</v>
      </c>
      <c r="H52" s="17" t="s">
        <v>1739</v>
      </c>
      <c r="I52" s="17" t="s">
        <v>1740</v>
      </c>
      <c r="J52" s="17" t="s">
        <v>1741</v>
      </c>
      <c r="K52" s="18" t="s">
        <v>1742</v>
      </c>
      <c r="L52" s="15" t="s">
        <v>131</v>
      </c>
      <c r="M52" s="17" t="s">
        <v>2168</v>
      </c>
      <c r="N52" s="19" t="s">
        <v>73</v>
      </c>
      <c r="O52" s="19" t="s">
        <v>1399</v>
      </c>
      <c r="P52" s="20"/>
    </row>
    <row r="53" customFormat="false" ht="42" hidden="false" customHeight="true" outlineLevel="0" collapsed="false">
      <c r="A53" s="15" t="n">
        <v>2</v>
      </c>
      <c r="B53" s="16" t="s">
        <v>1897</v>
      </c>
      <c r="C53" s="17" t="s">
        <v>289</v>
      </c>
      <c r="D53" s="17" t="s">
        <v>1898</v>
      </c>
      <c r="E53" s="17" t="s">
        <v>1899</v>
      </c>
      <c r="F53" s="17" t="s">
        <v>1900</v>
      </c>
      <c r="G53" s="17" t="s">
        <v>1901</v>
      </c>
      <c r="H53" s="17" t="s">
        <v>1902</v>
      </c>
      <c r="I53" s="17" t="s">
        <v>1903</v>
      </c>
      <c r="J53" s="17" t="s">
        <v>1904</v>
      </c>
      <c r="K53" s="18" t="s">
        <v>1905</v>
      </c>
      <c r="L53" s="15" t="s">
        <v>131</v>
      </c>
      <c r="M53" s="17" t="s">
        <v>2169</v>
      </c>
      <c r="N53" s="19" t="s">
        <v>73</v>
      </c>
      <c r="O53" s="19" t="s">
        <v>621</v>
      </c>
      <c r="P53" s="20"/>
    </row>
    <row r="54" customFormat="false" ht="42" hidden="false" customHeight="true" outlineLevel="0" collapsed="false">
      <c r="A54" s="15" t="n">
        <v>2</v>
      </c>
      <c r="B54" s="16" t="s">
        <v>1928</v>
      </c>
      <c r="C54" s="17" t="s">
        <v>111</v>
      </c>
      <c r="D54" s="17" t="s">
        <v>146</v>
      </c>
      <c r="E54" s="17" t="s">
        <v>1929</v>
      </c>
      <c r="F54" s="17" t="s">
        <v>1930</v>
      </c>
      <c r="G54" s="17" t="s">
        <v>1931</v>
      </c>
      <c r="H54" s="17" t="s">
        <v>1932</v>
      </c>
      <c r="I54" s="17" t="s">
        <v>1933</v>
      </c>
      <c r="J54" s="17" t="s">
        <v>1934</v>
      </c>
      <c r="K54" s="18" t="s">
        <v>1935</v>
      </c>
      <c r="L54" s="15" t="s">
        <v>131</v>
      </c>
      <c r="M54" s="17" t="s">
        <v>2170</v>
      </c>
      <c r="N54" s="19" t="s">
        <v>73</v>
      </c>
      <c r="O54" s="19" t="s">
        <v>1937</v>
      </c>
      <c r="P54" s="20"/>
    </row>
    <row r="55" customFormat="false" ht="15" hidden="false" customHeight="false" outlineLevel="0" collapsed="false">
      <c r="P55" s="21"/>
    </row>
    <row r="56" customFormat="false" ht="15" hidden="false" customHeight="false" outlineLevel="0" collapsed="false">
      <c r="P56" s="21"/>
    </row>
    <row r="57" customFormat="false" ht="15" hidden="false" customHeight="false" outlineLevel="0" collapsed="false">
      <c r="P57" s="21"/>
    </row>
    <row r="58" customFormat="false" ht="15" hidden="false" customHeight="false" outlineLevel="0" collapsed="false">
      <c r="P58" s="21"/>
    </row>
    <row r="59" customFormat="false" ht="15" hidden="false" customHeight="false" outlineLevel="0" collapsed="false">
      <c r="P59" s="21"/>
    </row>
    <row r="60" customFormat="false" ht="15" hidden="false" customHeight="false" outlineLevel="0" collapsed="false">
      <c r="P60" s="21"/>
    </row>
    <row r="61" customFormat="false" ht="15" hidden="false" customHeight="false" outlineLevel="0" collapsed="false">
      <c r="P61" s="21"/>
    </row>
    <row r="62" customFormat="false" ht="15" hidden="false" customHeight="false" outlineLevel="0" collapsed="false">
      <c r="P62" s="21"/>
    </row>
    <row r="63" customFormat="false" ht="15" hidden="false" customHeight="false" outlineLevel="0" collapsed="false">
      <c r="P63" s="21"/>
    </row>
    <row r="64" customFormat="false" ht="15" hidden="false" customHeight="false" outlineLevel="0" collapsed="false">
      <c r="P64" s="21"/>
    </row>
    <row r="65" customFormat="false" ht="15" hidden="false" customHeight="false" outlineLevel="0" collapsed="false">
      <c r="P65" s="21"/>
    </row>
    <row r="66" customFormat="false" ht="15" hidden="false" customHeight="false" outlineLevel="0" collapsed="false">
      <c r="P66" s="21"/>
    </row>
    <row r="67" customFormat="false" ht="15" hidden="false" customHeight="false" outlineLevel="0" collapsed="false">
      <c r="P67" s="21"/>
    </row>
    <row r="68" customFormat="false" ht="15" hidden="false" customHeight="false" outlineLevel="0" collapsed="false">
      <c r="P68" s="21"/>
    </row>
    <row r="69" customFormat="false" ht="15" hidden="false" customHeight="false" outlineLevel="0" collapsed="false">
      <c r="P69" s="21"/>
    </row>
    <row r="70" customFormat="false" ht="15" hidden="false" customHeight="false" outlineLevel="0" collapsed="false">
      <c r="P70" s="21"/>
    </row>
    <row r="71" customFormat="false" ht="15" hidden="false" customHeight="false" outlineLevel="0" collapsed="false">
      <c r="P71" s="21"/>
    </row>
    <row r="72" customFormat="false" ht="15" hidden="false" customHeight="false" outlineLevel="0" collapsed="false">
      <c r="P72" s="21"/>
    </row>
    <row r="73" customFormat="false" ht="15" hidden="false" customHeight="false" outlineLevel="0" collapsed="false">
      <c r="P73" s="21"/>
    </row>
    <row r="74" customFormat="false" ht="15" hidden="false" customHeight="false" outlineLevel="0" collapsed="false">
      <c r="P74" s="21"/>
    </row>
    <row r="75" customFormat="false" ht="15" hidden="false" customHeight="false" outlineLevel="0" collapsed="false">
      <c r="P75" s="21"/>
    </row>
    <row r="76" customFormat="false" ht="15" hidden="false" customHeight="false" outlineLevel="0" collapsed="false">
      <c r="P76" s="21"/>
    </row>
    <row r="77" customFormat="false" ht="15" hidden="false" customHeight="false" outlineLevel="0" collapsed="false">
      <c r="P77" s="21"/>
    </row>
    <row r="78" customFormat="false" ht="15" hidden="false" customHeight="false" outlineLevel="0" collapsed="false">
      <c r="P78" s="21"/>
    </row>
    <row r="79" customFormat="false" ht="15" hidden="false" customHeight="false" outlineLevel="0" collapsed="false">
      <c r="P79" s="21"/>
    </row>
    <row r="80" customFormat="false" ht="15" hidden="false" customHeight="false" outlineLevel="0" collapsed="false">
      <c r="P80" s="21"/>
    </row>
    <row r="81" customFormat="false" ht="15" hidden="false" customHeight="false" outlineLevel="0" collapsed="false">
      <c r="P81" s="21"/>
    </row>
    <row r="82" customFormat="false" ht="15" hidden="false" customHeight="false" outlineLevel="0" collapsed="false">
      <c r="P82" s="21"/>
    </row>
    <row r="83" customFormat="false" ht="15" hidden="false" customHeight="false" outlineLevel="0" collapsed="false">
      <c r="P83" s="21"/>
    </row>
    <row r="84" customFormat="false" ht="15" hidden="false" customHeight="false" outlineLevel="0" collapsed="false">
      <c r="P84" s="21"/>
    </row>
    <row r="85" customFormat="false" ht="15" hidden="false" customHeight="false" outlineLevel="0" collapsed="false">
      <c r="P85" s="21"/>
    </row>
    <row r="86" customFormat="false" ht="15" hidden="false" customHeight="false" outlineLevel="0" collapsed="false">
      <c r="P86" s="21"/>
    </row>
    <row r="87" customFormat="false" ht="15" hidden="false" customHeight="false" outlineLevel="0" collapsed="false">
      <c r="P87" s="21"/>
    </row>
    <row r="88" customFormat="false" ht="15" hidden="false" customHeight="false" outlineLevel="0" collapsed="false">
      <c r="P88" s="21"/>
    </row>
    <row r="89" customFormat="false" ht="15" hidden="false" customHeight="false" outlineLevel="0" collapsed="false">
      <c r="P89" s="21"/>
    </row>
    <row r="90" customFormat="false" ht="15" hidden="false" customHeight="false" outlineLevel="0" collapsed="false">
      <c r="P90" s="21"/>
    </row>
    <row r="91" customFormat="false" ht="15" hidden="false" customHeight="false" outlineLevel="0" collapsed="false">
      <c r="P91" s="21"/>
    </row>
    <row r="92" customFormat="false" ht="15" hidden="false" customHeight="false" outlineLevel="0" collapsed="false">
      <c r="P92" s="21"/>
    </row>
    <row r="93" customFormat="false" ht="15" hidden="false" customHeight="false" outlineLevel="0" collapsed="false">
      <c r="P93" s="21"/>
    </row>
    <row r="94" customFormat="false" ht="15" hidden="false" customHeight="false" outlineLevel="0" collapsed="false">
      <c r="P94" s="21"/>
    </row>
    <row r="95" customFormat="false" ht="15" hidden="false" customHeight="false" outlineLevel="0" collapsed="false">
      <c r="P95" s="21"/>
    </row>
    <row r="96" customFormat="false" ht="15" hidden="false" customHeight="false" outlineLevel="0" collapsed="false">
      <c r="P96" s="21"/>
    </row>
    <row r="97" customFormat="false" ht="15" hidden="false" customHeight="false" outlineLevel="0" collapsed="false">
      <c r="P97" s="21"/>
    </row>
    <row r="98" customFormat="false" ht="15" hidden="false" customHeight="false" outlineLevel="0" collapsed="false">
      <c r="P98" s="21"/>
    </row>
    <row r="99" customFormat="false" ht="15" hidden="false" customHeight="false" outlineLevel="0" collapsed="false">
      <c r="P99" s="21"/>
    </row>
    <row r="100" customFormat="false" ht="15" hidden="false" customHeight="false" outlineLevel="0" collapsed="false">
      <c r="P100" s="21"/>
    </row>
    <row r="101" customFormat="false" ht="15" hidden="false" customHeight="false" outlineLevel="0" collapsed="false">
      <c r="P101" s="21"/>
    </row>
    <row r="102" customFormat="false" ht="15" hidden="false" customHeight="false" outlineLevel="0" collapsed="false">
      <c r="P102" s="21"/>
    </row>
    <row r="103" customFormat="false" ht="15" hidden="false" customHeight="false" outlineLevel="0" collapsed="false">
      <c r="P103" s="21"/>
    </row>
    <row r="104" customFormat="false" ht="15" hidden="false" customHeight="false" outlineLevel="0" collapsed="false">
      <c r="P104" s="21"/>
    </row>
    <row r="105" customFormat="false" ht="15" hidden="false" customHeight="false" outlineLevel="0" collapsed="false">
      <c r="P105" s="21"/>
    </row>
    <row r="106" customFormat="false" ht="15" hidden="false" customHeight="false" outlineLevel="0" collapsed="false">
      <c r="P106" s="21"/>
    </row>
    <row r="107" customFormat="false" ht="15" hidden="false" customHeight="false" outlineLevel="0" collapsed="false">
      <c r="P107" s="21"/>
    </row>
    <row r="108" customFormat="false" ht="15" hidden="false" customHeight="false" outlineLevel="0" collapsed="false">
      <c r="P108" s="21"/>
    </row>
    <row r="109" customFormat="false" ht="15" hidden="false" customHeight="false" outlineLevel="0" collapsed="false">
      <c r="P109" s="21"/>
    </row>
    <row r="110" customFormat="false" ht="15" hidden="false" customHeight="false" outlineLevel="0" collapsed="false">
      <c r="P110" s="21"/>
    </row>
    <row r="111" customFormat="false" ht="15" hidden="false" customHeight="false" outlineLevel="0" collapsed="false">
      <c r="P111" s="21"/>
    </row>
    <row r="112" customFormat="false" ht="15" hidden="false" customHeight="false" outlineLevel="0" collapsed="false">
      <c r="P112" s="21"/>
    </row>
    <row r="113" customFormat="false" ht="15" hidden="false" customHeight="false" outlineLevel="0" collapsed="false">
      <c r="P113" s="21"/>
    </row>
    <row r="114" customFormat="false" ht="15" hidden="false" customHeight="false" outlineLevel="0" collapsed="false">
      <c r="P114" s="21"/>
    </row>
    <row r="115" customFormat="false" ht="15" hidden="false" customHeight="false" outlineLevel="0" collapsed="false">
      <c r="P115" s="21"/>
    </row>
    <row r="116" customFormat="false" ht="15" hidden="false" customHeight="false" outlineLevel="0" collapsed="false">
      <c r="P116" s="21"/>
    </row>
    <row r="117" customFormat="false" ht="15" hidden="false" customHeight="false" outlineLevel="0" collapsed="false">
      <c r="P117" s="21"/>
    </row>
    <row r="118" customFormat="false" ht="15" hidden="false" customHeight="false" outlineLevel="0" collapsed="false">
      <c r="P118" s="21"/>
    </row>
    <row r="119" customFormat="false" ht="15" hidden="false" customHeight="false" outlineLevel="0" collapsed="false">
      <c r="P119" s="21"/>
    </row>
    <row r="120" customFormat="false" ht="15" hidden="false" customHeight="false" outlineLevel="0" collapsed="false">
      <c r="P120" s="21"/>
    </row>
    <row r="121" customFormat="false" ht="15" hidden="false" customHeight="false" outlineLevel="0" collapsed="false">
      <c r="P121" s="21"/>
    </row>
    <row r="122" customFormat="false" ht="15" hidden="false" customHeight="false" outlineLevel="0" collapsed="false">
      <c r="P122" s="21"/>
    </row>
    <row r="123" customFormat="false" ht="15" hidden="false" customHeight="false" outlineLevel="0" collapsed="false">
      <c r="P123" s="21"/>
    </row>
    <row r="124" customFormat="false" ht="15" hidden="false" customHeight="false" outlineLevel="0" collapsed="false">
      <c r="P124" s="21"/>
    </row>
    <row r="125" customFormat="false" ht="15" hidden="false" customHeight="false" outlineLevel="0" collapsed="false">
      <c r="P125" s="21"/>
    </row>
    <row r="126" customFormat="false" ht="15" hidden="false" customHeight="false" outlineLevel="0" collapsed="false">
      <c r="P126" s="21"/>
    </row>
    <row r="127" customFormat="false" ht="15" hidden="false" customHeight="false" outlineLevel="0" collapsed="false">
      <c r="P127" s="21"/>
    </row>
    <row r="128" customFormat="false" ht="15" hidden="false" customHeight="false" outlineLevel="0" collapsed="false">
      <c r="P128" s="21"/>
    </row>
    <row r="129" customFormat="false" ht="15" hidden="false" customHeight="false" outlineLevel="0" collapsed="false">
      <c r="P129" s="21"/>
    </row>
    <row r="130" customFormat="false" ht="15" hidden="false" customHeight="false" outlineLevel="0" collapsed="false">
      <c r="P130" s="21"/>
    </row>
    <row r="131" customFormat="false" ht="15" hidden="false" customHeight="false" outlineLevel="0" collapsed="false">
      <c r="P131" s="21"/>
    </row>
    <row r="132" customFormat="false" ht="15" hidden="false" customHeight="false" outlineLevel="0" collapsed="false">
      <c r="P132" s="21"/>
    </row>
    <row r="133" customFormat="false" ht="15" hidden="false" customHeight="false" outlineLevel="0" collapsed="false">
      <c r="P133" s="21"/>
    </row>
    <row r="134" customFormat="false" ht="15" hidden="false" customHeight="false" outlineLevel="0" collapsed="false">
      <c r="P134" s="21"/>
    </row>
    <row r="135" customFormat="false" ht="15" hidden="false" customHeight="false" outlineLevel="0" collapsed="false">
      <c r="P135" s="21"/>
    </row>
    <row r="136" customFormat="false" ht="15" hidden="false" customHeight="false" outlineLevel="0" collapsed="false">
      <c r="P136" s="21"/>
    </row>
    <row r="137" customFormat="false" ht="15" hidden="false" customHeight="false" outlineLevel="0" collapsed="false">
      <c r="P137" s="21"/>
    </row>
    <row r="138" customFormat="false" ht="15" hidden="false" customHeight="false" outlineLevel="0" collapsed="false">
      <c r="P138" s="21"/>
    </row>
    <row r="139" customFormat="false" ht="15" hidden="false" customHeight="false" outlineLevel="0" collapsed="false">
      <c r="P139" s="21"/>
    </row>
    <row r="140" customFormat="false" ht="15" hidden="false" customHeight="false" outlineLevel="0" collapsed="false">
      <c r="P140" s="21"/>
    </row>
    <row r="141" customFormat="false" ht="15" hidden="false" customHeight="false" outlineLevel="0" collapsed="false">
      <c r="P141" s="21"/>
    </row>
    <row r="142" customFormat="false" ht="15" hidden="false" customHeight="false" outlineLevel="0" collapsed="false">
      <c r="P142" s="21"/>
    </row>
    <row r="143" customFormat="false" ht="15" hidden="false" customHeight="false" outlineLevel="0" collapsed="false">
      <c r="P143" s="21"/>
    </row>
    <row r="144" customFormat="false" ht="15" hidden="false" customHeight="false" outlineLevel="0" collapsed="false">
      <c r="P144" s="21"/>
    </row>
    <row r="145" customFormat="false" ht="15" hidden="false" customHeight="false" outlineLevel="0" collapsed="false">
      <c r="P145" s="21"/>
    </row>
    <row r="146" customFormat="false" ht="15" hidden="false" customHeight="false" outlineLevel="0" collapsed="false">
      <c r="P146" s="21"/>
    </row>
    <row r="147" customFormat="false" ht="15" hidden="false" customHeight="false" outlineLevel="0" collapsed="false">
      <c r="P147" s="21"/>
    </row>
    <row r="148" customFormat="false" ht="15" hidden="false" customHeight="false" outlineLevel="0" collapsed="false">
      <c r="P148" s="21"/>
    </row>
    <row r="149" customFormat="false" ht="15" hidden="false" customHeight="false" outlineLevel="0" collapsed="false">
      <c r="P149" s="21"/>
    </row>
    <row r="150" customFormat="false" ht="15" hidden="false" customHeight="false" outlineLevel="0" collapsed="false">
      <c r="P150" s="21"/>
    </row>
    <row r="151" customFormat="false" ht="15" hidden="false" customHeight="false" outlineLevel="0" collapsed="false">
      <c r="P151" s="21"/>
    </row>
    <row r="152" customFormat="false" ht="15" hidden="false" customHeight="false" outlineLevel="0" collapsed="false">
      <c r="P152" s="21"/>
    </row>
    <row r="153" customFormat="false" ht="15" hidden="false" customHeight="false" outlineLevel="0" collapsed="false">
      <c r="P153" s="21"/>
    </row>
    <row r="154" customFormat="false" ht="15" hidden="false" customHeight="false" outlineLevel="0" collapsed="false">
      <c r="P154" s="21"/>
    </row>
    <row r="155" customFormat="false" ht="15" hidden="false" customHeight="false" outlineLevel="0" collapsed="false">
      <c r="P155" s="21"/>
    </row>
    <row r="156" customFormat="false" ht="15" hidden="false" customHeight="false" outlineLevel="0" collapsed="false">
      <c r="P156" s="21"/>
    </row>
    <row r="157" customFormat="false" ht="15" hidden="false" customHeight="false" outlineLevel="0" collapsed="false">
      <c r="P157" s="21"/>
    </row>
    <row r="158" customFormat="false" ht="15" hidden="false" customHeight="false" outlineLevel="0" collapsed="false">
      <c r="P158" s="21"/>
    </row>
    <row r="159" customFormat="false" ht="15" hidden="false" customHeight="false" outlineLevel="0" collapsed="false">
      <c r="P159" s="21"/>
    </row>
    <row r="160" customFormat="false" ht="15" hidden="false" customHeight="false" outlineLevel="0" collapsed="false">
      <c r="P160" s="21"/>
    </row>
    <row r="161" customFormat="false" ht="15" hidden="false" customHeight="false" outlineLevel="0" collapsed="false">
      <c r="P161" s="21"/>
    </row>
    <row r="162" customFormat="false" ht="15" hidden="false" customHeight="false" outlineLevel="0" collapsed="false">
      <c r="P162" s="21"/>
    </row>
    <row r="163" customFormat="false" ht="15" hidden="false" customHeight="false" outlineLevel="0" collapsed="false">
      <c r="P163" s="21"/>
    </row>
    <row r="164" customFormat="false" ht="15" hidden="false" customHeight="false" outlineLevel="0" collapsed="false">
      <c r="P164" s="21"/>
    </row>
    <row r="165" customFormat="false" ht="15" hidden="false" customHeight="false" outlineLevel="0" collapsed="false">
      <c r="P165" s="21"/>
    </row>
    <row r="166" customFormat="false" ht="15" hidden="false" customHeight="false" outlineLevel="0" collapsed="false">
      <c r="P166" s="21"/>
    </row>
    <row r="167" customFormat="false" ht="15" hidden="false" customHeight="false" outlineLevel="0" collapsed="false">
      <c r="P167" s="21"/>
    </row>
    <row r="168" customFormat="false" ht="15" hidden="false" customHeight="false" outlineLevel="0" collapsed="false">
      <c r="P168" s="21"/>
    </row>
    <row r="169" customFormat="false" ht="15" hidden="false" customHeight="false" outlineLevel="0" collapsed="false">
      <c r="P169" s="21"/>
    </row>
    <row r="170" customFormat="false" ht="15" hidden="false" customHeight="false" outlineLevel="0" collapsed="false">
      <c r="P170" s="21"/>
    </row>
    <row r="171" customFormat="false" ht="15" hidden="false" customHeight="false" outlineLevel="0" collapsed="false">
      <c r="P171" s="21"/>
    </row>
    <row r="172" customFormat="false" ht="15" hidden="false" customHeight="false" outlineLevel="0" collapsed="false">
      <c r="P172" s="21"/>
    </row>
    <row r="173" customFormat="false" ht="15" hidden="false" customHeight="false" outlineLevel="0" collapsed="false">
      <c r="P173" s="21"/>
    </row>
    <row r="174" customFormat="false" ht="15" hidden="false" customHeight="false" outlineLevel="0" collapsed="false">
      <c r="P174" s="21"/>
    </row>
    <row r="175" customFormat="false" ht="15" hidden="false" customHeight="false" outlineLevel="0" collapsed="false">
      <c r="P175" s="21"/>
    </row>
    <row r="176" customFormat="false" ht="15" hidden="false" customHeight="false" outlineLevel="0" collapsed="false">
      <c r="P176" s="21"/>
    </row>
    <row r="177" customFormat="false" ht="15" hidden="false" customHeight="false" outlineLevel="0" collapsed="false">
      <c r="P177" s="21"/>
    </row>
    <row r="178" customFormat="false" ht="15" hidden="false" customHeight="false" outlineLevel="0" collapsed="false">
      <c r="P178" s="21"/>
    </row>
    <row r="179" customFormat="false" ht="15" hidden="false" customHeight="false" outlineLevel="0" collapsed="false">
      <c r="P179" s="21"/>
    </row>
    <row r="180" customFormat="false" ht="15" hidden="false" customHeight="false" outlineLevel="0" collapsed="false">
      <c r="P180" s="21"/>
    </row>
    <row r="181" customFormat="false" ht="15" hidden="false" customHeight="false" outlineLevel="0" collapsed="false">
      <c r="P181" s="21"/>
    </row>
    <row r="182" customFormat="false" ht="15" hidden="false" customHeight="false" outlineLevel="0" collapsed="false">
      <c r="P182" s="21"/>
    </row>
    <row r="183" customFormat="false" ht="15" hidden="false" customHeight="false" outlineLevel="0" collapsed="false">
      <c r="P183" s="21"/>
    </row>
    <row r="184" customFormat="false" ht="15" hidden="false" customHeight="false" outlineLevel="0" collapsed="false">
      <c r="P184" s="21"/>
    </row>
    <row r="185" customFormat="false" ht="15" hidden="false" customHeight="false" outlineLevel="0" collapsed="false">
      <c r="P185" s="21"/>
    </row>
    <row r="186" customFormat="false" ht="15" hidden="false" customHeight="false" outlineLevel="0" collapsed="false">
      <c r="P186" s="21"/>
    </row>
    <row r="187" customFormat="false" ht="15" hidden="false" customHeight="false" outlineLevel="0" collapsed="false">
      <c r="P187" s="21"/>
    </row>
    <row r="188" customFormat="false" ht="15" hidden="false" customHeight="false" outlineLevel="0" collapsed="false">
      <c r="P188" s="21"/>
    </row>
    <row r="189" customFormat="false" ht="15" hidden="false" customHeight="false" outlineLevel="0" collapsed="false">
      <c r="P189" s="21"/>
    </row>
    <row r="190" customFormat="false" ht="15" hidden="false" customHeight="false" outlineLevel="0" collapsed="false">
      <c r="P190" s="21"/>
    </row>
    <row r="191" customFormat="false" ht="15" hidden="false" customHeight="false" outlineLevel="0" collapsed="false">
      <c r="P191" s="21"/>
    </row>
    <row r="192" customFormat="false" ht="15" hidden="false" customHeight="false" outlineLevel="0" collapsed="false">
      <c r="P192" s="21"/>
    </row>
    <row r="193" customFormat="false" ht="15" hidden="false" customHeight="false" outlineLevel="0" collapsed="false">
      <c r="P193" s="21"/>
    </row>
    <row r="194" customFormat="false" ht="15" hidden="false" customHeight="false" outlineLevel="0" collapsed="false">
      <c r="P194" s="21"/>
    </row>
    <row r="195" customFormat="false" ht="15" hidden="false" customHeight="false" outlineLevel="0" collapsed="false">
      <c r="P195" s="21"/>
    </row>
    <row r="196" customFormat="false" ht="15" hidden="false" customHeight="false" outlineLevel="0" collapsed="false">
      <c r="P196" s="21"/>
    </row>
    <row r="197" customFormat="false" ht="15" hidden="false" customHeight="false" outlineLevel="0" collapsed="false">
      <c r="P197" s="21"/>
    </row>
    <row r="198" customFormat="false" ht="15" hidden="false" customHeight="false" outlineLevel="0" collapsed="false">
      <c r="P198" s="21"/>
    </row>
    <row r="199" customFormat="false" ht="15" hidden="false" customHeight="false" outlineLevel="0" collapsed="false">
      <c r="P199" s="21"/>
    </row>
    <row r="200" customFormat="false" ht="15" hidden="false" customHeight="false" outlineLevel="0" collapsed="false">
      <c r="P200" s="21"/>
    </row>
    <row r="201" customFormat="false" ht="15" hidden="false" customHeight="false" outlineLevel="0" collapsed="false">
      <c r="P201" s="21"/>
    </row>
    <row r="202" customFormat="false" ht="15" hidden="false" customHeight="false" outlineLevel="0" collapsed="false">
      <c r="P202" s="21"/>
    </row>
    <row r="203" customFormat="false" ht="15" hidden="false" customHeight="false" outlineLevel="0" collapsed="false">
      <c r="P203" s="21"/>
    </row>
    <row r="204" customFormat="false" ht="15" hidden="false" customHeight="false" outlineLevel="0" collapsed="false">
      <c r="P204" s="21"/>
    </row>
    <row r="205" customFormat="false" ht="15" hidden="false" customHeight="false" outlineLevel="0" collapsed="false">
      <c r="P205" s="21"/>
    </row>
    <row r="206" customFormat="false" ht="15" hidden="false" customHeight="false" outlineLevel="0" collapsed="false">
      <c r="P206" s="21"/>
    </row>
    <row r="207" customFormat="false" ht="15" hidden="false" customHeight="false" outlineLevel="0" collapsed="false">
      <c r="P207" s="21"/>
    </row>
    <row r="208" customFormat="false" ht="15" hidden="false" customHeight="false" outlineLevel="0" collapsed="false">
      <c r="P208" s="21"/>
    </row>
    <row r="209" customFormat="false" ht="15" hidden="false" customHeight="false" outlineLevel="0" collapsed="false">
      <c r="P209" s="21"/>
    </row>
    <row r="210" customFormat="false" ht="15" hidden="false" customHeight="false" outlineLevel="0" collapsed="false">
      <c r="P210" s="21"/>
    </row>
    <row r="211" customFormat="false" ht="15" hidden="false" customHeight="false" outlineLevel="0" collapsed="false">
      <c r="P211" s="21"/>
    </row>
    <row r="212" customFormat="false" ht="15" hidden="false" customHeight="false" outlineLevel="0" collapsed="false">
      <c r="P212" s="21"/>
    </row>
    <row r="213" customFormat="false" ht="15" hidden="false" customHeight="false" outlineLevel="0" collapsed="false">
      <c r="P213" s="21"/>
    </row>
    <row r="214" customFormat="false" ht="15" hidden="false" customHeight="false" outlineLevel="0" collapsed="false">
      <c r="P214" s="21"/>
    </row>
    <row r="215" customFormat="false" ht="15" hidden="false" customHeight="false" outlineLevel="0" collapsed="false">
      <c r="P215" s="21"/>
    </row>
    <row r="216" customFormat="false" ht="15" hidden="false" customHeight="false" outlineLevel="0" collapsed="false">
      <c r="P216" s="21"/>
    </row>
    <row r="217" customFormat="false" ht="15" hidden="false" customHeight="false" outlineLevel="0" collapsed="false">
      <c r="P217" s="21"/>
    </row>
    <row r="218" customFormat="false" ht="15" hidden="false" customHeight="false" outlineLevel="0" collapsed="false">
      <c r="P218" s="21"/>
    </row>
    <row r="219" customFormat="false" ht="15" hidden="false" customHeight="false" outlineLevel="0" collapsed="false">
      <c r="P219" s="21"/>
    </row>
    <row r="220" customFormat="false" ht="15" hidden="false" customHeight="false" outlineLevel="0" collapsed="false">
      <c r="P220" s="21"/>
    </row>
    <row r="221" customFormat="false" ht="15" hidden="false" customHeight="false" outlineLevel="0" collapsed="false">
      <c r="P221" s="21"/>
    </row>
    <row r="222" customFormat="false" ht="15" hidden="false" customHeight="false" outlineLevel="0" collapsed="false">
      <c r="P222" s="21"/>
    </row>
    <row r="223" customFormat="false" ht="15" hidden="false" customHeight="false" outlineLevel="0" collapsed="false">
      <c r="P223" s="21"/>
    </row>
    <row r="224" customFormat="false" ht="15" hidden="false" customHeight="false" outlineLevel="0" collapsed="false">
      <c r="P224" s="21"/>
    </row>
    <row r="225" customFormat="false" ht="15" hidden="false" customHeight="false" outlineLevel="0" collapsed="false">
      <c r="P225" s="21"/>
    </row>
    <row r="226" customFormat="false" ht="15" hidden="false" customHeight="false" outlineLevel="0" collapsed="false">
      <c r="P226" s="21"/>
    </row>
    <row r="227" customFormat="false" ht="15" hidden="false" customHeight="false" outlineLevel="0" collapsed="false">
      <c r="P227" s="21"/>
    </row>
    <row r="228" customFormat="false" ht="15" hidden="false" customHeight="false" outlineLevel="0" collapsed="false">
      <c r="P228" s="21"/>
    </row>
    <row r="229" customFormat="false" ht="15" hidden="false" customHeight="false" outlineLevel="0" collapsed="false">
      <c r="P229" s="21"/>
    </row>
    <row r="230" customFormat="false" ht="15" hidden="false" customHeight="false" outlineLevel="0" collapsed="false">
      <c r="P230" s="21"/>
    </row>
    <row r="231" customFormat="false" ht="15" hidden="false" customHeight="false" outlineLevel="0" collapsed="false">
      <c r="P231" s="21"/>
    </row>
    <row r="232" customFormat="false" ht="15" hidden="false" customHeight="false" outlineLevel="0" collapsed="false">
      <c r="P232" s="21"/>
    </row>
    <row r="233" customFormat="false" ht="15" hidden="false" customHeight="false" outlineLevel="0" collapsed="false">
      <c r="P233" s="21"/>
    </row>
    <row r="234" customFormat="false" ht="15" hidden="false" customHeight="false" outlineLevel="0" collapsed="false">
      <c r="P234" s="21"/>
    </row>
    <row r="235" customFormat="false" ht="15" hidden="false" customHeight="false" outlineLevel="0" collapsed="false">
      <c r="P235" s="21"/>
    </row>
    <row r="236" customFormat="false" ht="15" hidden="false" customHeight="false" outlineLevel="0" collapsed="false">
      <c r="P236" s="21"/>
    </row>
    <row r="237" customFormat="false" ht="15" hidden="false" customHeight="false" outlineLevel="0" collapsed="false">
      <c r="P237" s="21"/>
    </row>
    <row r="238" customFormat="false" ht="15" hidden="false" customHeight="false" outlineLevel="0" collapsed="false">
      <c r="P238" s="21"/>
    </row>
    <row r="239" customFormat="false" ht="15" hidden="false" customHeight="false" outlineLevel="0" collapsed="false">
      <c r="P239" s="21"/>
    </row>
    <row r="240" customFormat="false" ht="15" hidden="false" customHeight="false" outlineLevel="0" collapsed="false">
      <c r="P240" s="21"/>
    </row>
    <row r="241" customFormat="false" ht="15" hidden="false" customHeight="false" outlineLevel="0" collapsed="false">
      <c r="P241" s="21"/>
    </row>
    <row r="242" customFormat="false" ht="15" hidden="false" customHeight="false" outlineLevel="0" collapsed="false">
      <c r="P242" s="21"/>
    </row>
    <row r="243" customFormat="false" ht="15" hidden="false" customHeight="false" outlineLevel="0" collapsed="false">
      <c r="P243" s="21"/>
    </row>
    <row r="244" customFormat="false" ht="15" hidden="false" customHeight="false" outlineLevel="0" collapsed="false">
      <c r="P244" s="21"/>
    </row>
    <row r="245" customFormat="false" ht="15" hidden="false" customHeight="false" outlineLevel="0" collapsed="false">
      <c r="P245" s="21"/>
    </row>
    <row r="246" customFormat="false" ht="15" hidden="false" customHeight="false" outlineLevel="0" collapsed="false">
      <c r="P246" s="21"/>
    </row>
    <row r="247" customFormat="false" ht="15" hidden="false" customHeight="false" outlineLevel="0" collapsed="false">
      <c r="P247" s="21"/>
    </row>
    <row r="248" customFormat="false" ht="15" hidden="false" customHeight="false" outlineLevel="0" collapsed="false">
      <c r="P248" s="21"/>
    </row>
    <row r="249" customFormat="false" ht="15" hidden="false" customHeight="false" outlineLevel="0" collapsed="false">
      <c r="P249" s="21"/>
    </row>
    <row r="250" customFormat="false" ht="15" hidden="false" customHeight="false" outlineLevel="0" collapsed="false">
      <c r="P250" s="21"/>
    </row>
    <row r="251" customFormat="false" ht="15" hidden="false" customHeight="false" outlineLevel="0" collapsed="false">
      <c r="P251" s="21"/>
    </row>
    <row r="252" customFormat="false" ht="15" hidden="false" customHeight="false" outlineLevel="0" collapsed="false">
      <c r="P252" s="21"/>
    </row>
    <row r="253" customFormat="false" ht="15" hidden="false" customHeight="false" outlineLevel="0" collapsed="false">
      <c r="P253" s="21"/>
    </row>
    <row r="254" customFormat="false" ht="15" hidden="false" customHeight="false" outlineLevel="0" collapsed="false">
      <c r="P254" s="21"/>
    </row>
  </sheetData>
  <autoFilter ref="A1:P54"/>
  <conditionalFormatting sqref="A2:A54">
    <cfRule type="cellIs" priority="2" operator="equal" aboveAverage="0" equalAverage="0" bottom="0" percent="0" rank="0" text="" dxfId="9">
      <formula>5</formula>
    </cfRule>
    <cfRule type="cellIs" priority="3" operator="equal" aboveAverage="0" equalAverage="0" bottom="0" percent="0" rank="0" text="" dxfId="10">
      <formula>4</formula>
    </cfRule>
  </conditionalFormatting>
  <conditionalFormatting sqref="L2:L54">
    <cfRule type="cellIs" priority="4" operator="equal" aboveAverage="0" equalAverage="0" bottom="0" percent="0" rank="0" text="" dxfId="11">
      <formula>"N"</formula>
    </cfRule>
  </conditionalFormatting>
  <conditionalFormatting sqref="N2:N54">
    <cfRule type="cellIs" priority="5" operator="equal" aboveAverage="0" equalAverage="0" bottom="0" percent="0" rank="0" text="" dxfId="12">
      <formula>"Partner"</formula>
    </cfRule>
    <cfRule type="cellIs" priority="6" operator="equal" aboveAverage="0" equalAverage="0" bottom="0" percent="0" rank="0" text="" dxfId="13">
      <formula>"Declined"</formula>
    </cfRule>
  </conditionalFormatting>
  <dataValidations count="2">
    <dataValidation allowBlank="true" error="Pick a status from the list" errorStyle="stop" errorTitle="Status" operator="between" prompt="Not started / Contacted / Applied / Booked / Partner / Declined" promptTitle="Status" showDropDown="false" showErrorMessage="true" showInputMessage="true" sqref="N2:N254" type="list">
      <formula1>"Not started,Contacted,Applied,Booked,Partner,Declined"</formula1>
      <formula2>0</formula2>
    </dataValidation>
    <dataValidation allowBlank="true" error="Enter a date (yyyy-mm-dd)" errorStyle="stop" operator="greaterThan" showDropDown="false" showErrorMessage="true" showInputMessage="false" sqref="P2:P254" type="date">
      <formula1>DATE(2026,1,1)</formula1>
      <formula2>0</formula2>
    </dataValidation>
  </dataValidations>
  <hyperlinks>
    <hyperlink ref="K2" r:id="rId1" display="https://www.ibpa-online.org"/>
    <hyperlink ref="K3" r:id="rId2" display="https://www.ptotoday.com"/>
    <hyperlink ref="K4" r:id="rId3" display="https://waldorfearlychildhood.org"/>
    <hyperlink ref="K5" r:id="rId4" display="https://www.aimsmddc.org"/>
    <hyperlink ref="K6" r:id="rId5" display="https://www.mdlib.org"/>
    <hyperlink ref="K7" r:id="rId6" display="https://www.ala.org/aasl"/>
    <hyperlink ref="K8" r:id="rId7" display="https://amshq.org"/>
    <hyperlink ref="K9" r:id="rId8" display="https://www.ala.org/alsc"/>
    <hyperlink ref="K10" r:id="rId9" display="https://www.juniorlibraryguild.com/publishers"/>
    <hyperlink ref="K11" r:id="rId10" display="https://home.mackin.com/publisher-showcase/"/>
    <hyperlink ref="K12" r:id="rId11" display="https://www.nais.org"/>
    <hyperlink ref="K13" r:id="rId12" display="https://www.naesp.org"/>
    <hyperlink ref="K14" r:id="rId13" display="https://www.follettcontent.com"/>
    <hyperlink ref="K15" r:id="rId14" display="https://maespmd.org"/>
    <hyperlink ref="K16" r:id="rId15" display="https://www.maslmd.org"/>
    <hyperlink ref="K17" r:id="rId16" display="https://www.somla.online"/>
    <hyperlink ref="K18" r:id="rId17" display="https://www.thereadingleague.org"/>
    <hyperlink ref="K19" r:id="rId18" display="https://www.schoolcounselor.org"/>
    <hyperlink ref="K20" r:id="rId19" display="https://www.acsi.org"/>
    <hyperlink ref="K21" r:id="rId20" display="https://www.booklistonline.com"/>
    <hyperlink ref="K22" r:id="rId21" display="https://cbcbooks.org"/>
    <hyperlink ref="K23" r:id="rId22" display="https://www.kirkusreviews.com/indie-reviews/"/>
    <hyperlink ref="K24" r:id="rId23" display="https://www.arteducators.org"/>
    <hyperlink ref="K25" r:id="rId24" display="https://www.episcopalschools.org"/>
    <hyperlink ref="K26" r:id="rId25" display="https://ncea.org"/>
    <hyperlink ref="K27" r:id="rId26" display="https://prizmah.org"/>
    <hyperlink ref="K28" r:id="rId27" display="https://www.placonference.org"/>
    <hyperlink ref="K29" r:id="rId28" display="https://www.slj.com"/>
    <hyperlink ref="K30" r:id="rId29" display="https://www.weareteachers.com/advertise-with-weareteachers/"/>
    <hyperlink ref="K31" r:id="rId30" display="https://2027.alaannual.org"/>
    <hyperlink ref="K32" r:id="rId31" display="https://convention.ncte.org"/>
    <hyperlink ref="K33" r:id="rId32" display="https://www.waldorfeducation.org"/>
    <hyperlink ref="K34" r:id="rId33" display="https://dey.org"/>
    <hyperlink ref="K35" r:id="rId34" display="https://firstbook.org/partners/"/>
    <hyperlink ref="K36" r:id="rId35" display="https://adwcatholicschools.org"/>
    <hyperlink ref="K37" r:id="rId36" display="https://www.archbalt.org/schools/"/>
    <hyperlink ref="K38" r:id="rId37" display="https://www.palibraries.org"/>
    <hyperlink ref="K39" r:id="rId38" display="https://www.vla.org"/>
    <hyperlink ref="K40" r:id="rId39" display="https://californiakindergartenassociation.org"/>
    <hyperlink ref="K41" r:id="rId40" display="https://www.mscaonline.org"/>
    <hyperlink ref="K42" r:id="rId41" display="https://www.marylandarted.org"/>
    <hyperlink ref="K43" r:id="rId42" display="https://conference.txla.org"/>
    <hyperlink ref="K44" r:id="rId43" display="https://www.edutopia.org/about/your-turn-write-us"/>
    <hyperlink ref="K45" r:id="rId44" display="https://www.getyourteachon.com/sponsors"/>
    <hyperlink ref="K46" r:id="rId45" display="https://publiccharters.org/conference/"/>
    <hyperlink ref="K47" r:id="rId46" display="https://www.scholastic.com/profmedia/mediakit/rates.htm"/>
    <hyperlink ref="K48" r:id="rId47" display="https://www.shapeamerica.org"/>
    <hyperlink ref="K49" r:id="rId48" display="https://www.kdp.org"/>
    <hyperlink ref="K50" r:id="rId49" display="https://aacte.org"/>
    <hyperlink ref="K51" r:id="rId50" display="https://www.actionforhealthykids.org"/>
    <hyperlink ref="K52" r:id="rId51" display="https://www.literacyworldwide.org"/>
    <hyperlink ref="K53" r:id="rId52" display="https://graduate.bankstreet.edu/educator-resources/conferences-institutes/kindergarten-conference/"/>
    <hyperlink ref="K54" r:id="rId53" display="https://mdcharters.org"/>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5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34"/>
    <col collapsed="false" customWidth="true" hidden="false" outlineLevel="0" max="6" min="6" style="0" width="38"/>
    <col collapsed="false" customWidth="true" hidden="false" outlineLevel="0" max="7" min="7" style="0" width="32"/>
    <col collapsed="false" customWidth="true" hidden="false" outlineLevel="0" max="8" min="8" style="0" width="28"/>
    <col collapsed="false" customWidth="true" hidden="false" outlineLevel="0" max="9" min="9" style="0" width="40"/>
    <col collapsed="false" customWidth="true" hidden="false" outlineLevel="0" max="11" min="10" style="0" width="32"/>
    <col collapsed="false" customWidth="true" hidden="false" outlineLevel="0" max="12" min="12" style="0" width="11"/>
    <col collapsed="false" customWidth="true" hidden="false" outlineLevel="0" max="13" min="13" style="0" width="70"/>
    <col collapsed="false" customWidth="true" hidden="false" outlineLevel="0" max="14" min="14" style="0" width="14"/>
    <col collapsed="false" customWidth="true" hidden="false" outlineLevel="0" max="15" min="15" style="0" width="42"/>
    <col collapsed="false" customWidth="true" hidden="false" outlineLevel="0" max="16" min="16" style="0" width="12"/>
  </cols>
  <sheetData>
    <row r="1" customFormat="false" ht="30" hidden="false" customHeight="true" outlineLevel="0" collapsed="false">
      <c r="A1" s="6" t="s">
        <v>45</v>
      </c>
      <c r="B1" s="5" t="s">
        <v>46</v>
      </c>
      <c r="C1" s="5" t="s">
        <v>47</v>
      </c>
      <c r="D1" s="5" t="s">
        <v>48</v>
      </c>
      <c r="E1" s="5" t="s">
        <v>49</v>
      </c>
      <c r="F1" s="5" t="s">
        <v>50</v>
      </c>
      <c r="G1" s="5" t="s">
        <v>51</v>
      </c>
      <c r="H1" s="5" t="s">
        <v>52</v>
      </c>
      <c r="I1" s="5" t="s">
        <v>53</v>
      </c>
      <c r="J1" s="5" t="s">
        <v>54</v>
      </c>
      <c r="K1" s="5" t="s">
        <v>55</v>
      </c>
      <c r="L1" s="6" t="s">
        <v>56</v>
      </c>
      <c r="M1" s="5" t="s">
        <v>57</v>
      </c>
      <c r="N1" s="5" t="s">
        <v>58</v>
      </c>
      <c r="O1" s="5" t="s">
        <v>59</v>
      </c>
      <c r="P1" s="6" t="s">
        <v>60</v>
      </c>
    </row>
    <row r="2" customFormat="false" ht="144.75" hidden="false" customHeight="true" outlineLevel="0" collapsed="false">
      <c r="A2" s="15" t="n">
        <v>5</v>
      </c>
      <c r="B2" s="16" t="s">
        <v>98</v>
      </c>
      <c r="C2" s="17" t="s">
        <v>99</v>
      </c>
      <c r="D2" s="17" t="s">
        <v>100</v>
      </c>
      <c r="E2" s="17" t="s">
        <v>101</v>
      </c>
      <c r="F2" s="17" t="s">
        <v>102</v>
      </c>
      <c r="G2" s="17" t="s">
        <v>103</v>
      </c>
      <c r="H2" s="17" t="s">
        <v>104</v>
      </c>
      <c r="I2" s="17" t="s">
        <v>105</v>
      </c>
      <c r="J2" s="17" t="s">
        <v>106</v>
      </c>
      <c r="K2" s="18" t="s">
        <v>107</v>
      </c>
      <c r="L2" s="15" t="s">
        <v>71</v>
      </c>
      <c r="M2" s="17" t="s">
        <v>2171</v>
      </c>
      <c r="N2" s="19" t="s">
        <v>73</v>
      </c>
      <c r="O2" s="19" t="s">
        <v>109</v>
      </c>
      <c r="P2" s="20"/>
    </row>
    <row r="3" customFormat="false" ht="67.5" hidden="false" customHeight="true" outlineLevel="0" collapsed="false">
      <c r="A3" s="15" t="n">
        <v>4</v>
      </c>
      <c r="B3" s="16" t="s">
        <v>200</v>
      </c>
      <c r="C3" s="17" t="s">
        <v>201</v>
      </c>
      <c r="D3" s="17" t="s">
        <v>202</v>
      </c>
      <c r="E3" s="17" t="s">
        <v>203</v>
      </c>
      <c r="F3" s="17" t="s">
        <v>204</v>
      </c>
      <c r="G3" s="17" t="s">
        <v>205</v>
      </c>
      <c r="H3" s="17" t="s">
        <v>206</v>
      </c>
      <c r="I3" s="17" t="s">
        <v>207</v>
      </c>
      <c r="J3" s="17" t="s">
        <v>208</v>
      </c>
      <c r="K3" s="18" t="s">
        <v>209</v>
      </c>
      <c r="L3" s="15" t="s">
        <v>71</v>
      </c>
      <c r="M3" s="17" t="s">
        <v>2172</v>
      </c>
      <c r="N3" s="19" t="s">
        <v>73</v>
      </c>
      <c r="O3" s="19" t="s">
        <v>211</v>
      </c>
      <c r="P3" s="20"/>
    </row>
    <row r="4" customFormat="false" ht="54.75" hidden="false" customHeight="true" outlineLevel="0" collapsed="false">
      <c r="A4" s="15" t="n">
        <v>4</v>
      </c>
      <c r="B4" s="16" t="s">
        <v>264</v>
      </c>
      <c r="C4" s="17" t="s">
        <v>265</v>
      </c>
      <c r="D4" s="17" t="s">
        <v>266</v>
      </c>
      <c r="E4" s="17" t="s">
        <v>267</v>
      </c>
      <c r="F4" s="17" t="s">
        <v>268</v>
      </c>
      <c r="G4" s="17" t="s">
        <v>269</v>
      </c>
      <c r="H4" s="17" t="s">
        <v>270</v>
      </c>
      <c r="I4" s="17" t="s">
        <v>271</v>
      </c>
      <c r="J4" s="17" t="s">
        <v>272</v>
      </c>
      <c r="K4" s="18" t="s">
        <v>273</v>
      </c>
      <c r="L4" s="15" t="s">
        <v>71</v>
      </c>
      <c r="M4" s="17" t="s">
        <v>2173</v>
      </c>
      <c r="N4" s="19" t="s">
        <v>73</v>
      </c>
      <c r="O4" s="19" t="s">
        <v>275</v>
      </c>
      <c r="P4" s="20"/>
    </row>
    <row r="5" customFormat="false" ht="80.25" hidden="false" customHeight="true" outlineLevel="0" collapsed="false">
      <c r="A5" s="15" t="n">
        <v>4</v>
      </c>
      <c r="B5" s="16" t="s">
        <v>288</v>
      </c>
      <c r="C5" s="17" t="s">
        <v>289</v>
      </c>
      <c r="D5" s="17" t="s">
        <v>290</v>
      </c>
      <c r="E5" s="17" t="s">
        <v>291</v>
      </c>
      <c r="F5" s="17" t="s">
        <v>292</v>
      </c>
      <c r="G5" s="17" t="s">
        <v>293</v>
      </c>
      <c r="H5" s="17" t="s">
        <v>294</v>
      </c>
      <c r="I5" s="17" t="s">
        <v>295</v>
      </c>
      <c r="J5" s="17" t="s">
        <v>296</v>
      </c>
      <c r="K5" s="18" t="s">
        <v>297</v>
      </c>
      <c r="L5" s="15" t="s">
        <v>71</v>
      </c>
      <c r="M5" s="17" t="s">
        <v>2174</v>
      </c>
      <c r="N5" s="19" t="s">
        <v>73</v>
      </c>
      <c r="O5" s="19" t="s">
        <v>299</v>
      </c>
      <c r="P5" s="20"/>
    </row>
    <row r="6" customFormat="false" ht="67.5" hidden="false" customHeight="true" outlineLevel="0" collapsed="false">
      <c r="A6" s="15" t="n">
        <v>4</v>
      </c>
      <c r="B6" s="16" t="s">
        <v>367</v>
      </c>
      <c r="C6" s="17" t="s">
        <v>368</v>
      </c>
      <c r="D6" s="17" t="s">
        <v>100</v>
      </c>
      <c r="E6" s="17" t="s">
        <v>369</v>
      </c>
      <c r="F6" s="17" t="s">
        <v>370</v>
      </c>
      <c r="G6" s="17" t="s">
        <v>371</v>
      </c>
      <c r="H6" s="17" t="s">
        <v>372</v>
      </c>
      <c r="I6" s="17" t="s">
        <v>373</v>
      </c>
      <c r="J6" s="17" t="s">
        <v>208</v>
      </c>
      <c r="K6" s="18" t="s">
        <v>374</v>
      </c>
      <c r="L6" s="15" t="s">
        <v>71</v>
      </c>
      <c r="M6" s="17" t="s">
        <v>2175</v>
      </c>
      <c r="N6" s="19" t="s">
        <v>73</v>
      </c>
      <c r="O6" s="19" t="s">
        <v>376</v>
      </c>
      <c r="P6" s="20"/>
    </row>
    <row r="7" customFormat="false" ht="80.25" hidden="false" customHeight="true" outlineLevel="0" collapsed="false">
      <c r="A7" s="15" t="n">
        <v>4</v>
      </c>
      <c r="B7" s="16" t="s">
        <v>387</v>
      </c>
      <c r="C7" s="17" t="s">
        <v>265</v>
      </c>
      <c r="D7" s="17" t="s">
        <v>266</v>
      </c>
      <c r="E7" s="17" t="s">
        <v>388</v>
      </c>
      <c r="F7" s="17" t="s">
        <v>389</v>
      </c>
      <c r="G7" s="17" t="s">
        <v>390</v>
      </c>
      <c r="H7" s="17" t="s">
        <v>391</v>
      </c>
      <c r="I7" s="17" t="s">
        <v>392</v>
      </c>
      <c r="J7" s="17" t="s">
        <v>393</v>
      </c>
      <c r="K7" s="18" t="s">
        <v>394</v>
      </c>
      <c r="L7" s="15" t="s">
        <v>71</v>
      </c>
      <c r="M7" s="17" t="s">
        <v>2176</v>
      </c>
      <c r="N7" s="19" t="s">
        <v>73</v>
      </c>
      <c r="O7" s="19" t="s">
        <v>396</v>
      </c>
      <c r="P7" s="20"/>
    </row>
    <row r="8" customFormat="false" ht="54.75" hidden="false" customHeight="true" outlineLevel="0" collapsed="false">
      <c r="A8" s="15" t="n">
        <v>4</v>
      </c>
      <c r="B8" s="16" t="s">
        <v>407</v>
      </c>
      <c r="C8" s="17" t="s">
        <v>178</v>
      </c>
      <c r="D8" s="17" t="s">
        <v>408</v>
      </c>
      <c r="E8" s="17" t="s">
        <v>409</v>
      </c>
      <c r="F8" s="17" t="s">
        <v>410</v>
      </c>
      <c r="G8" s="17" t="s">
        <v>411</v>
      </c>
      <c r="H8" s="17" t="s">
        <v>412</v>
      </c>
      <c r="I8" s="17" t="s">
        <v>413</v>
      </c>
      <c r="J8" s="17" t="s">
        <v>414</v>
      </c>
      <c r="K8" s="18" t="s">
        <v>415</v>
      </c>
      <c r="L8" s="15" t="s">
        <v>131</v>
      </c>
      <c r="M8" s="17" t="s">
        <v>2177</v>
      </c>
      <c r="N8" s="19" t="s">
        <v>73</v>
      </c>
      <c r="O8" s="19" t="s">
        <v>417</v>
      </c>
      <c r="P8" s="20"/>
    </row>
    <row r="9" customFormat="false" ht="42" hidden="false" customHeight="true" outlineLevel="0" collapsed="false">
      <c r="A9" s="15" t="n">
        <v>4</v>
      </c>
      <c r="B9" s="16" t="s">
        <v>418</v>
      </c>
      <c r="C9" s="17" t="s">
        <v>419</v>
      </c>
      <c r="D9" s="17" t="s">
        <v>179</v>
      </c>
      <c r="E9" s="17" t="s">
        <v>420</v>
      </c>
      <c r="F9" s="17" t="s">
        <v>421</v>
      </c>
      <c r="G9" s="17" t="s">
        <v>422</v>
      </c>
      <c r="H9" s="17" t="s">
        <v>423</v>
      </c>
      <c r="I9" s="17" t="s">
        <v>424</v>
      </c>
      <c r="J9" s="17" t="s">
        <v>208</v>
      </c>
      <c r="K9" s="18" t="s">
        <v>425</v>
      </c>
      <c r="L9" s="15" t="s">
        <v>131</v>
      </c>
      <c r="M9" s="17" t="s">
        <v>2178</v>
      </c>
      <c r="N9" s="19" t="s">
        <v>73</v>
      </c>
      <c r="O9" s="19" t="s">
        <v>417</v>
      </c>
      <c r="P9" s="20"/>
    </row>
    <row r="10" customFormat="false" ht="42" hidden="false" customHeight="true" outlineLevel="0" collapsed="false">
      <c r="A10" s="15" t="n">
        <v>4</v>
      </c>
      <c r="B10" s="16" t="s">
        <v>436</v>
      </c>
      <c r="C10" s="17" t="s">
        <v>437</v>
      </c>
      <c r="D10" s="17" t="s">
        <v>100</v>
      </c>
      <c r="E10" s="17" t="s">
        <v>438</v>
      </c>
      <c r="F10" s="17" t="s">
        <v>439</v>
      </c>
      <c r="G10" s="17" t="s">
        <v>440</v>
      </c>
      <c r="H10" s="17" t="s">
        <v>441</v>
      </c>
      <c r="I10" s="17" t="s">
        <v>442</v>
      </c>
      <c r="J10" s="17" t="s">
        <v>208</v>
      </c>
      <c r="K10" s="18" t="s">
        <v>443</v>
      </c>
      <c r="L10" s="15" t="s">
        <v>131</v>
      </c>
      <c r="M10" s="17" t="s">
        <v>2179</v>
      </c>
      <c r="N10" s="19" t="s">
        <v>73</v>
      </c>
      <c r="O10" s="19" t="s">
        <v>417</v>
      </c>
      <c r="P10" s="20"/>
    </row>
    <row r="11" customFormat="false" ht="80.25" hidden="false" customHeight="true" outlineLevel="0" collapsed="false">
      <c r="A11" s="15" t="n">
        <v>4</v>
      </c>
      <c r="B11" s="16" t="s">
        <v>543</v>
      </c>
      <c r="C11" s="17" t="s">
        <v>76</v>
      </c>
      <c r="D11" s="17" t="s">
        <v>544</v>
      </c>
      <c r="E11" s="17" t="s">
        <v>545</v>
      </c>
      <c r="F11" s="17" t="s">
        <v>546</v>
      </c>
      <c r="G11" s="17" t="s">
        <v>547</v>
      </c>
      <c r="H11" s="17" t="s">
        <v>548</v>
      </c>
      <c r="I11" s="17" t="s">
        <v>549</v>
      </c>
      <c r="J11" s="17" t="s">
        <v>550</v>
      </c>
      <c r="K11" s="18" t="s">
        <v>551</v>
      </c>
      <c r="L11" s="15" t="s">
        <v>71</v>
      </c>
      <c r="M11" s="17" t="s">
        <v>2180</v>
      </c>
      <c r="N11" s="19" t="s">
        <v>73</v>
      </c>
      <c r="O11" s="19" t="s">
        <v>553</v>
      </c>
      <c r="P11" s="20"/>
    </row>
    <row r="12" customFormat="false" ht="54.75" hidden="false" customHeight="true" outlineLevel="0" collapsed="false">
      <c r="A12" s="15" t="n">
        <v>4</v>
      </c>
      <c r="B12" s="16" t="s">
        <v>611</v>
      </c>
      <c r="C12" s="17" t="s">
        <v>76</v>
      </c>
      <c r="D12" s="17" t="s">
        <v>612</v>
      </c>
      <c r="E12" s="17" t="s">
        <v>613</v>
      </c>
      <c r="F12" s="17" t="s">
        <v>614</v>
      </c>
      <c r="G12" s="17" t="s">
        <v>615</v>
      </c>
      <c r="H12" s="17" t="s">
        <v>616</v>
      </c>
      <c r="I12" s="17" t="s">
        <v>617</v>
      </c>
      <c r="J12" s="17" t="s">
        <v>618</v>
      </c>
      <c r="K12" s="18" t="s">
        <v>619</v>
      </c>
      <c r="L12" s="15" t="s">
        <v>131</v>
      </c>
      <c r="M12" s="17" t="s">
        <v>2181</v>
      </c>
      <c r="N12" s="19" t="s">
        <v>73</v>
      </c>
      <c r="O12" s="19" t="s">
        <v>621</v>
      </c>
      <c r="P12" s="20"/>
    </row>
    <row r="13" customFormat="false" ht="93" hidden="false" customHeight="true" outlineLevel="0" collapsed="false">
      <c r="A13" s="15" t="n">
        <v>3</v>
      </c>
      <c r="B13" s="16" t="s">
        <v>785</v>
      </c>
      <c r="C13" s="17" t="s">
        <v>76</v>
      </c>
      <c r="D13" s="17" t="s">
        <v>100</v>
      </c>
      <c r="E13" s="17" t="s">
        <v>786</v>
      </c>
      <c r="F13" s="17" t="s">
        <v>787</v>
      </c>
      <c r="G13" s="17" t="s">
        <v>788</v>
      </c>
      <c r="H13" s="17" t="s">
        <v>789</v>
      </c>
      <c r="I13" s="17" t="s">
        <v>790</v>
      </c>
      <c r="J13" s="17" t="s">
        <v>791</v>
      </c>
      <c r="K13" s="18" t="s">
        <v>792</v>
      </c>
      <c r="L13" s="15" t="s">
        <v>71</v>
      </c>
      <c r="M13" s="17" t="s">
        <v>2182</v>
      </c>
      <c r="N13" s="19" t="s">
        <v>73</v>
      </c>
      <c r="O13" s="19" t="s">
        <v>649</v>
      </c>
      <c r="P13" s="20"/>
    </row>
    <row r="14" customFormat="false" ht="80.25" hidden="false" customHeight="true" outlineLevel="0" collapsed="false">
      <c r="A14" s="15" t="n">
        <v>3</v>
      </c>
      <c r="B14" s="16" t="s">
        <v>831</v>
      </c>
      <c r="C14" s="17" t="s">
        <v>832</v>
      </c>
      <c r="D14" s="17" t="s">
        <v>833</v>
      </c>
      <c r="E14" s="17" t="s">
        <v>834</v>
      </c>
      <c r="F14" s="17" t="s">
        <v>835</v>
      </c>
      <c r="G14" s="17" t="s">
        <v>836</v>
      </c>
      <c r="H14" s="17" t="s">
        <v>837</v>
      </c>
      <c r="I14" s="17" t="s">
        <v>838</v>
      </c>
      <c r="J14" s="17" t="s">
        <v>839</v>
      </c>
      <c r="K14" s="18" t="s">
        <v>840</v>
      </c>
      <c r="L14" s="15" t="s">
        <v>71</v>
      </c>
      <c r="M14" s="17" t="s">
        <v>2183</v>
      </c>
      <c r="N14" s="19" t="s">
        <v>73</v>
      </c>
      <c r="O14" s="19" t="s">
        <v>842</v>
      </c>
      <c r="P14" s="20"/>
    </row>
    <row r="15" customFormat="false" ht="42" hidden="false" customHeight="true" outlineLevel="0" collapsed="false">
      <c r="A15" s="15" t="n">
        <v>3</v>
      </c>
      <c r="B15" s="16" t="s">
        <v>898</v>
      </c>
      <c r="C15" s="17" t="s">
        <v>419</v>
      </c>
      <c r="D15" s="17" t="s">
        <v>100</v>
      </c>
      <c r="E15" s="17" t="s">
        <v>899</v>
      </c>
      <c r="F15" s="17" t="s">
        <v>900</v>
      </c>
      <c r="G15" s="17" t="s">
        <v>901</v>
      </c>
      <c r="H15" s="17" t="s">
        <v>902</v>
      </c>
      <c r="I15" s="17" t="s">
        <v>413</v>
      </c>
      <c r="J15" s="17" t="s">
        <v>208</v>
      </c>
      <c r="K15" s="18" t="s">
        <v>903</v>
      </c>
      <c r="L15" s="15" t="s">
        <v>131</v>
      </c>
      <c r="M15" s="17" t="s">
        <v>2184</v>
      </c>
      <c r="N15" s="19" t="s">
        <v>73</v>
      </c>
      <c r="O15" s="19" t="s">
        <v>905</v>
      </c>
      <c r="P15" s="20"/>
    </row>
    <row r="16" customFormat="false" ht="42" hidden="false" customHeight="true" outlineLevel="0" collapsed="false">
      <c r="A16" s="15" t="n">
        <v>3</v>
      </c>
      <c r="B16" s="16" t="s">
        <v>906</v>
      </c>
      <c r="C16" s="17" t="s">
        <v>201</v>
      </c>
      <c r="D16" s="17" t="s">
        <v>100</v>
      </c>
      <c r="E16" s="17" t="s">
        <v>907</v>
      </c>
      <c r="F16" s="17" t="s">
        <v>908</v>
      </c>
      <c r="G16" s="17" t="s">
        <v>909</v>
      </c>
      <c r="H16" s="17" t="s">
        <v>910</v>
      </c>
      <c r="I16" s="17" t="s">
        <v>911</v>
      </c>
      <c r="J16" s="17" t="s">
        <v>208</v>
      </c>
      <c r="K16" s="18" t="s">
        <v>912</v>
      </c>
      <c r="L16" s="15" t="s">
        <v>131</v>
      </c>
      <c r="M16" s="17" t="s">
        <v>2185</v>
      </c>
      <c r="N16" s="19" t="s">
        <v>73</v>
      </c>
      <c r="O16" s="19" t="s">
        <v>417</v>
      </c>
      <c r="P16" s="20"/>
    </row>
    <row r="17" customFormat="false" ht="80.25" hidden="false" customHeight="true" outlineLevel="0" collapsed="false">
      <c r="A17" s="15" t="n">
        <v>3</v>
      </c>
      <c r="B17" s="16" t="s">
        <v>922</v>
      </c>
      <c r="C17" s="17" t="s">
        <v>62</v>
      </c>
      <c r="D17" s="17" t="s">
        <v>179</v>
      </c>
      <c r="E17" s="17" t="s">
        <v>923</v>
      </c>
      <c r="F17" s="17" t="s">
        <v>924</v>
      </c>
      <c r="G17" s="17" t="s">
        <v>925</v>
      </c>
      <c r="H17" s="17" t="s">
        <v>926</v>
      </c>
      <c r="I17" s="17" t="s">
        <v>413</v>
      </c>
      <c r="J17" s="17" t="s">
        <v>208</v>
      </c>
      <c r="K17" s="18" t="s">
        <v>927</v>
      </c>
      <c r="L17" s="15" t="s">
        <v>131</v>
      </c>
      <c r="M17" s="17" t="s">
        <v>2186</v>
      </c>
      <c r="N17" s="19" t="s">
        <v>73</v>
      </c>
      <c r="O17" s="19" t="s">
        <v>417</v>
      </c>
      <c r="P17" s="20"/>
    </row>
    <row r="18" customFormat="false" ht="54.75" hidden="false" customHeight="true" outlineLevel="0" collapsed="false">
      <c r="A18" s="15" t="n">
        <v>3</v>
      </c>
      <c r="B18" s="16" t="s">
        <v>929</v>
      </c>
      <c r="C18" s="17" t="s">
        <v>76</v>
      </c>
      <c r="D18" s="17" t="s">
        <v>930</v>
      </c>
      <c r="E18" s="17" t="s">
        <v>931</v>
      </c>
      <c r="F18" s="17" t="s">
        <v>932</v>
      </c>
      <c r="G18" s="17" t="s">
        <v>933</v>
      </c>
      <c r="H18" s="17" t="s">
        <v>934</v>
      </c>
      <c r="I18" s="17" t="s">
        <v>413</v>
      </c>
      <c r="J18" s="17" t="s">
        <v>935</v>
      </c>
      <c r="K18" s="18" t="s">
        <v>936</v>
      </c>
      <c r="L18" s="15" t="s">
        <v>131</v>
      </c>
      <c r="M18" s="17" t="s">
        <v>2187</v>
      </c>
      <c r="N18" s="19" t="s">
        <v>73</v>
      </c>
      <c r="O18" s="19" t="s">
        <v>938</v>
      </c>
      <c r="P18" s="20"/>
    </row>
    <row r="19" customFormat="false" ht="54.75" hidden="false" customHeight="true" outlineLevel="0" collapsed="false">
      <c r="A19" s="15" t="n">
        <v>3</v>
      </c>
      <c r="B19" s="16" t="s">
        <v>949</v>
      </c>
      <c r="C19" s="17" t="s">
        <v>62</v>
      </c>
      <c r="D19" s="17" t="s">
        <v>100</v>
      </c>
      <c r="E19" s="17" t="s">
        <v>950</v>
      </c>
      <c r="F19" s="17" t="s">
        <v>951</v>
      </c>
      <c r="G19" s="17" t="s">
        <v>952</v>
      </c>
      <c r="H19" s="17" t="s">
        <v>953</v>
      </c>
      <c r="I19" s="17" t="s">
        <v>954</v>
      </c>
      <c r="J19" s="17" t="s">
        <v>208</v>
      </c>
      <c r="K19" s="18" t="s">
        <v>955</v>
      </c>
      <c r="L19" s="15" t="s">
        <v>131</v>
      </c>
      <c r="M19" s="17" t="s">
        <v>2188</v>
      </c>
      <c r="N19" s="19" t="s">
        <v>73</v>
      </c>
      <c r="O19" s="19" t="s">
        <v>417</v>
      </c>
      <c r="P19" s="20"/>
    </row>
    <row r="20" customFormat="false" ht="42" hidden="false" customHeight="true" outlineLevel="0" collapsed="false">
      <c r="A20" s="15" t="n">
        <v>3</v>
      </c>
      <c r="B20" s="16" t="s">
        <v>957</v>
      </c>
      <c r="C20" s="17" t="s">
        <v>62</v>
      </c>
      <c r="D20" s="17" t="s">
        <v>100</v>
      </c>
      <c r="E20" s="17" t="s">
        <v>958</v>
      </c>
      <c r="F20" s="17" t="s">
        <v>959</v>
      </c>
      <c r="G20" s="17" t="s">
        <v>960</v>
      </c>
      <c r="H20" s="17" t="s">
        <v>961</v>
      </c>
      <c r="I20" s="17" t="s">
        <v>962</v>
      </c>
      <c r="J20" s="17" t="s">
        <v>208</v>
      </c>
      <c r="K20" s="18" t="s">
        <v>963</v>
      </c>
      <c r="L20" s="15" t="s">
        <v>131</v>
      </c>
      <c r="M20" s="17" t="s">
        <v>2189</v>
      </c>
      <c r="N20" s="19" t="s">
        <v>73</v>
      </c>
      <c r="O20" s="19" t="s">
        <v>965</v>
      </c>
      <c r="P20" s="20"/>
    </row>
    <row r="21" customFormat="false" ht="29.25" hidden="false" customHeight="true" outlineLevel="0" collapsed="false">
      <c r="A21" s="15" t="n">
        <v>3</v>
      </c>
      <c r="B21" s="16" t="s">
        <v>1001</v>
      </c>
      <c r="C21" s="17" t="s">
        <v>1002</v>
      </c>
      <c r="D21" s="17" t="s">
        <v>100</v>
      </c>
      <c r="E21" s="17" t="s">
        <v>1003</v>
      </c>
      <c r="F21" s="17" t="s">
        <v>1004</v>
      </c>
      <c r="G21" s="17" t="s">
        <v>1005</v>
      </c>
      <c r="H21" s="17" t="s">
        <v>1006</v>
      </c>
      <c r="I21" s="17" t="s">
        <v>1007</v>
      </c>
      <c r="J21" s="17" t="s">
        <v>208</v>
      </c>
      <c r="K21" s="18" t="s">
        <v>1008</v>
      </c>
      <c r="L21" s="15" t="s">
        <v>131</v>
      </c>
      <c r="M21" s="17" t="s">
        <v>2190</v>
      </c>
      <c r="N21" s="19" t="s">
        <v>73</v>
      </c>
      <c r="O21" s="19" t="s">
        <v>435</v>
      </c>
      <c r="P21" s="20"/>
    </row>
    <row r="22" customFormat="false" ht="42" hidden="false" customHeight="true" outlineLevel="0" collapsed="false">
      <c r="A22" s="15" t="n">
        <v>3</v>
      </c>
      <c r="B22" s="16" t="s">
        <v>1010</v>
      </c>
      <c r="C22" s="17" t="s">
        <v>111</v>
      </c>
      <c r="D22" s="17" t="s">
        <v>100</v>
      </c>
      <c r="E22" s="17" t="s">
        <v>1011</v>
      </c>
      <c r="F22" s="17" t="s">
        <v>1012</v>
      </c>
      <c r="G22" s="17" t="s">
        <v>1013</v>
      </c>
      <c r="H22" s="17" t="s">
        <v>1014</v>
      </c>
      <c r="I22" s="17" t="s">
        <v>1015</v>
      </c>
      <c r="J22" s="17" t="s">
        <v>208</v>
      </c>
      <c r="K22" s="18" t="s">
        <v>1016</v>
      </c>
      <c r="L22" s="15" t="s">
        <v>131</v>
      </c>
      <c r="M22" s="17" t="s">
        <v>2191</v>
      </c>
      <c r="N22" s="19" t="s">
        <v>73</v>
      </c>
      <c r="O22" s="19" t="s">
        <v>938</v>
      </c>
      <c r="P22" s="20"/>
    </row>
    <row r="23" customFormat="false" ht="54.75" hidden="false" customHeight="true" outlineLevel="0" collapsed="false">
      <c r="A23" s="15" t="n">
        <v>3</v>
      </c>
      <c r="B23" s="16" t="s">
        <v>1018</v>
      </c>
      <c r="C23" s="17" t="s">
        <v>76</v>
      </c>
      <c r="D23" s="17" t="s">
        <v>100</v>
      </c>
      <c r="E23" s="17" t="s">
        <v>1019</v>
      </c>
      <c r="F23" s="17" t="s">
        <v>1020</v>
      </c>
      <c r="G23" s="17" t="s">
        <v>1021</v>
      </c>
      <c r="H23" s="17" t="s">
        <v>1022</v>
      </c>
      <c r="I23" s="17" t="s">
        <v>413</v>
      </c>
      <c r="J23" s="17" t="s">
        <v>1023</v>
      </c>
      <c r="K23" s="18" t="s">
        <v>1024</v>
      </c>
      <c r="L23" s="15" t="s">
        <v>131</v>
      </c>
      <c r="M23" s="17" t="s">
        <v>2192</v>
      </c>
      <c r="N23" s="19" t="s">
        <v>73</v>
      </c>
      <c r="O23" s="19" t="s">
        <v>621</v>
      </c>
      <c r="P23" s="20"/>
    </row>
    <row r="24" customFormat="false" ht="42" hidden="false" customHeight="true" outlineLevel="0" collapsed="false">
      <c r="A24" s="15" t="n">
        <v>3</v>
      </c>
      <c r="B24" s="16" t="s">
        <v>1026</v>
      </c>
      <c r="C24" s="17" t="s">
        <v>76</v>
      </c>
      <c r="D24" s="17" t="s">
        <v>100</v>
      </c>
      <c r="E24" s="17" t="s">
        <v>1027</v>
      </c>
      <c r="F24" s="17" t="s">
        <v>1028</v>
      </c>
      <c r="G24" s="17" t="s">
        <v>1029</v>
      </c>
      <c r="H24" s="17" t="s">
        <v>1030</v>
      </c>
      <c r="I24" s="17" t="s">
        <v>413</v>
      </c>
      <c r="J24" s="17" t="s">
        <v>1031</v>
      </c>
      <c r="K24" s="18" t="s">
        <v>1032</v>
      </c>
      <c r="L24" s="15" t="s">
        <v>131</v>
      </c>
      <c r="M24" s="17" t="s">
        <v>2193</v>
      </c>
      <c r="N24" s="19" t="s">
        <v>73</v>
      </c>
      <c r="O24" s="19" t="s">
        <v>905</v>
      </c>
      <c r="P24" s="20"/>
    </row>
    <row r="25" customFormat="false" ht="42" hidden="false" customHeight="true" outlineLevel="0" collapsed="false">
      <c r="A25" s="15" t="n">
        <v>3</v>
      </c>
      <c r="B25" s="16" t="s">
        <v>1034</v>
      </c>
      <c r="C25" s="17" t="s">
        <v>832</v>
      </c>
      <c r="D25" s="17" t="s">
        <v>1035</v>
      </c>
      <c r="E25" s="17" t="s">
        <v>1036</v>
      </c>
      <c r="F25" s="17" t="s">
        <v>1037</v>
      </c>
      <c r="G25" s="17" t="s">
        <v>1038</v>
      </c>
      <c r="H25" s="17" t="s">
        <v>1039</v>
      </c>
      <c r="I25" s="17" t="s">
        <v>413</v>
      </c>
      <c r="J25" s="17" t="s">
        <v>1040</v>
      </c>
      <c r="K25" s="18" t="s">
        <v>1041</v>
      </c>
      <c r="L25" s="15" t="s">
        <v>131</v>
      </c>
      <c r="M25" s="17" t="s">
        <v>2194</v>
      </c>
      <c r="N25" s="19" t="s">
        <v>73</v>
      </c>
      <c r="O25" s="19" t="s">
        <v>1043</v>
      </c>
      <c r="P25" s="20"/>
    </row>
    <row r="26" customFormat="false" ht="54.75" hidden="false" customHeight="true" outlineLevel="0" collapsed="false">
      <c r="A26" s="15" t="n">
        <v>3</v>
      </c>
      <c r="B26" s="16" t="s">
        <v>1058</v>
      </c>
      <c r="C26" s="17" t="s">
        <v>62</v>
      </c>
      <c r="D26" s="17" t="s">
        <v>100</v>
      </c>
      <c r="E26" s="17" t="s">
        <v>1059</v>
      </c>
      <c r="F26" s="17" t="s">
        <v>1060</v>
      </c>
      <c r="G26" s="17" t="s">
        <v>1061</v>
      </c>
      <c r="H26" s="17" t="s">
        <v>1062</v>
      </c>
      <c r="I26" s="17" t="s">
        <v>962</v>
      </c>
      <c r="J26" s="17" t="s">
        <v>208</v>
      </c>
      <c r="K26" s="18" t="s">
        <v>1063</v>
      </c>
      <c r="L26" s="15" t="s">
        <v>131</v>
      </c>
      <c r="M26" s="17" t="s">
        <v>2195</v>
      </c>
      <c r="N26" s="19" t="s">
        <v>73</v>
      </c>
      <c r="O26" s="19" t="s">
        <v>417</v>
      </c>
      <c r="P26" s="20"/>
    </row>
    <row r="27" customFormat="false" ht="29.25" hidden="false" customHeight="true" outlineLevel="0" collapsed="false">
      <c r="A27" s="15" t="n">
        <v>3</v>
      </c>
      <c r="B27" s="16" t="s">
        <v>1065</v>
      </c>
      <c r="C27" s="17" t="s">
        <v>368</v>
      </c>
      <c r="D27" s="17" t="s">
        <v>1066</v>
      </c>
      <c r="E27" s="17" t="s">
        <v>1067</v>
      </c>
      <c r="F27" s="17" t="s">
        <v>1068</v>
      </c>
      <c r="G27" s="17" t="s">
        <v>1069</v>
      </c>
      <c r="H27" s="17" t="s">
        <v>1070</v>
      </c>
      <c r="I27" s="17" t="s">
        <v>413</v>
      </c>
      <c r="J27" s="17" t="s">
        <v>208</v>
      </c>
      <c r="K27" s="18" t="s">
        <v>1071</v>
      </c>
      <c r="L27" s="15" t="s">
        <v>131</v>
      </c>
      <c r="M27" s="17" t="s">
        <v>2196</v>
      </c>
      <c r="N27" s="19" t="s">
        <v>73</v>
      </c>
      <c r="O27" s="19" t="s">
        <v>938</v>
      </c>
      <c r="P27" s="20"/>
    </row>
    <row r="28" customFormat="false" ht="42" hidden="false" customHeight="true" outlineLevel="0" collapsed="false">
      <c r="A28" s="15" t="n">
        <v>3</v>
      </c>
      <c r="B28" s="16" t="s">
        <v>1073</v>
      </c>
      <c r="C28" s="17" t="s">
        <v>289</v>
      </c>
      <c r="D28" s="17" t="s">
        <v>1074</v>
      </c>
      <c r="E28" s="17" t="s">
        <v>1075</v>
      </c>
      <c r="F28" s="17" t="s">
        <v>1076</v>
      </c>
      <c r="G28" s="17" t="s">
        <v>1077</v>
      </c>
      <c r="H28" s="17" t="s">
        <v>616</v>
      </c>
      <c r="I28" s="17" t="s">
        <v>1078</v>
      </c>
      <c r="J28" s="17" t="s">
        <v>1079</v>
      </c>
      <c r="K28" s="18" t="s">
        <v>1080</v>
      </c>
      <c r="L28" s="15" t="s">
        <v>131</v>
      </c>
      <c r="M28" s="17" t="s">
        <v>2197</v>
      </c>
      <c r="N28" s="19" t="s">
        <v>73</v>
      </c>
      <c r="O28" s="19" t="s">
        <v>621</v>
      </c>
      <c r="P28" s="20"/>
    </row>
    <row r="29" customFormat="false" ht="42" hidden="false" customHeight="true" outlineLevel="0" collapsed="false">
      <c r="A29" s="15" t="n">
        <v>3</v>
      </c>
      <c r="B29" s="16" t="s">
        <v>1082</v>
      </c>
      <c r="C29" s="17" t="s">
        <v>277</v>
      </c>
      <c r="D29" s="17" t="s">
        <v>100</v>
      </c>
      <c r="E29" s="17" t="s">
        <v>1083</v>
      </c>
      <c r="F29" s="17" t="s">
        <v>1084</v>
      </c>
      <c r="G29" s="17" t="s">
        <v>1085</v>
      </c>
      <c r="H29" s="17" t="s">
        <v>1086</v>
      </c>
      <c r="I29" s="17" t="s">
        <v>1007</v>
      </c>
      <c r="J29" s="17" t="s">
        <v>208</v>
      </c>
      <c r="K29" s="18" t="s">
        <v>1087</v>
      </c>
      <c r="L29" s="15" t="s">
        <v>131</v>
      </c>
      <c r="M29" s="17" t="s">
        <v>2198</v>
      </c>
      <c r="N29" s="19" t="s">
        <v>73</v>
      </c>
      <c r="O29" s="19" t="s">
        <v>938</v>
      </c>
      <c r="P29" s="20"/>
    </row>
    <row r="30" customFormat="false" ht="54.75" hidden="false" customHeight="true" outlineLevel="0" collapsed="false">
      <c r="A30" s="15" t="n">
        <v>3</v>
      </c>
      <c r="B30" s="16" t="s">
        <v>1287</v>
      </c>
      <c r="C30" s="17" t="s">
        <v>76</v>
      </c>
      <c r="D30" s="17" t="s">
        <v>1288</v>
      </c>
      <c r="E30" s="17" t="s">
        <v>1289</v>
      </c>
      <c r="F30" s="17" t="s">
        <v>1290</v>
      </c>
      <c r="G30" s="17" t="s">
        <v>1291</v>
      </c>
      <c r="H30" s="17" t="s">
        <v>875</v>
      </c>
      <c r="I30" s="17" t="s">
        <v>1292</v>
      </c>
      <c r="J30" s="17" t="s">
        <v>1293</v>
      </c>
      <c r="K30" s="18" t="s">
        <v>1294</v>
      </c>
      <c r="L30" s="15" t="s">
        <v>71</v>
      </c>
      <c r="M30" s="17" t="s">
        <v>2199</v>
      </c>
      <c r="N30" s="19" t="s">
        <v>73</v>
      </c>
      <c r="O30" s="19" t="s">
        <v>879</v>
      </c>
      <c r="P30" s="20"/>
    </row>
    <row r="31" customFormat="false" ht="42" hidden="false" customHeight="true" outlineLevel="0" collapsed="false">
      <c r="A31" s="15" t="n">
        <v>3</v>
      </c>
      <c r="B31" s="16" t="s">
        <v>1296</v>
      </c>
      <c r="C31" s="17" t="s">
        <v>76</v>
      </c>
      <c r="D31" s="17" t="s">
        <v>1297</v>
      </c>
      <c r="E31" s="17" t="s">
        <v>1298</v>
      </c>
      <c r="F31" s="17" t="s">
        <v>1299</v>
      </c>
      <c r="G31" s="17" t="s">
        <v>1300</v>
      </c>
      <c r="H31" s="17" t="s">
        <v>616</v>
      </c>
      <c r="I31" s="17" t="s">
        <v>413</v>
      </c>
      <c r="J31" s="17" t="s">
        <v>1301</v>
      </c>
      <c r="K31" s="18" t="s">
        <v>1302</v>
      </c>
      <c r="L31" s="15" t="s">
        <v>131</v>
      </c>
      <c r="M31" s="17" t="s">
        <v>2200</v>
      </c>
      <c r="N31" s="19" t="s">
        <v>73</v>
      </c>
      <c r="O31" s="19" t="s">
        <v>621</v>
      </c>
      <c r="P31" s="20"/>
    </row>
    <row r="32" customFormat="false" ht="67.5" hidden="false" customHeight="true" outlineLevel="0" collapsed="false">
      <c r="A32" s="15" t="n">
        <v>3</v>
      </c>
      <c r="B32" s="16" t="s">
        <v>1304</v>
      </c>
      <c r="C32" s="17" t="s">
        <v>76</v>
      </c>
      <c r="D32" s="17" t="s">
        <v>1269</v>
      </c>
      <c r="E32" s="17" t="s">
        <v>1305</v>
      </c>
      <c r="F32" s="17" t="s">
        <v>1306</v>
      </c>
      <c r="G32" s="17" t="s">
        <v>1307</v>
      </c>
      <c r="H32" s="17" t="s">
        <v>1308</v>
      </c>
      <c r="I32" s="17" t="s">
        <v>1309</v>
      </c>
      <c r="J32" s="17" t="s">
        <v>1310</v>
      </c>
      <c r="K32" s="18" t="s">
        <v>1311</v>
      </c>
      <c r="L32" s="15" t="s">
        <v>131</v>
      </c>
      <c r="M32" s="17" t="s">
        <v>2201</v>
      </c>
      <c r="N32" s="19" t="s">
        <v>73</v>
      </c>
      <c r="O32" s="19" t="s">
        <v>621</v>
      </c>
      <c r="P32" s="20"/>
    </row>
    <row r="33" customFormat="false" ht="29.25" hidden="false" customHeight="true" outlineLevel="0" collapsed="false">
      <c r="A33" s="15" t="n">
        <v>3</v>
      </c>
      <c r="B33" s="16" t="s">
        <v>1313</v>
      </c>
      <c r="C33" s="17" t="s">
        <v>76</v>
      </c>
      <c r="D33" s="17" t="s">
        <v>1269</v>
      </c>
      <c r="E33" s="17" t="s">
        <v>1314</v>
      </c>
      <c r="F33" s="17" t="s">
        <v>1315</v>
      </c>
      <c r="G33" s="17" t="s">
        <v>1085</v>
      </c>
      <c r="H33" s="17" t="s">
        <v>616</v>
      </c>
      <c r="I33" s="17" t="s">
        <v>413</v>
      </c>
      <c r="J33" s="17" t="s">
        <v>1316</v>
      </c>
      <c r="K33" s="18" t="s">
        <v>1317</v>
      </c>
      <c r="L33" s="15" t="s">
        <v>131</v>
      </c>
      <c r="M33" s="17" t="s">
        <v>2202</v>
      </c>
      <c r="N33" s="19" t="s">
        <v>73</v>
      </c>
      <c r="O33" s="19" t="s">
        <v>621</v>
      </c>
      <c r="P33" s="20"/>
    </row>
    <row r="34" customFormat="false" ht="29.25" hidden="false" customHeight="true" outlineLevel="0" collapsed="false">
      <c r="A34" s="15" t="n">
        <v>3</v>
      </c>
      <c r="B34" s="16" t="s">
        <v>1328</v>
      </c>
      <c r="C34" s="17" t="s">
        <v>76</v>
      </c>
      <c r="D34" s="17" t="s">
        <v>612</v>
      </c>
      <c r="E34" s="17" t="s">
        <v>1329</v>
      </c>
      <c r="F34" s="17" t="s">
        <v>1330</v>
      </c>
      <c r="G34" s="17" t="s">
        <v>1331</v>
      </c>
      <c r="H34" s="17" t="s">
        <v>616</v>
      </c>
      <c r="I34" s="17" t="s">
        <v>1332</v>
      </c>
      <c r="J34" s="17" t="s">
        <v>1333</v>
      </c>
      <c r="K34" s="18" t="s">
        <v>1334</v>
      </c>
      <c r="L34" s="15" t="s">
        <v>131</v>
      </c>
      <c r="M34" s="17" t="s">
        <v>2203</v>
      </c>
      <c r="N34" s="19" t="s">
        <v>73</v>
      </c>
      <c r="O34" s="19" t="s">
        <v>621</v>
      </c>
      <c r="P34" s="20"/>
    </row>
    <row r="35" customFormat="false" ht="42" hidden="false" customHeight="true" outlineLevel="0" collapsed="false">
      <c r="A35" s="15" t="n">
        <v>3</v>
      </c>
      <c r="B35" s="16" t="s">
        <v>1336</v>
      </c>
      <c r="C35" s="17" t="s">
        <v>76</v>
      </c>
      <c r="D35" s="17" t="s">
        <v>1269</v>
      </c>
      <c r="E35" s="17" t="s">
        <v>1337</v>
      </c>
      <c r="F35" s="17" t="s">
        <v>1338</v>
      </c>
      <c r="G35" s="17" t="s">
        <v>1339</v>
      </c>
      <c r="H35" s="17" t="s">
        <v>1340</v>
      </c>
      <c r="I35" s="17" t="s">
        <v>413</v>
      </c>
      <c r="J35" s="17" t="s">
        <v>1341</v>
      </c>
      <c r="K35" s="18" t="s">
        <v>1342</v>
      </c>
      <c r="L35" s="15" t="s">
        <v>131</v>
      </c>
      <c r="M35" s="17" t="s">
        <v>2204</v>
      </c>
      <c r="N35" s="19" t="s">
        <v>73</v>
      </c>
      <c r="O35" s="19" t="s">
        <v>938</v>
      </c>
      <c r="P35" s="20"/>
    </row>
    <row r="36" customFormat="false" ht="29.25" hidden="false" customHeight="true" outlineLevel="0" collapsed="false">
      <c r="A36" s="15" t="n">
        <v>3</v>
      </c>
      <c r="B36" s="16" t="s">
        <v>1344</v>
      </c>
      <c r="C36" s="17" t="s">
        <v>76</v>
      </c>
      <c r="D36" s="17" t="s">
        <v>146</v>
      </c>
      <c r="E36" s="17" t="s">
        <v>1345</v>
      </c>
      <c r="F36" s="17" t="s">
        <v>1346</v>
      </c>
      <c r="G36" s="17" t="s">
        <v>1085</v>
      </c>
      <c r="H36" s="17" t="s">
        <v>1347</v>
      </c>
      <c r="I36" s="17" t="s">
        <v>413</v>
      </c>
      <c r="J36" s="17" t="s">
        <v>1348</v>
      </c>
      <c r="K36" s="18" t="s">
        <v>1349</v>
      </c>
      <c r="L36" s="15" t="s">
        <v>131</v>
      </c>
      <c r="M36" s="17" t="s">
        <v>2205</v>
      </c>
      <c r="N36" s="19" t="s">
        <v>73</v>
      </c>
      <c r="O36" s="19" t="s">
        <v>938</v>
      </c>
      <c r="P36" s="20"/>
    </row>
    <row r="37" customFormat="false" ht="29.25" hidden="false" customHeight="true" outlineLevel="0" collapsed="false">
      <c r="A37" s="15" t="n">
        <v>3</v>
      </c>
      <c r="B37" s="16" t="s">
        <v>1361</v>
      </c>
      <c r="C37" s="17" t="s">
        <v>76</v>
      </c>
      <c r="D37" s="17" t="s">
        <v>1362</v>
      </c>
      <c r="E37" s="17" t="s">
        <v>1329</v>
      </c>
      <c r="F37" s="17" t="s">
        <v>1363</v>
      </c>
      <c r="G37" s="17" t="s">
        <v>1364</v>
      </c>
      <c r="H37" s="17" t="s">
        <v>1365</v>
      </c>
      <c r="I37" s="17" t="s">
        <v>1366</v>
      </c>
      <c r="J37" s="17" t="s">
        <v>1367</v>
      </c>
      <c r="K37" s="18" t="s">
        <v>1368</v>
      </c>
      <c r="L37" s="15" t="s">
        <v>131</v>
      </c>
      <c r="M37" s="17" t="s">
        <v>2206</v>
      </c>
      <c r="N37" s="19" t="s">
        <v>73</v>
      </c>
      <c r="O37" s="19" t="s">
        <v>938</v>
      </c>
      <c r="P37" s="20"/>
    </row>
    <row r="38" customFormat="false" ht="42" hidden="false" customHeight="true" outlineLevel="0" collapsed="false">
      <c r="A38" s="15" t="n">
        <v>3</v>
      </c>
      <c r="B38" s="16" t="s">
        <v>1370</v>
      </c>
      <c r="C38" s="17" t="s">
        <v>76</v>
      </c>
      <c r="D38" s="17" t="s">
        <v>1371</v>
      </c>
      <c r="E38" s="17" t="s">
        <v>1372</v>
      </c>
      <c r="F38" s="17" t="s">
        <v>1373</v>
      </c>
      <c r="G38" s="17" t="s">
        <v>1300</v>
      </c>
      <c r="H38" s="17" t="s">
        <v>616</v>
      </c>
      <c r="I38" s="17" t="s">
        <v>413</v>
      </c>
      <c r="J38" s="17" t="s">
        <v>1374</v>
      </c>
      <c r="K38" s="18" t="s">
        <v>1375</v>
      </c>
      <c r="L38" s="15" t="s">
        <v>131</v>
      </c>
      <c r="M38" s="17" t="s">
        <v>2207</v>
      </c>
      <c r="N38" s="19" t="s">
        <v>73</v>
      </c>
      <c r="O38" s="19" t="s">
        <v>621</v>
      </c>
      <c r="P38" s="20"/>
    </row>
    <row r="39" customFormat="false" ht="42" hidden="false" customHeight="true" outlineLevel="0" collapsed="false">
      <c r="A39" s="15" t="n">
        <v>3</v>
      </c>
      <c r="B39" s="16" t="s">
        <v>1377</v>
      </c>
      <c r="C39" s="17" t="s">
        <v>76</v>
      </c>
      <c r="D39" s="17" t="s">
        <v>1371</v>
      </c>
      <c r="E39" s="17" t="s">
        <v>1329</v>
      </c>
      <c r="F39" s="17" t="s">
        <v>1378</v>
      </c>
      <c r="G39" s="17" t="s">
        <v>1379</v>
      </c>
      <c r="H39" s="17" t="s">
        <v>616</v>
      </c>
      <c r="I39" s="17" t="s">
        <v>1380</v>
      </c>
      <c r="J39" s="17" t="s">
        <v>1381</v>
      </c>
      <c r="K39" s="18" t="s">
        <v>1382</v>
      </c>
      <c r="L39" s="15" t="s">
        <v>131</v>
      </c>
      <c r="M39" s="17" t="s">
        <v>2208</v>
      </c>
      <c r="N39" s="19" t="s">
        <v>73</v>
      </c>
      <c r="O39" s="19" t="s">
        <v>621</v>
      </c>
      <c r="P39" s="20"/>
    </row>
    <row r="40" customFormat="false" ht="29.25" hidden="false" customHeight="true" outlineLevel="0" collapsed="false">
      <c r="A40" s="15" t="n">
        <v>3</v>
      </c>
      <c r="B40" s="16" t="s">
        <v>1384</v>
      </c>
      <c r="C40" s="17" t="s">
        <v>76</v>
      </c>
      <c r="D40" s="17" t="s">
        <v>544</v>
      </c>
      <c r="E40" s="17" t="s">
        <v>1385</v>
      </c>
      <c r="F40" s="17" t="s">
        <v>1386</v>
      </c>
      <c r="G40" s="17" t="s">
        <v>1387</v>
      </c>
      <c r="H40" s="17" t="s">
        <v>616</v>
      </c>
      <c r="I40" s="17" t="s">
        <v>1388</v>
      </c>
      <c r="J40" s="17" t="s">
        <v>1389</v>
      </c>
      <c r="K40" s="18" t="s">
        <v>1390</v>
      </c>
      <c r="L40" s="15" t="s">
        <v>131</v>
      </c>
      <c r="M40" s="17" t="s">
        <v>2209</v>
      </c>
      <c r="N40" s="19" t="s">
        <v>73</v>
      </c>
      <c r="O40" s="19" t="s">
        <v>621</v>
      </c>
      <c r="P40" s="20"/>
    </row>
    <row r="41" customFormat="false" ht="42" hidden="false" customHeight="true" outlineLevel="0" collapsed="false">
      <c r="A41" s="15" t="n">
        <v>3</v>
      </c>
      <c r="B41" s="16" t="s">
        <v>1392</v>
      </c>
      <c r="C41" s="17" t="s">
        <v>76</v>
      </c>
      <c r="D41" s="17" t="s">
        <v>1251</v>
      </c>
      <c r="E41" s="17" t="s">
        <v>1393</v>
      </c>
      <c r="F41" s="17" t="s">
        <v>1394</v>
      </c>
      <c r="G41" s="17" t="s">
        <v>1085</v>
      </c>
      <c r="H41" s="17" t="s">
        <v>1395</v>
      </c>
      <c r="I41" s="17" t="s">
        <v>413</v>
      </c>
      <c r="J41" s="17" t="s">
        <v>1396</v>
      </c>
      <c r="K41" s="18" t="s">
        <v>1397</v>
      </c>
      <c r="L41" s="15" t="s">
        <v>131</v>
      </c>
      <c r="M41" s="17" t="s">
        <v>2210</v>
      </c>
      <c r="N41" s="19" t="s">
        <v>73</v>
      </c>
      <c r="O41" s="19" t="s">
        <v>1399</v>
      </c>
      <c r="P41" s="20"/>
    </row>
    <row r="42" customFormat="false" ht="42" hidden="false" customHeight="true" outlineLevel="0" collapsed="false">
      <c r="A42" s="15" t="n">
        <v>3</v>
      </c>
      <c r="B42" s="16" t="s">
        <v>1400</v>
      </c>
      <c r="C42" s="17" t="s">
        <v>76</v>
      </c>
      <c r="D42" s="17" t="s">
        <v>1401</v>
      </c>
      <c r="E42" s="17" t="s">
        <v>1402</v>
      </c>
      <c r="F42" s="17" t="s">
        <v>1403</v>
      </c>
      <c r="G42" s="17" t="s">
        <v>1085</v>
      </c>
      <c r="H42" s="17" t="s">
        <v>1395</v>
      </c>
      <c r="I42" s="17" t="s">
        <v>413</v>
      </c>
      <c r="J42" s="17" t="s">
        <v>1404</v>
      </c>
      <c r="K42" s="18" t="s">
        <v>1405</v>
      </c>
      <c r="L42" s="15" t="s">
        <v>131</v>
      </c>
      <c r="M42" s="17" t="s">
        <v>2211</v>
      </c>
      <c r="N42" s="19" t="s">
        <v>73</v>
      </c>
      <c r="O42" s="19" t="s">
        <v>1399</v>
      </c>
      <c r="P42" s="20"/>
    </row>
    <row r="43" customFormat="false" ht="42" hidden="false" customHeight="true" outlineLevel="0" collapsed="false">
      <c r="A43" s="15" t="n">
        <v>3</v>
      </c>
      <c r="B43" s="16" t="s">
        <v>1407</v>
      </c>
      <c r="C43" s="17" t="s">
        <v>76</v>
      </c>
      <c r="D43" s="17" t="s">
        <v>1408</v>
      </c>
      <c r="E43" s="17" t="s">
        <v>1409</v>
      </c>
      <c r="F43" s="17" t="s">
        <v>1410</v>
      </c>
      <c r="G43" s="17" t="s">
        <v>1085</v>
      </c>
      <c r="H43" s="17" t="s">
        <v>1395</v>
      </c>
      <c r="I43" s="17" t="s">
        <v>413</v>
      </c>
      <c r="J43" s="17" t="s">
        <v>1411</v>
      </c>
      <c r="K43" s="18" t="s">
        <v>1412</v>
      </c>
      <c r="L43" s="15" t="s">
        <v>131</v>
      </c>
      <c r="M43" s="17" t="s">
        <v>2212</v>
      </c>
      <c r="N43" s="19" t="s">
        <v>73</v>
      </c>
      <c r="O43" s="19" t="s">
        <v>1399</v>
      </c>
      <c r="P43" s="20"/>
    </row>
    <row r="44" customFormat="false" ht="42" hidden="false" customHeight="true" outlineLevel="0" collapsed="false">
      <c r="A44" s="15" t="n">
        <v>2</v>
      </c>
      <c r="B44" s="16" t="s">
        <v>1533</v>
      </c>
      <c r="C44" s="17" t="s">
        <v>201</v>
      </c>
      <c r="D44" s="17" t="s">
        <v>1534</v>
      </c>
      <c r="E44" s="17" t="s">
        <v>1535</v>
      </c>
      <c r="F44" s="17" t="s">
        <v>1536</v>
      </c>
      <c r="G44" s="17" t="s">
        <v>1537</v>
      </c>
      <c r="H44" s="17" t="s">
        <v>1538</v>
      </c>
      <c r="I44" s="17" t="s">
        <v>413</v>
      </c>
      <c r="J44" s="17" t="s">
        <v>208</v>
      </c>
      <c r="K44" s="18" t="s">
        <v>1539</v>
      </c>
      <c r="L44" s="15" t="s">
        <v>131</v>
      </c>
      <c r="M44" s="17" t="s">
        <v>2213</v>
      </c>
      <c r="N44" s="19" t="s">
        <v>73</v>
      </c>
      <c r="O44" s="19" t="s">
        <v>417</v>
      </c>
      <c r="P44" s="20"/>
    </row>
    <row r="45" customFormat="false" ht="42" hidden="false" customHeight="true" outlineLevel="0" collapsed="false">
      <c r="A45" s="15" t="n">
        <v>2</v>
      </c>
      <c r="B45" s="16" t="s">
        <v>1541</v>
      </c>
      <c r="C45" s="17" t="s">
        <v>62</v>
      </c>
      <c r="D45" s="17" t="s">
        <v>1534</v>
      </c>
      <c r="E45" s="17" t="s">
        <v>1542</v>
      </c>
      <c r="F45" s="17" t="s">
        <v>1543</v>
      </c>
      <c r="G45" s="17" t="s">
        <v>1544</v>
      </c>
      <c r="H45" s="17" t="s">
        <v>1545</v>
      </c>
      <c r="I45" s="17" t="s">
        <v>413</v>
      </c>
      <c r="J45" s="17" t="s">
        <v>208</v>
      </c>
      <c r="K45" s="18" t="s">
        <v>1546</v>
      </c>
      <c r="L45" s="15" t="s">
        <v>131</v>
      </c>
      <c r="M45" s="17" t="s">
        <v>2214</v>
      </c>
      <c r="N45" s="19" t="s">
        <v>73</v>
      </c>
      <c r="O45" s="19" t="s">
        <v>992</v>
      </c>
      <c r="P45" s="20"/>
    </row>
    <row r="46" customFormat="false" ht="67.5" hidden="false" customHeight="true" outlineLevel="0" collapsed="false">
      <c r="A46" s="15" t="n">
        <v>2</v>
      </c>
      <c r="B46" s="16" t="s">
        <v>1548</v>
      </c>
      <c r="C46" s="17" t="s">
        <v>832</v>
      </c>
      <c r="D46" s="17" t="s">
        <v>1549</v>
      </c>
      <c r="E46" s="17" t="s">
        <v>1550</v>
      </c>
      <c r="F46" s="17" t="s">
        <v>1551</v>
      </c>
      <c r="G46" s="17" t="s">
        <v>1552</v>
      </c>
      <c r="H46" s="17" t="s">
        <v>1553</v>
      </c>
      <c r="I46" s="17" t="s">
        <v>1554</v>
      </c>
      <c r="J46" s="17" t="s">
        <v>208</v>
      </c>
      <c r="K46" s="18" t="s">
        <v>1555</v>
      </c>
      <c r="L46" s="15" t="s">
        <v>131</v>
      </c>
      <c r="M46" s="17" t="s">
        <v>2215</v>
      </c>
      <c r="N46" s="19" t="s">
        <v>73</v>
      </c>
      <c r="O46" s="19" t="s">
        <v>417</v>
      </c>
      <c r="P46" s="20"/>
    </row>
    <row r="47" customFormat="false" ht="42" hidden="false" customHeight="true" outlineLevel="0" collapsed="false">
      <c r="A47" s="15" t="n">
        <v>2</v>
      </c>
      <c r="B47" s="16" t="s">
        <v>1557</v>
      </c>
      <c r="C47" s="17" t="s">
        <v>940</v>
      </c>
      <c r="D47" s="17" t="s">
        <v>100</v>
      </c>
      <c r="E47" s="17" t="s">
        <v>1558</v>
      </c>
      <c r="F47" s="17" t="s">
        <v>1559</v>
      </c>
      <c r="G47" s="17" t="s">
        <v>1560</v>
      </c>
      <c r="H47" s="17" t="s">
        <v>1561</v>
      </c>
      <c r="I47" s="17" t="s">
        <v>1562</v>
      </c>
      <c r="J47" s="17" t="s">
        <v>1563</v>
      </c>
      <c r="K47" s="18" t="s">
        <v>1564</v>
      </c>
      <c r="L47" s="15" t="s">
        <v>131</v>
      </c>
      <c r="M47" s="17" t="s">
        <v>2216</v>
      </c>
      <c r="N47" s="19" t="s">
        <v>73</v>
      </c>
      <c r="O47" s="19" t="s">
        <v>417</v>
      </c>
      <c r="P47" s="20"/>
    </row>
    <row r="48" customFormat="false" ht="42" hidden="false" customHeight="true" outlineLevel="0" collapsed="false">
      <c r="A48" s="15" t="n">
        <v>2</v>
      </c>
      <c r="B48" s="16" t="s">
        <v>1591</v>
      </c>
      <c r="C48" s="17" t="s">
        <v>62</v>
      </c>
      <c r="D48" s="17" t="s">
        <v>179</v>
      </c>
      <c r="E48" s="17" t="s">
        <v>1592</v>
      </c>
      <c r="F48" s="17" t="s">
        <v>1593</v>
      </c>
      <c r="G48" s="17" t="s">
        <v>1594</v>
      </c>
      <c r="H48" s="17" t="s">
        <v>1595</v>
      </c>
      <c r="I48" s="17" t="s">
        <v>413</v>
      </c>
      <c r="J48" s="17" t="s">
        <v>1596</v>
      </c>
      <c r="K48" s="18" t="s">
        <v>1597</v>
      </c>
      <c r="L48" s="15" t="s">
        <v>131</v>
      </c>
      <c r="M48" s="17" t="s">
        <v>2189</v>
      </c>
      <c r="N48" s="19" t="s">
        <v>73</v>
      </c>
      <c r="O48" s="19" t="s">
        <v>992</v>
      </c>
      <c r="P48" s="20"/>
    </row>
    <row r="49" customFormat="false" ht="42" hidden="false" customHeight="true" outlineLevel="0" collapsed="false">
      <c r="A49" s="15" t="n">
        <v>2</v>
      </c>
      <c r="B49" s="16" t="s">
        <v>1598</v>
      </c>
      <c r="C49" s="17" t="s">
        <v>1002</v>
      </c>
      <c r="D49" s="17" t="s">
        <v>100</v>
      </c>
      <c r="E49" s="17" t="s">
        <v>1599</v>
      </c>
      <c r="F49" s="17" t="s">
        <v>1600</v>
      </c>
      <c r="G49" s="17" t="s">
        <v>1601</v>
      </c>
      <c r="H49" s="17" t="s">
        <v>1602</v>
      </c>
      <c r="I49" s="17" t="s">
        <v>838</v>
      </c>
      <c r="J49" s="17" t="s">
        <v>208</v>
      </c>
      <c r="K49" s="18" t="s">
        <v>1603</v>
      </c>
      <c r="L49" s="15" t="s">
        <v>131</v>
      </c>
      <c r="M49" s="17" t="s">
        <v>2217</v>
      </c>
      <c r="N49" s="19" t="s">
        <v>73</v>
      </c>
      <c r="O49" s="19" t="s">
        <v>992</v>
      </c>
      <c r="P49" s="20"/>
    </row>
    <row r="50" customFormat="false" ht="42" hidden="false" customHeight="true" outlineLevel="0" collapsed="false">
      <c r="A50" s="15" t="n">
        <v>2</v>
      </c>
      <c r="B50" s="16" t="s">
        <v>1628</v>
      </c>
      <c r="C50" s="17" t="s">
        <v>940</v>
      </c>
      <c r="D50" s="17" t="s">
        <v>100</v>
      </c>
      <c r="E50" s="17" t="s">
        <v>1629</v>
      </c>
      <c r="F50" s="17" t="s">
        <v>1630</v>
      </c>
      <c r="G50" s="17" t="s">
        <v>1631</v>
      </c>
      <c r="H50" s="17" t="s">
        <v>1632</v>
      </c>
      <c r="I50" s="17" t="s">
        <v>413</v>
      </c>
      <c r="J50" s="17" t="s">
        <v>1633</v>
      </c>
      <c r="K50" s="18" t="s">
        <v>1634</v>
      </c>
      <c r="L50" s="15" t="s">
        <v>131</v>
      </c>
      <c r="M50" s="17" t="s">
        <v>2218</v>
      </c>
      <c r="N50" s="19" t="s">
        <v>73</v>
      </c>
      <c r="O50" s="19" t="s">
        <v>992</v>
      </c>
      <c r="P50" s="20"/>
    </row>
    <row r="51" customFormat="false" ht="42" hidden="false" customHeight="true" outlineLevel="0" collapsed="false">
      <c r="A51" s="15" t="n">
        <v>2</v>
      </c>
      <c r="B51" s="16" t="s">
        <v>1636</v>
      </c>
      <c r="C51" s="17" t="s">
        <v>62</v>
      </c>
      <c r="D51" s="17" t="s">
        <v>100</v>
      </c>
      <c r="E51" s="17" t="s">
        <v>1637</v>
      </c>
      <c r="F51" s="17" t="s">
        <v>1638</v>
      </c>
      <c r="G51" s="17" t="s">
        <v>1639</v>
      </c>
      <c r="H51" s="17" t="s">
        <v>1640</v>
      </c>
      <c r="I51" s="17" t="s">
        <v>413</v>
      </c>
      <c r="J51" s="17" t="s">
        <v>208</v>
      </c>
      <c r="K51" s="18" t="s">
        <v>1641</v>
      </c>
      <c r="L51" s="15" t="s">
        <v>131</v>
      </c>
      <c r="M51" s="17" t="s">
        <v>2219</v>
      </c>
      <c r="N51" s="19" t="s">
        <v>73</v>
      </c>
      <c r="O51" s="19" t="s">
        <v>417</v>
      </c>
      <c r="P51" s="20"/>
    </row>
    <row r="52" customFormat="false" ht="42" hidden="false" customHeight="true" outlineLevel="0" collapsed="false">
      <c r="A52" s="15" t="n">
        <v>2</v>
      </c>
      <c r="B52" s="16" t="s">
        <v>1643</v>
      </c>
      <c r="C52" s="17" t="s">
        <v>832</v>
      </c>
      <c r="D52" s="17" t="s">
        <v>100</v>
      </c>
      <c r="E52" s="17" t="s">
        <v>1644</v>
      </c>
      <c r="F52" s="17" t="s">
        <v>1645</v>
      </c>
      <c r="G52" s="17" t="s">
        <v>1646</v>
      </c>
      <c r="H52" s="17" t="s">
        <v>1647</v>
      </c>
      <c r="I52" s="17" t="s">
        <v>838</v>
      </c>
      <c r="J52" s="17" t="s">
        <v>208</v>
      </c>
      <c r="K52" s="18" t="s">
        <v>1648</v>
      </c>
      <c r="L52" s="15" t="s">
        <v>131</v>
      </c>
      <c r="M52" s="17" t="s">
        <v>2220</v>
      </c>
      <c r="N52" s="19" t="s">
        <v>73</v>
      </c>
      <c r="O52" s="19" t="s">
        <v>992</v>
      </c>
      <c r="P52" s="20"/>
    </row>
    <row r="53" customFormat="false" ht="42" hidden="false" customHeight="true" outlineLevel="0" collapsed="false">
      <c r="A53" s="15" t="n">
        <v>2</v>
      </c>
      <c r="B53" s="16" t="s">
        <v>1650</v>
      </c>
      <c r="C53" s="17" t="s">
        <v>62</v>
      </c>
      <c r="D53" s="17" t="s">
        <v>100</v>
      </c>
      <c r="E53" s="17" t="s">
        <v>1651</v>
      </c>
      <c r="F53" s="17" t="s">
        <v>1652</v>
      </c>
      <c r="G53" s="17" t="s">
        <v>1653</v>
      </c>
      <c r="H53" s="17" t="s">
        <v>1654</v>
      </c>
      <c r="I53" s="17" t="s">
        <v>413</v>
      </c>
      <c r="J53" s="17" t="s">
        <v>208</v>
      </c>
      <c r="K53" s="18" t="s">
        <v>1655</v>
      </c>
      <c r="L53" s="15" t="s">
        <v>131</v>
      </c>
      <c r="M53" s="17" t="s">
        <v>2221</v>
      </c>
      <c r="N53" s="19" t="s">
        <v>73</v>
      </c>
      <c r="O53" s="19" t="s">
        <v>417</v>
      </c>
      <c r="P53" s="20"/>
    </row>
    <row r="54" customFormat="false" ht="42" hidden="false" customHeight="true" outlineLevel="0" collapsed="false">
      <c r="A54" s="15" t="n">
        <v>2</v>
      </c>
      <c r="B54" s="16" t="s">
        <v>1657</v>
      </c>
      <c r="C54" s="17" t="s">
        <v>1658</v>
      </c>
      <c r="D54" s="17" t="s">
        <v>100</v>
      </c>
      <c r="E54" s="17" t="s">
        <v>1659</v>
      </c>
      <c r="F54" s="17" t="s">
        <v>1660</v>
      </c>
      <c r="G54" s="17" t="s">
        <v>1661</v>
      </c>
      <c r="H54" s="17" t="s">
        <v>1662</v>
      </c>
      <c r="I54" s="17" t="s">
        <v>413</v>
      </c>
      <c r="J54" s="17" t="s">
        <v>208</v>
      </c>
      <c r="K54" s="18" t="s">
        <v>1663</v>
      </c>
      <c r="L54" s="15" t="s">
        <v>131</v>
      </c>
      <c r="M54" s="17" t="s">
        <v>2222</v>
      </c>
      <c r="N54" s="19" t="s">
        <v>73</v>
      </c>
      <c r="O54" s="19" t="s">
        <v>992</v>
      </c>
      <c r="P54" s="20"/>
    </row>
    <row r="55" customFormat="false" ht="42" hidden="false" customHeight="true" outlineLevel="0" collapsed="false">
      <c r="A55" s="15" t="n">
        <v>2</v>
      </c>
      <c r="B55" s="16" t="s">
        <v>1665</v>
      </c>
      <c r="C55" s="17" t="s">
        <v>832</v>
      </c>
      <c r="D55" s="17" t="s">
        <v>100</v>
      </c>
      <c r="E55" s="17" t="s">
        <v>1666</v>
      </c>
      <c r="F55" s="17" t="s">
        <v>1667</v>
      </c>
      <c r="G55" s="17" t="s">
        <v>1668</v>
      </c>
      <c r="H55" s="17" t="s">
        <v>1669</v>
      </c>
      <c r="I55" s="17" t="s">
        <v>413</v>
      </c>
      <c r="J55" s="17" t="s">
        <v>208</v>
      </c>
      <c r="K55" s="18" t="s">
        <v>1670</v>
      </c>
      <c r="L55" s="15" t="s">
        <v>131</v>
      </c>
      <c r="M55" s="17" t="s">
        <v>2223</v>
      </c>
      <c r="N55" s="19" t="s">
        <v>73</v>
      </c>
      <c r="O55" s="19" t="s">
        <v>417</v>
      </c>
      <c r="P55" s="20"/>
    </row>
    <row r="56" customFormat="false" ht="42" hidden="false" customHeight="true" outlineLevel="0" collapsed="false">
      <c r="A56" s="15" t="n">
        <v>2</v>
      </c>
      <c r="B56" s="16" t="s">
        <v>1682</v>
      </c>
      <c r="C56" s="17" t="s">
        <v>62</v>
      </c>
      <c r="D56" s="17" t="s">
        <v>1683</v>
      </c>
      <c r="E56" s="17" t="s">
        <v>1684</v>
      </c>
      <c r="F56" s="17" t="s">
        <v>1685</v>
      </c>
      <c r="G56" s="17" t="s">
        <v>1686</v>
      </c>
      <c r="H56" s="17" t="s">
        <v>1687</v>
      </c>
      <c r="I56" s="17" t="s">
        <v>413</v>
      </c>
      <c r="J56" s="17" t="s">
        <v>208</v>
      </c>
      <c r="K56" s="18" t="s">
        <v>1688</v>
      </c>
      <c r="L56" s="15" t="s">
        <v>131</v>
      </c>
      <c r="M56" s="17" t="s">
        <v>2224</v>
      </c>
      <c r="N56" s="19" t="s">
        <v>73</v>
      </c>
      <c r="O56" s="19" t="s">
        <v>417</v>
      </c>
      <c r="P56" s="20"/>
    </row>
    <row r="57" customFormat="false" ht="42" hidden="false" customHeight="true" outlineLevel="0" collapsed="false">
      <c r="A57" s="15" t="n">
        <v>2</v>
      </c>
      <c r="B57" s="16" t="s">
        <v>1698</v>
      </c>
      <c r="C57" s="17" t="s">
        <v>832</v>
      </c>
      <c r="D57" s="17" t="s">
        <v>100</v>
      </c>
      <c r="E57" s="17" t="s">
        <v>1699</v>
      </c>
      <c r="F57" s="17" t="s">
        <v>1700</v>
      </c>
      <c r="G57" s="17" t="s">
        <v>1701</v>
      </c>
      <c r="H57" s="17" t="s">
        <v>1702</v>
      </c>
      <c r="I57" s="17" t="s">
        <v>413</v>
      </c>
      <c r="J57" s="17" t="s">
        <v>208</v>
      </c>
      <c r="K57" s="18" t="s">
        <v>1703</v>
      </c>
      <c r="L57" s="15" t="s">
        <v>131</v>
      </c>
      <c r="M57" s="17" t="s">
        <v>2225</v>
      </c>
      <c r="N57" s="19" t="s">
        <v>73</v>
      </c>
      <c r="O57" s="19" t="s">
        <v>992</v>
      </c>
      <c r="P57" s="20"/>
    </row>
    <row r="58" customFormat="false" ht="42" hidden="false" customHeight="true" outlineLevel="0" collapsed="false">
      <c r="A58" s="15" t="n">
        <v>2</v>
      </c>
      <c r="B58" s="16" t="s">
        <v>1705</v>
      </c>
      <c r="C58" s="17" t="s">
        <v>832</v>
      </c>
      <c r="D58" s="17" t="s">
        <v>1706</v>
      </c>
      <c r="E58" s="17" t="s">
        <v>1707</v>
      </c>
      <c r="F58" s="17" t="s">
        <v>1708</v>
      </c>
      <c r="G58" s="17" t="s">
        <v>1709</v>
      </c>
      <c r="H58" s="17" t="s">
        <v>1710</v>
      </c>
      <c r="I58" s="17" t="s">
        <v>838</v>
      </c>
      <c r="J58" s="17" t="s">
        <v>208</v>
      </c>
      <c r="K58" s="18" t="s">
        <v>1711</v>
      </c>
      <c r="L58" s="15" t="s">
        <v>131</v>
      </c>
      <c r="M58" s="17" t="s">
        <v>2226</v>
      </c>
      <c r="N58" s="19" t="s">
        <v>73</v>
      </c>
      <c r="O58" s="19" t="s">
        <v>992</v>
      </c>
      <c r="P58" s="20"/>
    </row>
    <row r="59" customFormat="false" ht="42" hidden="false" customHeight="true" outlineLevel="0" collapsed="false">
      <c r="A59" s="15" t="n">
        <v>2</v>
      </c>
      <c r="B59" s="16" t="s">
        <v>1713</v>
      </c>
      <c r="C59" s="17" t="s">
        <v>832</v>
      </c>
      <c r="D59" s="17" t="s">
        <v>179</v>
      </c>
      <c r="E59" s="17" t="s">
        <v>1714</v>
      </c>
      <c r="F59" s="17" t="s">
        <v>1715</v>
      </c>
      <c r="G59" s="17" t="s">
        <v>1716</v>
      </c>
      <c r="H59" s="17" t="s">
        <v>1717</v>
      </c>
      <c r="I59" s="17" t="s">
        <v>838</v>
      </c>
      <c r="J59" s="17" t="s">
        <v>208</v>
      </c>
      <c r="K59" s="18" t="s">
        <v>1718</v>
      </c>
      <c r="L59" s="15" t="s">
        <v>131</v>
      </c>
      <c r="M59" s="17" t="s">
        <v>2227</v>
      </c>
      <c r="N59" s="19" t="s">
        <v>73</v>
      </c>
      <c r="O59" s="19" t="s">
        <v>992</v>
      </c>
      <c r="P59" s="20"/>
    </row>
    <row r="60" customFormat="false" ht="42" hidden="false" customHeight="true" outlineLevel="0" collapsed="false">
      <c r="A60" s="15" t="n">
        <v>2</v>
      </c>
      <c r="B60" s="16" t="s">
        <v>1720</v>
      </c>
      <c r="C60" s="17" t="s">
        <v>832</v>
      </c>
      <c r="D60" s="17" t="s">
        <v>100</v>
      </c>
      <c r="E60" s="17" t="s">
        <v>1721</v>
      </c>
      <c r="F60" s="17" t="s">
        <v>1722</v>
      </c>
      <c r="G60" s="17" t="s">
        <v>1723</v>
      </c>
      <c r="H60" s="17" t="s">
        <v>1724</v>
      </c>
      <c r="I60" s="17" t="s">
        <v>838</v>
      </c>
      <c r="J60" s="17" t="s">
        <v>208</v>
      </c>
      <c r="K60" s="18" t="s">
        <v>1725</v>
      </c>
      <c r="L60" s="15" t="s">
        <v>131</v>
      </c>
      <c r="M60" s="17" t="s">
        <v>2228</v>
      </c>
      <c r="N60" s="19" t="s">
        <v>73</v>
      </c>
      <c r="O60" s="19" t="s">
        <v>992</v>
      </c>
      <c r="P60" s="20"/>
    </row>
    <row r="61" customFormat="false" ht="42" hidden="false" customHeight="true" outlineLevel="0" collapsed="false">
      <c r="A61" s="15" t="n">
        <v>2</v>
      </c>
      <c r="B61" s="16" t="s">
        <v>1727</v>
      </c>
      <c r="C61" s="17" t="s">
        <v>62</v>
      </c>
      <c r="D61" s="17" t="s">
        <v>100</v>
      </c>
      <c r="E61" s="17" t="s">
        <v>1728</v>
      </c>
      <c r="F61" s="17" t="s">
        <v>1729</v>
      </c>
      <c r="G61" s="17" t="s">
        <v>1730</v>
      </c>
      <c r="H61" s="17" t="s">
        <v>1731</v>
      </c>
      <c r="I61" s="17" t="s">
        <v>1732</v>
      </c>
      <c r="J61" s="17" t="s">
        <v>208</v>
      </c>
      <c r="K61" s="18" t="s">
        <v>1733</v>
      </c>
      <c r="L61" s="15" t="s">
        <v>131</v>
      </c>
      <c r="M61" s="17" t="s">
        <v>2229</v>
      </c>
      <c r="N61" s="19" t="s">
        <v>73</v>
      </c>
      <c r="O61" s="19" t="s">
        <v>992</v>
      </c>
      <c r="P61" s="20"/>
    </row>
    <row r="62" customFormat="false" ht="42" hidden="false" customHeight="true" outlineLevel="0" collapsed="false">
      <c r="A62" s="15" t="n">
        <v>2</v>
      </c>
      <c r="B62" s="16" t="s">
        <v>1915</v>
      </c>
      <c r="C62" s="17" t="s">
        <v>832</v>
      </c>
      <c r="D62" s="17" t="s">
        <v>1269</v>
      </c>
      <c r="E62" s="17" t="s">
        <v>1916</v>
      </c>
      <c r="F62" s="17" t="s">
        <v>1917</v>
      </c>
      <c r="G62" s="17" t="s">
        <v>1918</v>
      </c>
      <c r="H62" s="17" t="s">
        <v>1632</v>
      </c>
      <c r="I62" s="17" t="s">
        <v>413</v>
      </c>
      <c r="J62" s="17" t="s">
        <v>1919</v>
      </c>
      <c r="K62" s="18" t="s">
        <v>1920</v>
      </c>
      <c r="L62" s="15" t="s">
        <v>131</v>
      </c>
      <c r="M62" s="17" t="s">
        <v>2230</v>
      </c>
      <c r="N62" s="19" t="s">
        <v>73</v>
      </c>
      <c r="O62" s="19" t="s">
        <v>992</v>
      </c>
      <c r="P62" s="20"/>
    </row>
    <row r="63" customFormat="false" ht="29.25" hidden="false" customHeight="true" outlineLevel="0" collapsed="false">
      <c r="A63" s="15" t="n">
        <v>2</v>
      </c>
      <c r="B63" s="16" t="s">
        <v>1922</v>
      </c>
      <c r="C63" s="17" t="s">
        <v>76</v>
      </c>
      <c r="D63" s="17" t="s">
        <v>1923</v>
      </c>
      <c r="E63" s="17" t="s">
        <v>1385</v>
      </c>
      <c r="F63" s="17" t="s">
        <v>1924</v>
      </c>
      <c r="G63" s="17" t="s">
        <v>1331</v>
      </c>
      <c r="H63" s="17" t="s">
        <v>616</v>
      </c>
      <c r="I63" s="17" t="s">
        <v>413</v>
      </c>
      <c r="J63" s="17" t="s">
        <v>1925</v>
      </c>
      <c r="K63" s="18" t="s">
        <v>1926</v>
      </c>
      <c r="L63" s="15" t="s">
        <v>131</v>
      </c>
      <c r="M63" s="17" t="s">
        <v>2231</v>
      </c>
      <c r="N63" s="19" t="s">
        <v>73</v>
      </c>
      <c r="O63" s="19" t="s">
        <v>621</v>
      </c>
      <c r="P63" s="20"/>
    </row>
    <row r="64" customFormat="false" ht="29.25" hidden="false" customHeight="true" outlineLevel="0" collapsed="false">
      <c r="A64" s="15" t="n">
        <v>2</v>
      </c>
      <c r="B64" s="16" t="s">
        <v>1938</v>
      </c>
      <c r="C64" s="17" t="s">
        <v>76</v>
      </c>
      <c r="D64" s="17" t="s">
        <v>1251</v>
      </c>
      <c r="E64" s="17" t="s">
        <v>1385</v>
      </c>
      <c r="F64" s="17" t="s">
        <v>1924</v>
      </c>
      <c r="G64" s="17" t="s">
        <v>1331</v>
      </c>
      <c r="H64" s="17" t="s">
        <v>616</v>
      </c>
      <c r="I64" s="17" t="s">
        <v>413</v>
      </c>
      <c r="J64" s="17" t="s">
        <v>1939</v>
      </c>
      <c r="K64" s="18" t="s">
        <v>1940</v>
      </c>
      <c r="L64" s="15" t="s">
        <v>131</v>
      </c>
      <c r="M64" s="17" t="s">
        <v>2232</v>
      </c>
      <c r="N64" s="19" t="s">
        <v>73</v>
      </c>
      <c r="O64" s="19" t="s">
        <v>621</v>
      </c>
      <c r="P64" s="20"/>
    </row>
    <row r="65" customFormat="false" ht="54.75" hidden="false" customHeight="true" outlineLevel="0" collapsed="false">
      <c r="A65" s="15" t="n">
        <v>1</v>
      </c>
      <c r="B65" s="16" t="s">
        <v>2018</v>
      </c>
      <c r="C65" s="17" t="s">
        <v>76</v>
      </c>
      <c r="D65" s="17" t="s">
        <v>146</v>
      </c>
      <c r="E65" s="17" t="s">
        <v>2019</v>
      </c>
      <c r="F65" s="17" t="s">
        <v>2020</v>
      </c>
      <c r="G65" s="17" t="s">
        <v>1331</v>
      </c>
      <c r="H65" s="17" t="s">
        <v>2021</v>
      </c>
      <c r="I65" s="17" t="s">
        <v>413</v>
      </c>
      <c r="J65" s="17" t="s">
        <v>2022</v>
      </c>
      <c r="K65" s="18" t="s">
        <v>2023</v>
      </c>
      <c r="L65" s="15" t="s">
        <v>131</v>
      </c>
      <c r="M65" s="17" t="s">
        <v>2233</v>
      </c>
      <c r="N65" s="19" t="s">
        <v>73</v>
      </c>
      <c r="O65" s="19" t="s">
        <v>2025</v>
      </c>
      <c r="P65" s="20"/>
    </row>
    <row r="66" customFormat="false" ht="15" hidden="false" customHeight="false" outlineLevel="0" collapsed="false">
      <c r="P66" s="21"/>
    </row>
    <row r="67" customFormat="false" ht="15" hidden="false" customHeight="false" outlineLevel="0" collapsed="false">
      <c r="P67" s="21"/>
    </row>
    <row r="68" customFormat="false" ht="15" hidden="false" customHeight="false" outlineLevel="0" collapsed="false">
      <c r="P68" s="21"/>
    </row>
    <row r="69" customFormat="false" ht="15" hidden="false" customHeight="false" outlineLevel="0" collapsed="false">
      <c r="P69" s="21"/>
    </row>
    <row r="70" customFormat="false" ht="15" hidden="false" customHeight="false" outlineLevel="0" collapsed="false">
      <c r="P70" s="21"/>
    </row>
    <row r="71" customFormat="false" ht="15" hidden="false" customHeight="false" outlineLevel="0" collapsed="false">
      <c r="P71" s="21"/>
    </row>
    <row r="72" customFormat="false" ht="15" hidden="false" customHeight="false" outlineLevel="0" collapsed="false">
      <c r="P72" s="21"/>
    </row>
    <row r="73" customFormat="false" ht="15" hidden="false" customHeight="false" outlineLevel="0" collapsed="false">
      <c r="P73" s="21"/>
    </row>
    <row r="74" customFormat="false" ht="15" hidden="false" customHeight="false" outlineLevel="0" collapsed="false">
      <c r="P74" s="21"/>
    </row>
    <row r="75" customFormat="false" ht="15" hidden="false" customHeight="false" outlineLevel="0" collapsed="false">
      <c r="P75" s="21"/>
    </row>
    <row r="76" customFormat="false" ht="15" hidden="false" customHeight="false" outlineLevel="0" collapsed="false">
      <c r="P76" s="21"/>
    </row>
    <row r="77" customFormat="false" ht="15" hidden="false" customHeight="false" outlineLevel="0" collapsed="false">
      <c r="P77" s="21"/>
    </row>
    <row r="78" customFormat="false" ht="15" hidden="false" customHeight="false" outlineLevel="0" collapsed="false">
      <c r="P78" s="21"/>
    </row>
    <row r="79" customFormat="false" ht="15" hidden="false" customHeight="false" outlineLevel="0" collapsed="false">
      <c r="P79" s="21"/>
    </row>
    <row r="80" customFormat="false" ht="15" hidden="false" customHeight="false" outlineLevel="0" collapsed="false">
      <c r="P80" s="21"/>
    </row>
    <row r="81" customFormat="false" ht="15" hidden="false" customHeight="false" outlineLevel="0" collapsed="false">
      <c r="P81" s="21"/>
    </row>
    <row r="82" customFormat="false" ht="15" hidden="false" customHeight="false" outlineLevel="0" collapsed="false">
      <c r="P82" s="21"/>
    </row>
    <row r="83" customFormat="false" ht="15" hidden="false" customHeight="false" outlineLevel="0" collapsed="false">
      <c r="P83" s="21"/>
    </row>
    <row r="84" customFormat="false" ht="15" hidden="false" customHeight="false" outlineLevel="0" collapsed="false">
      <c r="P84" s="21"/>
    </row>
    <row r="85" customFormat="false" ht="15" hidden="false" customHeight="false" outlineLevel="0" collapsed="false">
      <c r="P85" s="21"/>
    </row>
    <row r="86" customFormat="false" ht="15" hidden="false" customHeight="false" outlineLevel="0" collapsed="false">
      <c r="P86" s="21"/>
    </row>
    <row r="87" customFormat="false" ht="15" hidden="false" customHeight="false" outlineLevel="0" collapsed="false">
      <c r="P87" s="21"/>
    </row>
    <row r="88" customFormat="false" ht="15" hidden="false" customHeight="false" outlineLevel="0" collapsed="false">
      <c r="P88" s="21"/>
    </row>
    <row r="89" customFormat="false" ht="15" hidden="false" customHeight="false" outlineLevel="0" collapsed="false">
      <c r="P89" s="21"/>
    </row>
    <row r="90" customFormat="false" ht="15" hidden="false" customHeight="false" outlineLevel="0" collapsed="false">
      <c r="P90" s="21"/>
    </row>
    <row r="91" customFormat="false" ht="15" hidden="false" customHeight="false" outlineLevel="0" collapsed="false">
      <c r="P91" s="21"/>
    </row>
    <row r="92" customFormat="false" ht="15" hidden="false" customHeight="false" outlineLevel="0" collapsed="false">
      <c r="P92" s="21"/>
    </row>
    <row r="93" customFormat="false" ht="15" hidden="false" customHeight="false" outlineLevel="0" collapsed="false">
      <c r="P93" s="21"/>
    </row>
    <row r="94" customFormat="false" ht="15" hidden="false" customHeight="false" outlineLevel="0" collapsed="false">
      <c r="P94" s="21"/>
    </row>
    <row r="95" customFormat="false" ht="15" hidden="false" customHeight="false" outlineLevel="0" collapsed="false">
      <c r="P95" s="21"/>
    </row>
    <row r="96" customFormat="false" ht="15" hidden="false" customHeight="false" outlineLevel="0" collapsed="false">
      <c r="P96" s="21"/>
    </row>
    <row r="97" customFormat="false" ht="15" hidden="false" customHeight="false" outlineLevel="0" collapsed="false">
      <c r="P97" s="21"/>
    </row>
    <row r="98" customFormat="false" ht="15" hidden="false" customHeight="false" outlineLevel="0" collapsed="false">
      <c r="P98" s="21"/>
    </row>
    <row r="99" customFormat="false" ht="15" hidden="false" customHeight="false" outlineLevel="0" collapsed="false">
      <c r="P99" s="21"/>
    </row>
    <row r="100" customFormat="false" ht="15" hidden="false" customHeight="false" outlineLevel="0" collapsed="false">
      <c r="P100" s="21"/>
    </row>
    <row r="101" customFormat="false" ht="15" hidden="false" customHeight="false" outlineLevel="0" collapsed="false">
      <c r="P101" s="21"/>
    </row>
    <row r="102" customFormat="false" ht="15" hidden="false" customHeight="false" outlineLevel="0" collapsed="false">
      <c r="P102" s="21"/>
    </row>
    <row r="103" customFormat="false" ht="15" hidden="false" customHeight="false" outlineLevel="0" collapsed="false">
      <c r="P103" s="21"/>
    </row>
    <row r="104" customFormat="false" ht="15" hidden="false" customHeight="false" outlineLevel="0" collapsed="false">
      <c r="P104" s="21"/>
    </row>
    <row r="105" customFormat="false" ht="15" hidden="false" customHeight="false" outlineLevel="0" collapsed="false">
      <c r="P105" s="21"/>
    </row>
    <row r="106" customFormat="false" ht="15" hidden="false" customHeight="false" outlineLevel="0" collapsed="false">
      <c r="P106" s="21"/>
    </row>
    <row r="107" customFormat="false" ht="15" hidden="false" customHeight="false" outlineLevel="0" collapsed="false">
      <c r="P107" s="21"/>
    </row>
    <row r="108" customFormat="false" ht="15" hidden="false" customHeight="false" outlineLevel="0" collapsed="false">
      <c r="P108" s="21"/>
    </row>
    <row r="109" customFormat="false" ht="15" hidden="false" customHeight="false" outlineLevel="0" collapsed="false">
      <c r="P109" s="21"/>
    </row>
    <row r="110" customFormat="false" ht="15" hidden="false" customHeight="false" outlineLevel="0" collapsed="false">
      <c r="P110" s="21"/>
    </row>
    <row r="111" customFormat="false" ht="15" hidden="false" customHeight="false" outlineLevel="0" collapsed="false">
      <c r="P111" s="21"/>
    </row>
    <row r="112" customFormat="false" ht="15" hidden="false" customHeight="false" outlineLevel="0" collapsed="false">
      <c r="P112" s="21"/>
    </row>
    <row r="113" customFormat="false" ht="15" hidden="false" customHeight="false" outlineLevel="0" collapsed="false">
      <c r="P113" s="21"/>
    </row>
    <row r="114" customFormat="false" ht="15" hidden="false" customHeight="false" outlineLevel="0" collapsed="false">
      <c r="P114" s="21"/>
    </row>
    <row r="115" customFormat="false" ht="15" hidden="false" customHeight="false" outlineLevel="0" collapsed="false">
      <c r="P115" s="21"/>
    </row>
    <row r="116" customFormat="false" ht="15" hidden="false" customHeight="false" outlineLevel="0" collapsed="false">
      <c r="P116" s="21"/>
    </row>
    <row r="117" customFormat="false" ht="15" hidden="false" customHeight="false" outlineLevel="0" collapsed="false">
      <c r="P117" s="21"/>
    </row>
    <row r="118" customFormat="false" ht="15" hidden="false" customHeight="false" outlineLevel="0" collapsed="false">
      <c r="P118" s="21"/>
    </row>
    <row r="119" customFormat="false" ht="15" hidden="false" customHeight="false" outlineLevel="0" collapsed="false">
      <c r="P119" s="21"/>
    </row>
    <row r="120" customFormat="false" ht="15" hidden="false" customHeight="false" outlineLevel="0" collapsed="false">
      <c r="P120" s="21"/>
    </row>
    <row r="121" customFormat="false" ht="15" hidden="false" customHeight="false" outlineLevel="0" collapsed="false">
      <c r="P121" s="21"/>
    </row>
    <row r="122" customFormat="false" ht="15" hidden="false" customHeight="false" outlineLevel="0" collapsed="false">
      <c r="P122" s="21"/>
    </row>
    <row r="123" customFormat="false" ht="15" hidden="false" customHeight="false" outlineLevel="0" collapsed="false">
      <c r="P123" s="21"/>
    </row>
    <row r="124" customFormat="false" ht="15" hidden="false" customHeight="false" outlineLevel="0" collapsed="false">
      <c r="P124" s="21"/>
    </row>
    <row r="125" customFormat="false" ht="15" hidden="false" customHeight="false" outlineLevel="0" collapsed="false">
      <c r="P125" s="21"/>
    </row>
    <row r="126" customFormat="false" ht="15" hidden="false" customHeight="false" outlineLevel="0" collapsed="false">
      <c r="P126" s="21"/>
    </row>
    <row r="127" customFormat="false" ht="15" hidden="false" customHeight="false" outlineLevel="0" collapsed="false">
      <c r="P127" s="21"/>
    </row>
    <row r="128" customFormat="false" ht="15" hidden="false" customHeight="false" outlineLevel="0" collapsed="false">
      <c r="P128" s="21"/>
    </row>
    <row r="129" customFormat="false" ht="15" hidden="false" customHeight="false" outlineLevel="0" collapsed="false">
      <c r="P129" s="21"/>
    </row>
    <row r="130" customFormat="false" ht="15" hidden="false" customHeight="false" outlineLevel="0" collapsed="false">
      <c r="P130" s="21"/>
    </row>
    <row r="131" customFormat="false" ht="15" hidden="false" customHeight="false" outlineLevel="0" collapsed="false">
      <c r="P131" s="21"/>
    </row>
    <row r="132" customFormat="false" ht="15" hidden="false" customHeight="false" outlineLevel="0" collapsed="false">
      <c r="P132" s="21"/>
    </row>
    <row r="133" customFormat="false" ht="15" hidden="false" customHeight="false" outlineLevel="0" collapsed="false">
      <c r="P133" s="21"/>
    </row>
    <row r="134" customFormat="false" ht="15" hidden="false" customHeight="false" outlineLevel="0" collapsed="false">
      <c r="P134" s="21"/>
    </row>
    <row r="135" customFormat="false" ht="15" hidden="false" customHeight="false" outlineLevel="0" collapsed="false">
      <c r="P135" s="21"/>
    </row>
    <row r="136" customFormat="false" ht="15" hidden="false" customHeight="false" outlineLevel="0" collapsed="false">
      <c r="P136" s="21"/>
    </row>
    <row r="137" customFormat="false" ht="15" hidden="false" customHeight="false" outlineLevel="0" collapsed="false">
      <c r="P137" s="21"/>
    </row>
    <row r="138" customFormat="false" ht="15" hidden="false" customHeight="false" outlineLevel="0" collapsed="false">
      <c r="P138" s="21"/>
    </row>
    <row r="139" customFormat="false" ht="15" hidden="false" customHeight="false" outlineLevel="0" collapsed="false">
      <c r="P139" s="21"/>
    </row>
    <row r="140" customFormat="false" ht="15" hidden="false" customHeight="false" outlineLevel="0" collapsed="false">
      <c r="P140" s="21"/>
    </row>
    <row r="141" customFormat="false" ht="15" hidden="false" customHeight="false" outlineLevel="0" collapsed="false">
      <c r="P141" s="21"/>
    </row>
    <row r="142" customFormat="false" ht="15" hidden="false" customHeight="false" outlineLevel="0" collapsed="false">
      <c r="P142" s="21"/>
    </row>
    <row r="143" customFormat="false" ht="15" hidden="false" customHeight="false" outlineLevel="0" collapsed="false">
      <c r="P143" s="21"/>
    </row>
    <row r="144" customFormat="false" ht="15" hidden="false" customHeight="false" outlineLevel="0" collapsed="false">
      <c r="P144" s="21"/>
    </row>
    <row r="145" customFormat="false" ht="15" hidden="false" customHeight="false" outlineLevel="0" collapsed="false">
      <c r="P145" s="21"/>
    </row>
    <row r="146" customFormat="false" ht="15" hidden="false" customHeight="false" outlineLevel="0" collapsed="false">
      <c r="P146" s="21"/>
    </row>
    <row r="147" customFormat="false" ht="15" hidden="false" customHeight="false" outlineLevel="0" collapsed="false">
      <c r="P147" s="21"/>
    </row>
    <row r="148" customFormat="false" ht="15" hidden="false" customHeight="false" outlineLevel="0" collapsed="false">
      <c r="P148" s="21"/>
    </row>
    <row r="149" customFormat="false" ht="15" hidden="false" customHeight="false" outlineLevel="0" collapsed="false">
      <c r="P149" s="21"/>
    </row>
    <row r="150" customFormat="false" ht="15" hidden="false" customHeight="false" outlineLevel="0" collapsed="false">
      <c r="P150" s="21"/>
    </row>
    <row r="151" customFormat="false" ht="15" hidden="false" customHeight="false" outlineLevel="0" collapsed="false">
      <c r="P151" s="21"/>
    </row>
    <row r="152" customFormat="false" ht="15" hidden="false" customHeight="false" outlineLevel="0" collapsed="false">
      <c r="P152" s="21"/>
    </row>
    <row r="153" customFormat="false" ht="15" hidden="false" customHeight="false" outlineLevel="0" collapsed="false">
      <c r="P153" s="21"/>
    </row>
    <row r="154" customFormat="false" ht="15" hidden="false" customHeight="false" outlineLevel="0" collapsed="false">
      <c r="P154" s="21"/>
    </row>
    <row r="155" customFormat="false" ht="15" hidden="false" customHeight="false" outlineLevel="0" collapsed="false">
      <c r="P155" s="21"/>
    </row>
    <row r="156" customFormat="false" ht="15" hidden="false" customHeight="false" outlineLevel="0" collapsed="false">
      <c r="P156" s="21"/>
    </row>
    <row r="157" customFormat="false" ht="15" hidden="false" customHeight="false" outlineLevel="0" collapsed="false">
      <c r="P157" s="21"/>
    </row>
    <row r="158" customFormat="false" ht="15" hidden="false" customHeight="false" outlineLevel="0" collapsed="false">
      <c r="P158" s="21"/>
    </row>
    <row r="159" customFormat="false" ht="15" hidden="false" customHeight="false" outlineLevel="0" collapsed="false">
      <c r="P159" s="21"/>
    </row>
    <row r="160" customFormat="false" ht="15" hidden="false" customHeight="false" outlineLevel="0" collapsed="false">
      <c r="P160" s="21"/>
    </row>
    <row r="161" customFormat="false" ht="15" hidden="false" customHeight="false" outlineLevel="0" collapsed="false">
      <c r="P161" s="21"/>
    </row>
    <row r="162" customFormat="false" ht="15" hidden="false" customHeight="false" outlineLevel="0" collapsed="false">
      <c r="P162" s="21"/>
    </row>
    <row r="163" customFormat="false" ht="15" hidden="false" customHeight="false" outlineLevel="0" collapsed="false">
      <c r="P163" s="21"/>
    </row>
    <row r="164" customFormat="false" ht="15" hidden="false" customHeight="false" outlineLevel="0" collapsed="false">
      <c r="P164" s="21"/>
    </row>
    <row r="165" customFormat="false" ht="15" hidden="false" customHeight="false" outlineLevel="0" collapsed="false">
      <c r="P165" s="21"/>
    </row>
    <row r="166" customFormat="false" ht="15" hidden="false" customHeight="false" outlineLevel="0" collapsed="false">
      <c r="P166" s="21"/>
    </row>
    <row r="167" customFormat="false" ht="15" hidden="false" customHeight="false" outlineLevel="0" collapsed="false">
      <c r="P167" s="21"/>
    </row>
    <row r="168" customFormat="false" ht="15" hidden="false" customHeight="false" outlineLevel="0" collapsed="false">
      <c r="P168" s="21"/>
    </row>
    <row r="169" customFormat="false" ht="15" hidden="false" customHeight="false" outlineLevel="0" collapsed="false">
      <c r="P169" s="21"/>
    </row>
    <row r="170" customFormat="false" ht="15" hidden="false" customHeight="false" outlineLevel="0" collapsed="false">
      <c r="P170" s="21"/>
    </row>
    <row r="171" customFormat="false" ht="15" hidden="false" customHeight="false" outlineLevel="0" collapsed="false">
      <c r="P171" s="21"/>
    </row>
    <row r="172" customFormat="false" ht="15" hidden="false" customHeight="false" outlineLevel="0" collapsed="false">
      <c r="P172" s="21"/>
    </row>
    <row r="173" customFormat="false" ht="15" hidden="false" customHeight="false" outlineLevel="0" collapsed="false">
      <c r="P173" s="21"/>
    </row>
    <row r="174" customFormat="false" ht="15" hidden="false" customHeight="false" outlineLevel="0" collapsed="false">
      <c r="P174" s="21"/>
    </row>
    <row r="175" customFormat="false" ht="15" hidden="false" customHeight="false" outlineLevel="0" collapsed="false">
      <c r="P175" s="21"/>
    </row>
    <row r="176" customFormat="false" ht="15" hidden="false" customHeight="false" outlineLevel="0" collapsed="false">
      <c r="P176" s="21"/>
    </row>
    <row r="177" customFormat="false" ht="15" hidden="false" customHeight="false" outlineLevel="0" collapsed="false">
      <c r="P177" s="21"/>
    </row>
    <row r="178" customFormat="false" ht="15" hidden="false" customHeight="false" outlineLevel="0" collapsed="false">
      <c r="P178" s="21"/>
    </row>
    <row r="179" customFormat="false" ht="15" hidden="false" customHeight="false" outlineLevel="0" collapsed="false">
      <c r="P179" s="21"/>
    </row>
    <row r="180" customFormat="false" ht="15" hidden="false" customHeight="false" outlineLevel="0" collapsed="false">
      <c r="P180" s="21"/>
    </row>
    <row r="181" customFormat="false" ht="15" hidden="false" customHeight="false" outlineLevel="0" collapsed="false">
      <c r="P181" s="21"/>
    </row>
    <row r="182" customFormat="false" ht="15" hidden="false" customHeight="false" outlineLevel="0" collapsed="false">
      <c r="P182" s="21"/>
    </row>
    <row r="183" customFormat="false" ht="15" hidden="false" customHeight="false" outlineLevel="0" collapsed="false">
      <c r="P183" s="21"/>
    </row>
    <row r="184" customFormat="false" ht="15" hidden="false" customHeight="false" outlineLevel="0" collapsed="false">
      <c r="P184" s="21"/>
    </row>
    <row r="185" customFormat="false" ht="15" hidden="false" customHeight="false" outlineLevel="0" collapsed="false">
      <c r="P185" s="21"/>
    </row>
    <row r="186" customFormat="false" ht="15" hidden="false" customHeight="false" outlineLevel="0" collapsed="false">
      <c r="P186" s="21"/>
    </row>
    <row r="187" customFormat="false" ht="15" hidden="false" customHeight="false" outlineLevel="0" collapsed="false">
      <c r="P187" s="21"/>
    </row>
    <row r="188" customFormat="false" ht="15" hidden="false" customHeight="false" outlineLevel="0" collapsed="false">
      <c r="P188" s="21"/>
    </row>
    <row r="189" customFormat="false" ht="15" hidden="false" customHeight="false" outlineLevel="0" collapsed="false">
      <c r="P189" s="21"/>
    </row>
    <row r="190" customFormat="false" ht="15" hidden="false" customHeight="false" outlineLevel="0" collapsed="false">
      <c r="P190" s="21"/>
    </row>
    <row r="191" customFormat="false" ht="15" hidden="false" customHeight="false" outlineLevel="0" collapsed="false">
      <c r="P191" s="21"/>
    </row>
    <row r="192" customFormat="false" ht="15" hidden="false" customHeight="false" outlineLevel="0" collapsed="false">
      <c r="P192" s="21"/>
    </row>
    <row r="193" customFormat="false" ht="15" hidden="false" customHeight="false" outlineLevel="0" collapsed="false">
      <c r="P193" s="21"/>
    </row>
    <row r="194" customFormat="false" ht="15" hidden="false" customHeight="false" outlineLevel="0" collapsed="false">
      <c r="P194" s="21"/>
    </row>
    <row r="195" customFormat="false" ht="15" hidden="false" customHeight="false" outlineLevel="0" collapsed="false">
      <c r="P195" s="21"/>
    </row>
    <row r="196" customFormat="false" ht="15" hidden="false" customHeight="false" outlineLevel="0" collapsed="false">
      <c r="P196" s="21"/>
    </row>
    <row r="197" customFormat="false" ht="15" hidden="false" customHeight="false" outlineLevel="0" collapsed="false">
      <c r="P197" s="21"/>
    </row>
    <row r="198" customFormat="false" ht="15" hidden="false" customHeight="false" outlineLevel="0" collapsed="false">
      <c r="P198" s="21"/>
    </row>
    <row r="199" customFormat="false" ht="15" hidden="false" customHeight="false" outlineLevel="0" collapsed="false">
      <c r="P199" s="21"/>
    </row>
    <row r="200" customFormat="false" ht="15" hidden="false" customHeight="false" outlineLevel="0" collapsed="false">
      <c r="P200" s="21"/>
    </row>
    <row r="201" customFormat="false" ht="15" hidden="false" customHeight="false" outlineLevel="0" collapsed="false">
      <c r="P201" s="21"/>
    </row>
    <row r="202" customFormat="false" ht="15" hidden="false" customHeight="false" outlineLevel="0" collapsed="false">
      <c r="P202" s="21"/>
    </row>
    <row r="203" customFormat="false" ht="15" hidden="false" customHeight="false" outlineLevel="0" collapsed="false">
      <c r="P203" s="21"/>
    </row>
    <row r="204" customFormat="false" ht="15" hidden="false" customHeight="false" outlineLevel="0" collapsed="false">
      <c r="P204" s="21"/>
    </row>
    <row r="205" customFormat="false" ht="15" hidden="false" customHeight="false" outlineLevel="0" collapsed="false">
      <c r="P205" s="21"/>
    </row>
    <row r="206" customFormat="false" ht="15" hidden="false" customHeight="false" outlineLevel="0" collapsed="false">
      <c r="P206" s="21"/>
    </row>
    <row r="207" customFormat="false" ht="15" hidden="false" customHeight="false" outlineLevel="0" collapsed="false">
      <c r="P207" s="21"/>
    </row>
    <row r="208" customFormat="false" ht="15" hidden="false" customHeight="false" outlineLevel="0" collapsed="false">
      <c r="P208" s="21"/>
    </row>
    <row r="209" customFormat="false" ht="15" hidden="false" customHeight="false" outlineLevel="0" collapsed="false">
      <c r="P209" s="21"/>
    </row>
    <row r="210" customFormat="false" ht="15" hidden="false" customHeight="false" outlineLevel="0" collapsed="false">
      <c r="P210" s="21"/>
    </row>
    <row r="211" customFormat="false" ht="15" hidden="false" customHeight="false" outlineLevel="0" collapsed="false">
      <c r="P211" s="21"/>
    </row>
    <row r="212" customFormat="false" ht="15" hidden="false" customHeight="false" outlineLevel="0" collapsed="false">
      <c r="P212" s="21"/>
    </row>
    <row r="213" customFormat="false" ht="15" hidden="false" customHeight="false" outlineLevel="0" collapsed="false">
      <c r="P213" s="21"/>
    </row>
    <row r="214" customFormat="false" ht="15" hidden="false" customHeight="false" outlineLevel="0" collapsed="false">
      <c r="P214" s="21"/>
    </row>
    <row r="215" customFormat="false" ht="15" hidden="false" customHeight="false" outlineLevel="0" collapsed="false">
      <c r="P215" s="21"/>
    </row>
    <row r="216" customFormat="false" ht="15" hidden="false" customHeight="false" outlineLevel="0" collapsed="false">
      <c r="P216" s="21"/>
    </row>
    <row r="217" customFormat="false" ht="15" hidden="false" customHeight="false" outlineLevel="0" collapsed="false">
      <c r="P217" s="21"/>
    </row>
    <row r="218" customFormat="false" ht="15" hidden="false" customHeight="false" outlineLevel="0" collapsed="false">
      <c r="P218" s="21"/>
    </row>
    <row r="219" customFormat="false" ht="15" hidden="false" customHeight="false" outlineLevel="0" collapsed="false">
      <c r="P219" s="21"/>
    </row>
    <row r="220" customFormat="false" ht="15" hidden="false" customHeight="false" outlineLevel="0" collapsed="false">
      <c r="P220" s="21"/>
    </row>
    <row r="221" customFormat="false" ht="15" hidden="false" customHeight="false" outlineLevel="0" collapsed="false">
      <c r="P221" s="21"/>
    </row>
    <row r="222" customFormat="false" ht="15" hidden="false" customHeight="false" outlineLevel="0" collapsed="false">
      <c r="P222" s="21"/>
    </row>
    <row r="223" customFormat="false" ht="15" hidden="false" customHeight="false" outlineLevel="0" collapsed="false">
      <c r="P223" s="21"/>
    </row>
    <row r="224" customFormat="false" ht="15" hidden="false" customHeight="false" outlineLevel="0" collapsed="false">
      <c r="P224" s="21"/>
    </row>
    <row r="225" customFormat="false" ht="15" hidden="false" customHeight="false" outlineLevel="0" collapsed="false">
      <c r="P225" s="21"/>
    </row>
    <row r="226" customFormat="false" ht="15" hidden="false" customHeight="false" outlineLevel="0" collapsed="false">
      <c r="P226" s="21"/>
    </row>
    <row r="227" customFormat="false" ht="15" hidden="false" customHeight="false" outlineLevel="0" collapsed="false">
      <c r="P227" s="21"/>
    </row>
    <row r="228" customFormat="false" ht="15" hidden="false" customHeight="false" outlineLevel="0" collapsed="false">
      <c r="P228" s="21"/>
    </row>
    <row r="229" customFormat="false" ht="15" hidden="false" customHeight="false" outlineLevel="0" collapsed="false">
      <c r="P229" s="21"/>
    </row>
    <row r="230" customFormat="false" ht="15" hidden="false" customHeight="false" outlineLevel="0" collapsed="false">
      <c r="P230" s="21"/>
    </row>
    <row r="231" customFormat="false" ht="15" hidden="false" customHeight="false" outlineLevel="0" collapsed="false">
      <c r="P231" s="21"/>
    </row>
    <row r="232" customFormat="false" ht="15" hidden="false" customHeight="false" outlineLevel="0" collapsed="false">
      <c r="P232" s="21"/>
    </row>
    <row r="233" customFormat="false" ht="15" hidden="false" customHeight="false" outlineLevel="0" collapsed="false">
      <c r="P233" s="21"/>
    </row>
    <row r="234" customFormat="false" ht="15" hidden="false" customHeight="false" outlineLevel="0" collapsed="false">
      <c r="P234" s="21"/>
    </row>
    <row r="235" customFormat="false" ht="15" hidden="false" customHeight="false" outlineLevel="0" collapsed="false">
      <c r="P235" s="21"/>
    </row>
    <row r="236" customFormat="false" ht="15" hidden="false" customHeight="false" outlineLevel="0" collapsed="false">
      <c r="P236" s="21"/>
    </row>
    <row r="237" customFormat="false" ht="15" hidden="false" customHeight="false" outlineLevel="0" collapsed="false">
      <c r="P237" s="21"/>
    </row>
    <row r="238" customFormat="false" ht="15" hidden="false" customHeight="false" outlineLevel="0" collapsed="false">
      <c r="P238" s="21"/>
    </row>
    <row r="239" customFormat="false" ht="15" hidden="false" customHeight="false" outlineLevel="0" collapsed="false">
      <c r="P239" s="21"/>
    </row>
    <row r="240" customFormat="false" ht="15" hidden="false" customHeight="false" outlineLevel="0" collapsed="false">
      <c r="P240" s="21"/>
    </row>
    <row r="241" customFormat="false" ht="15" hidden="false" customHeight="false" outlineLevel="0" collapsed="false">
      <c r="P241" s="21"/>
    </row>
    <row r="242" customFormat="false" ht="15" hidden="false" customHeight="false" outlineLevel="0" collapsed="false">
      <c r="P242" s="21"/>
    </row>
    <row r="243" customFormat="false" ht="15" hidden="false" customHeight="false" outlineLevel="0" collapsed="false">
      <c r="P243" s="21"/>
    </row>
    <row r="244" customFormat="false" ht="15" hidden="false" customHeight="false" outlineLevel="0" collapsed="false">
      <c r="P244" s="21"/>
    </row>
    <row r="245" customFormat="false" ht="15" hidden="false" customHeight="false" outlineLevel="0" collapsed="false">
      <c r="P245" s="21"/>
    </row>
    <row r="246" customFormat="false" ht="15" hidden="false" customHeight="false" outlineLevel="0" collapsed="false">
      <c r="P246" s="21"/>
    </row>
    <row r="247" customFormat="false" ht="15" hidden="false" customHeight="false" outlineLevel="0" collapsed="false">
      <c r="P247" s="21"/>
    </row>
    <row r="248" customFormat="false" ht="15" hidden="false" customHeight="false" outlineLevel="0" collapsed="false">
      <c r="P248" s="21"/>
    </row>
    <row r="249" customFormat="false" ht="15" hidden="false" customHeight="false" outlineLevel="0" collapsed="false">
      <c r="P249" s="21"/>
    </row>
    <row r="250" customFormat="false" ht="15" hidden="false" customHeight="false" outlineLevel="0" collapsed="false">
      <c r="P250" s="21"/>
    </row>
    <row r="251" customFormat="false" ht="15" hidden="false" customHeight="false" outlineLevel="0" collapsed="false">
      <c r="P251" s="21"/>
    </row>
    <row r="252" customFormat="false" ht="15" hidden="false" customHeight="false" outlineLevel="0" collapsed="false">
      <c r="P252" s="21"/>
    </row>
    <row r="253" customFormat="false" ht="15" hidden="false" customHeight="false" outlineLevel="0" collapsed="false">
      <c r="P253" s="21"/>
    </row>
    <row r="254" customFormat="false" ht="15" hidden="false" customHeight="false" outlineLevel="0" collapsed="false">
      <c r="P254" s="21"/>
    </row>
    <row r="255" customFormat="false" ht="15" hidden="false" customHeight="false" outlineLevel="0" collapsed="false">
      <c r="P255" s="21"/>
    </row>
    <row r="256" customFormat="false" ht="15" hidden="false" customHeight="false" outlineLevel="0" collapsed="false">
      <c r="P256" s="21"/>
    </row>
    <row r="257" customFormat="false" ht="15" hidden="false" customHeight="false" outlineLevel="0" collapsed="false">
      <c r="P257" s="21"/>
    </row>
    <row r="258" customFormat="false" ht="15" hidden="false" customHeight="false" outlineLevel="0" collapsed="false">
      <c r="P258" s="21"/>
    </row>
    <row r="259" customFormat="false" ht="15" hidden="false" customHeight="false" outlineLevel="0" collapsed="false">
      <c r="P259" s="21"/>
    </row>
    <row r="260" customFormat="false" ht="15" hidden="false" customHeight="false" outlineLevel="0" collapsed="false">
      <c r="P260" s="21"/>
    </row>
    <row r="261" customFormat="false" ht="15" hidden="false" customHeight="false" outlineLevel="0" collapsed="false">
      <c r="P261" s="21"/>
    </row>
    <row r="262" customFormat="false" ht="15" hidden="false" customHeight="false" outlineLevel="0" collapsed="false">
      <c r="P262" s="21"/>
    </row>
    <row r="263" customFormat="false" ht="15" hidden="false" customHeight="false" outlineLevel="0" collapsed="false">
      <c r="P263" s="21"/>
    </row>
    <row r="264" customFormat="false" ht="15" hidden="false" customHeight="false" outlineLevel="0" collapsed="false">
      <c r="P264" s="21"/>
    </row>
    <row r="265" customFormat="false" ht="15" hidden="false" customHeight="false" outlineLevel="0" collapsed="false">
      <c r="P265" s="21"/>
    </row>
  </sheetData>
  <autoFilter ref="A1:P65"/>
  <conditionalFormatting sqref="A2:A65">
    <cfRule type="cellIs" priority="2" operator="equal" aboveAverage="0" equalAverage="0" bottom="0" percent="0" rank="0" text="" dxfId="9">
      <formula>5</formula>
    </cfRule>
    <cfRule type="cellIs" priority="3" operator="equal" aboveAverage="0" equalAverage="0" bottom="0" percent="0" rank="0" text="" dxfId="10">
      <formula>4</formula>
    </cfRule>
  </conditionalFormatting>
  <conditionalFormatting sqref="L2:L65">
    <cfRule type="cellIs" priority="4" operator="equal" aboveAverage="0" equalAverage="0" bottom="0" percent="0" rank="0" text="" dxfId="11">
      <formula>"N"</formula>
    </cfRule>
  </conditionalFormatting>
  <conditionalFormatting sqref="N2:N65">
    <cfRule type="cellIs" priority="5" operator="equal" aboveAverage="0" equalAverage="0" bottom="0" percent="0" rank="0" text="" dxfId="12">
      <formula>"Partner"</formula>
    </cfRule>
    <cfRule type="cellIs" priority="6" operator="equal" aboveAverage="0" equalAverage="0" bottom="0" percent="0" rank="0" text="" dxfId="13">
      <formula>"Declined"</formula>
    </cfRule>
  </conditionalFormatting>
  <dataValidations count="2">
    <dataValidation allowBlank="true" error="Pick a status from the list" errorStyle="stop" errorTitle="Status" operator="between" prompt="Not started / Contacted / Applied / Booked / Partner / Declined" promptTitle="Status" showDropDown="false" showErrorMessage="true" showInputMessage="true" sqref="N2:N265" type="list">
      <formula1>"Not started,Contacted,Applied,Booked,Partner,Declined"</formula1>
      <formula2>0</formula2>
    </dataValidation>
    <dataValidation allowBlank="true" error="Enter a date (yyyy-mm-dd)" errorStyle="stop" operator="greaterThan" showDropDown="false" showErrorMessage="true" showInputMessage="false" sqref="P2:P265" type="date">
      <formula1>DATE(2026,1,1)</formula1>
      <formula2>0</formula2>
    </dataValidation>
  </dataValidations>
  <hyperlinks>
    <hyperlink ref="K2" r:id="rId1" display="https://www.ptotoday.com"/>
    <hyperlink ref="K3" r:id="rId2" display="https://1000booksbeforekindergarten.org"/>
    <hyperlink ref="K4" r:id="rId3" display="https://classwallet.com"/>
    <hyperlink ref="K5" r:id="rId4" display="https://greathomeschoolconventions.com"/>
    <hyperlink ref="K6" r:id="rId5" display="https://microschoolingcenter.org"/>
    <hyperlink ref="K7" r:id="rId6" display="https://withodyssey.com"/>
    <hyperlink ref="K8" r:id="rId7" display="https://www.bewildandfree.org"/>
    <hyperlink ref="K9" r:id="rId8" display="https://www.1000hoursoutside.com"/>
    <hyperlink ref="K10" r:id="rId9" display="https://www.homeschoolbuyersco-op.org"/>
    <hyperlink ref="K11" r:id="rId10" display="https://heav.org"/>
    <hyperlink ref="K12" r:id="rId11" display="https://fpea.com"/>
    <hyperlink ref="K13" r:id="rId12" display="https://www.pta.org"/>
    <hyperlink ref="K14" r:id="rId13" display="https://screenfree.org"/>
    <hyperlink ref="K15" r:id="rId14" display="https://www.allprodad.com"/>
    <hyperlink ref="K16" r:id="rId15" display="https://bluestarfam.org"/>
    <hyperlink ref="K17" r:id="rId16" display="https://www.themom.co"/>
    <hyperlink ref="K18" r:id="rId17" display="https://www.multiplesofamerica.org"/>
    <hyperlink ref="K19" r:id="rId18" display="https://www.ap-od.org"/>
    <hyperlink ref="K20" r:id="rId19" display="https://www.asymca.org"/>
    <hyperlink ref="K21" r:id="rId20" display="https://www.homeschool.com"/>
    <hyperlink ref="K22" r:id="rId21" display="https://hslda.org"/>
    <hyperlink ref="K23" r:id="rId22" display="https://www.militarychild.org"/>
    <hyperlink ref="K24" r:id="rId23" display="https://www.nafsce.org"/>
    <hyperlink ref="K25" r:id="rId24" display="https://www.nationaldayofunplugging.com"/>
    <hyperlink ref="K26" r:id="rId25" display="https://www.operationhomefront.org"/>
    <hyperlink ref="K27" r:id="rId26" display="https://www.seahomeschoolers.com"/>
    <hyperlink ref="K28" r:id="rId27" display="https://www.teachthemdiligently.net"/>
    <hyperlink ref="K29" r:id="rId28" display="https://www.theoldschoolhouse.com"/>
    <hyperlink ref="K30" r:id="rId29" display="https://www.wastatepta.org"/>
    <hyperlink ref="K31" r:id="rId30" display="https://www.afhe.org"/>
    <hyperlink ref="K32" r:id="rId31" display="https://www.capta.org"/>
    <hyperlink ref="K33" r:id="rId32" display="https://www.cheaofca.org"/>
    <hyperlink ref="K34" r:id="rId33" display="https://www.floridapta.org"/>
    <hyperlink ref="K35" r:id="rId34" display="https://www.hsc.org"/>
    <hyperlink ref="K36" r:id="rId35" display="https://www.machemd.org"/>
    <hyperlink ref="K37" r:id="rId36" display="https://nyspta.org"/>
    <hyperlink ref="K38" r:id="rId37" display="https://thsc.org"/>
    <hyperlink ref="K39" r:id="rId38" display="https://www.txpta.org"/>
    <hyperlink ref="K40" r:id="rId39" display="https://www.vapta.org"/>
    <hyperlink ref="K41" r:id="rId40" display="https://www.chaponline.com"/>
    <hyperlink ref="K42" r:id="rId41" display="https://www.chec.org"/>
    <hyperlink ref="K43" r:id="rId42" display="https://www.nche.com"/>
    <hyperlink ref="K44" r:id="rId43" display="https://www.mochamoms.org"/>
    <hyperlink ref="K45" r:id="rId44" display="https://www.momsclub.org"/>
    <hyperlink ref="K46" r:id="rId45" display="https://www.screensanity.org"/>
    <hyperlink ref="K47" r:id="rId46" display="https://unidosus.org"/>
    <hyperlink ref="K48" r:id="rId47" display="https://www.childrenandnature.org"/>
    <hyperlink ref="K49" r:id="rId48" display="https://www.colorincolorado.org"/>
    <hyperlink ref="K50" r:id="rId49" display="https://www.gu.org"/>
    <hyperlink ref="K51" r:id="rId50" display="https://www.kaipodlearning.com"/>
    <hyperlink ref="K52" r:id="rId51" display="https://letgrow.org"/>
    <hyperlink ref="K53" r:id="rId52" display="https://fathers.com"/>
    <hyperlink ref="K54" r:id="rId53" display="https://www.fatherhood.org"/>
    <hyperlink ref="K55" r:id="rId54" display="https://www.militaryfamily.org"/>
    <hyperlink ref="K56" r:id="rId55" display="https://www.piqe.org"/>
    <hyperlink ref="K57" r:id="rId56" display="https://www.screenstrong.org"/>
    <hyperlink ref="K58" r:id="rId57" display="https://www.smartphonefreechildhoodus.com"/>
    <hyperlink ref="K59" r:id="rId58" display="https://anxiousgeneration.com"/>
    <hyperlink ref="K60" r:id="rId59" display="https://www.waituntil8th.org"/>
    <hyperlink ref="K61" r:id="rId60" display="https://www.wildflowerschools.org"/>
    <hyperlink ref="K62" r:id="rId61" display="https://www.familiesinschools.org"/>
    <hyperlink ref="K63" r:id="rId62" display="https://www.illinoispta.org"/>
    <hyperlink ref="K64" r:id="rId63" display="https://www.papta.org"/>
    <hyperlink ref="K65" r:id="rId64" display="https://www.mdpta.org"/>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6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34"/>
    <col collapsed="false" customWidth="true" hidden="false" outlineLevel="0" max="6" min="6" style="0" width="38"/>
    <col collapsed="false" customWidth="true" hidden="false" outlineLevel="0" max="7" min="7" style="0" width="32"/>
    <col collapsed="false" customWidth="true" hidden="false" outlineLevel="0" max="8" min="8" style="0" width="28"/>
    <col collapsed="false" customWidth="true" hidden="false" outlineLevel="0" max="9" min="9" style="0" width="40"/>
    <col collapsed="false" customWidth="true" hidden="false" outlineLevel="0" max="11" min="10" style="0" width="32"/>
    <col collapsed="false" customWidth="true" hidden="false" outlineLevel="0" max="12" min="12" style="0" width="11"/>
    <col collapsed="false" customWidth="true" hidden="false" outlineLevel="0" max="13" min="13" style="0" width="70"/>
    <col collapsed="false" customWidth="true" hidden="false" outlineLevel="0" max="14" min="14" style="0" width="14"/>
    <col collapsed="false" customWidth="true" hidden="false" outlineLevel="0" max="15" min="15" style="0" width="42"/>
    <col collapsed="false" customWidth="true" hidden="false" outlineLevel="0" max="16" min="16" style="0" width="12"/>
  </cols>
  <sheetData>
    <row r="1" customFormat="false" ht="30" hidden="false" customHeight="true" outlineLevel="0" collapsed="false">
      <c r="A1" s="6" t="s">
        <v>45</v>
      </c>
      <c r="B1" s="5" t="s">
        <v>46</v>
      </c>
      <c r="C1" s="5" t="s">
        <v>47</v>
      </c>
      <c r="D1" s="5" t="s">
        <v>48</v>
      </c>
      <c r="E1" s="5" t="s">
        <v>49</v>
      </c>
      <c r="F1" s="5" t="s">
        <v>50</v>
      </c>
      <c r="G1" s="5" t="s">
        <v>51</v>
      </c>
      <c r="H1" s="5" t="s">
        <v>52</v>
      </c>
      <c r="I1" s="5" t="s">
        <v>53</v>
      </c>
      <c r="J1" s="5" t="s">
        <v>54</v>
      </c>
      <c r="K1" s="5" t="s">
        <v>55</v>
      </c>
      <c r="L1" s="6" t="s">
        <v>56</v>
      </c>
      <c r="M1" s="5" t="s">
        <v>57</v>
      </c>
      <c r="N1" s="5" t="s">
        <v>58</v>
      </c>
      <c r="O1" s="5" t="s">
        <v>59</v>
      </c>
      <c r="P1" s="6" t="s">
        <v>60</v>
      </c>
    </row>
    <row r="2" customFormat="false" ht="80.25" hidden="false" customHeight="true" outlineLevel="0" collapsed="false">
      <c r="A2" s="15" t="n">
        <v>5</v>
      </c>
      <c r="B2" s="16" t="s">
        <v>122</v>
      </c>
      <c r="C2" s="17" t="s">
        <v>111</v>
      </c>
      <c r="D2" s="17" t="s">
        <v>123</v>
      </c>
      <c r="E2" s="17" t="s">
        <v>124</v>
      </c>
      <c r="F2" s="17" t="s">
        <v>125</v>
      </c>
      <c r="G2" s="17" t="s">
        <v>126</v>
      </c>
      <c r="H2" s="17" t="s">
        <v>127</v>
      </c>
      <c r="I2" s="17" t="s">
        <v>128</v>
      </c>
      <c r="J2" s="17" t="s">
        <v>129</v>
      </c>
      <c r="K2" s="18" t="s">
        <v>130</v>
      </c>
      <c r="L2" s="15" t="s">
        <v>131</v>
      </c>
      <c r="M2" s="17" t="s">
        <v>2234</v>
      </c>
      <c r="N2" s="19" t="s">
        <v>73</v>
      </c>
      <c r="O2" s="19" t="s">
        <v>133</v>
      </c>
      <c r="P2" s="20"/>
    </row>
    <row r="3" customFormat="false" ht="42" hidden="false" customHeight="true" outlineLevel="0" collapsed="false">
      <c r="A3" s="15" t="n">
        <v>4</v>
      </c>
      <c r="B3" s="16" t="s">
        <v>454</v>
      </c>
      <c r="C3" s="17" t="s">
        <v>62</v>
      </c>
      <c r="D3" s="17" t="s">
        <v>455</v>
      </c>
      <c r="E3" s="17" t="s">
        <v>456</v>
      </c>
      <c r="F3" s="17" t="s">
        <v>457</v>
      </c>
      <c r="G3" s="17" t="s">
        <v>458</v>
      </c>
      <c r="H3" s="17" t="s">
        <v>459</v>
      </c>
      <c r="I3" s="17" t="s">
        <v>413</v>
      </c>
      <c r="J3" s="17" t="s">
        <v>460</v>
      </c>
      <c r="K3" s="18" t="s">
        <v>461</v>
      </c>
      <c r="L3" s="15" t="s">
        <v>131</v>
      </c>
      <c r="M3" s="17" t="s">
        <v>2235</v>
      </c>
      <c r="N3" s="19" t="s">
        <v>73</v>
      </c>
      <c r="O3" s="19" t="s">
        <v>463</v>
      </c>
      <c r="P3" s="20"/>
    </row>
    <row r="4" customFormat="false" ht="54.75" hidden="false" customHeight="true" outlineLevel="0" collapsed="false">
      <c r="A4" s="15" t="n">
        <v>4</v>
      </c>
      <c r="B4" s="16" t="s">
        <v>464</v>
      </c>
      <c r="C4" s="17" t="s">
        <v>111</v>
      </c>
      <c r="D4" s="17" t="s">
        <v>455</v>
      </c>
      <c r="E4" s="17" t="s">
        <v>465</v>
      </c>
      <c r="F4" s="17" t="s">
        <v>466</v>
      </c>
      <c r="G4" s="17" t="s">
        <v>467</v>
      </c>
      <c r="H4" s="17" t="s">
        <v>468</v>
      </c>
      <c r="I4" s="17" t="s">
        <v>469</v>
      </c>
      <c r="J4" s="17" t="s">
        <v>470</v>
      </c>
      <c r="K4" s="18" t="s">
        <v>471</v>
      </c>
      <c r="L4" s="15" t="s">
        <v>131</v>
      </c>
      <c r="M4" s="17" t="s">
        <v>2236</v>
      </c>
      <c r="N4" s="19" t="s">
        <v>73</v>
      </c>
      <c r="O4" s="19" t="s">
        <v>463</v>
      </c>
      <c r="P4" s="20"/>
    </row>
    <row r="5" customFormat="false" ht="42" hidden="false" customHeight="true" outlineLevel="0" collapsed="false">
      <c r="A5" s="15" t="n">
        <v>4</v>
      </c>
      <c r="B5" s="16" t="s">
        <v>473</v>
      </c>
      <c r="C5" s="17" t="s">
        <v>111</v>
      </c>
      <c r="D5" s="17" t="s">
        <v>474</v>
      </c>
      <c r="E5" s="17" t="s">
        <v>475</v>
      </c>
      <c r="F5" s="17" t="s">
        <v>476</v>
      </c>
      <c r="G5" s="17" t="s">
        <v>477</v>
      </c>
      <c r="H5" s="17" t="s">
        <v>478</v>
      </c>
      <c r="I5" s="17" t="s">
        <v>479</v>
      </c>
      <c r="J5" s="17" t="s">
        <v>480</v>
      </c>
      <c r="K5" s="18" t="s">
        <v>481</v>
      </c>
      <c r="L5" s="15" t="s">
        <v>131</v>
      </c>
      <c r="M5" s="17" t="s">
        <v>2237</v>
      </c>
      <c r="N5" s="19" t="s">
        <v>73</v>
      </c>
      <c r="O5" s="19" t="s">
        <v>463</v>
      </c>
      <c r="P5" s="20"/>
    </row>
    <row r="6" customFormat="false" ht="67.5" hidden="false" customHeight="true" outlineLevel="0" collapsed="false">
      <c r="A6" s="15" t="n">
        <v>4</v>
      </c>
      <c r="B6" s="16" t="s">
        <v>483</v>
      </c>
      <c r="C6" s="17" t="s">
        <v>111</v>
      </c>
      <c r="D6" s="17" t="s">
        <v>484</v>
      </c>
      <c r="E6" s="17" t="s">
        <v>485</v>
      </c>
      <c r="F6" s="17" t="s">
        <v>486</v>
      </c>
      <c r="G6" s="17" t="s">
        <v>487</v>
      </c>
      <c r="H6" s="17" t="s">
        <v>488</v>
      </c>
      <c r="I6" s="17" t="s">
        <v>489</v>
      </c>
      <c r="J6" s="17" t="s">
        <v>490</v>
      </c>
      <c r="K6" s="18" t="s">
        <v>491</v>
      </c>
      <c r="L6" s="15" t="s">
        <v>131</v>
      </c>
      <c r="M6" s="17" t="s">
        <v>2238</v>
      </c>
      <c r="N6" s="19" t="s">
        <v>73</v>
      </c>
      <c r="O6" s="19" t="s">
        <v>463</v>
      </c>
      <c r="P6" s="20"/>
    </row>
    <row r="7" customFormat="false" ht="42" hidden="false" customHeight="true" outlineLevel="0" collapsed="false">
      <c r="A7" s="15" t="n">
        <v>4</v>
      </c>
      <c r="B7" s="16" t="s">
        <v>493</v>
      </c>
      <c r="C7" s="17" t="s">
        <v>111</v>
      </c>
      <c r="D7" s="17" t="s">
        <v>455</v>
      </c>
      <c r="E7" s="17" t="s">
        <v>494</v>
      </c>
      <c r="F7" s="17" t="s">
        <v>495</v>
      </c>
      <c r="G7" s="17" t="s">
        <v>496</v>
      </c>
      <c r="H7" s="17" t="s">
        <v>497</v>
      </c>
      <c r="I7" s="17" t="s">
        <v>498</v>
      </c>
      <c r="J7" s="17" t="s">
        <v>499</v>
      </c>
      <c r="K7" s="18" t="s">
        <v>500</v>
      </c>
      <c r="L7" s="15" t="s">
        <v>131</v>
      </c>
      <c r="M7" s="17" t="s">
        <v>2239</v>
      </c>
      <c r="N7" s="19" t="s">
        <v>73</v>
      </c>
      <c r="O7" s="19" t="s">
        <v>463</v>
      </c>
      <c r="P7" s="20"/>
    </row>
    <row r="8" customFormat="false" ht="54.75" hidden="false" customHeight="true" outlineLevel="0" collapsed="false">
      <c r="A8" s="15" t="n">
        <v>4</v>
      </c>
      <c r="B8" s="16" t="s">
        <v>502</v>
      </c>
      <c r="C8" s="17" t="s">
        <v>277</v>
      </c>
      <c r="D8" s="17" t="s">
        <v>503</v>
      </c>
      <c r="E8" s="17" t="s">
        <v>504</v>
      </c>
      <c r="F8" s="17" t="s">
        <v>505</v>
      </c>
      <c r="G8" s="17" t="s">
        <v>506</v>
      </c>
      <c r="H8" s="17" t="s">
        <v>507</v>
      </c>
      <c r="I8" s="17" t="s">
        <v>508</v>
      </c>
      <c r="J8" s="17" t="s">
        <v>509</v>
      </c>
      <c r="K8" s="18" t="s">
        <v>510</v>
      </c>
      <c r="L8" s="15" t="s">
        <v>131</v>
      </c>
      <c r="M8" s="17" t="s">
        <v>2240</v>
      </c>
      <c r="N8" s="19" t="s">
        <v>73</v>
      </c>
      <c r="O8" s="19" t="s">
        <v>512</v>
      </c>
      <c r="P8" s="20"/>
    </row>
    <row r="9" customFormat="false" ht="67.5" hidden="false" customHeight="true" outlineLevel="0" collapsed="false">
      <c r="A9" s="15" t="n">
        <v>4</v>
      </c>
      <c r="B9" s="16" t="s">
        <v>513</v>
      </c>
      <c r="C9" s="17" t="s">
        <v>277</v>
      </c>
      <c r="D9" s="17" t="s">
        <v>503</v>
      </c>
      <c r="E9" s="17" t="s">
        <v>514</v>
      </c>
      <c r="F9" s="17" t="s">
        <v>515</v>
      </c>
      <c r="G9" s="17" t="s">
        <v>516</v>
      </c>
      <c r="H9" s="17" t="s">
        <v>517</v>
      </c>
      <c r="I9" s="17" t="s">
        <v>518</v>
      </c>
      <c r="J9" s="17" t="s">
        <v>519</v>
      </c>
      <c r="K9" s="18" t="s">
        <v>520</v>
      </c>
      <c r="L9" s="15" t="s">
        <v>131</v>
      </c>
      <c r="M9" s="17" t="s">
        <v>2241</v>
      </c>
      <c r="N9" s="19" t="s">
        <v>73</v>
      </c>
      <c r="O9" s="19" t="s">
        <v>463</v>
      </c>
      <c r="P9" s="20"/>
    </row>
    <row r="10" customFormat="false" ht="54.75" hidden="false" customHeight="true" outlineLevel="0" collapsed="false">
      <c r="A10" s="15" t="n">
        <v>3</v>
      </c>
      <c r="B10" s="16" t="s">
        <v>974</v>
      </c>
      <c r="C10" s="17" t="s">
        <v>111</v>
      </c>
      <c r="D10" s="17" t="s">
        <v>975</v>
      </c>
      <c r="E10" s="17" t="s">
        <v>976</v>
      </c>
      <c r="F10" s="17" t="s">
        <v>977</v>
      </c>
      <c r="G10" s="17" t="s">
        <v>978</v>
      </c>
      <c r="H10" s="17" t="s">
        <v>979</v>
      </c>
      <c r="I10" s="17" t="s">
        <v>980</v>
      </c>
      <c r="J10" s="17" t="s">
        <v>981</v>
      </c>
      <c r="K10" s="18" t="s">
        <v>982</v>
      </c>
      <c r="L10" s="15" t="s">
        <v>131</v>
      </c>
      <c r="M10" s="17" t="s">
        <v>2242</v>
      </c>
      <c r="N10" s="19" t="s">
        <v>73</v>
      </c>
      <c r="O10" s="19" t="s">
        <v>463</v>
      </c>
      <c r="P10" s="20"/>
    </row>
    <row r="11" customFormat="false" ht="42" hidden="false" customHeight="true" outlineLevel="0" collapsed="false">
      <c r="A11" s="15" t="n">
        <v>3</v>
      </c>
      <c r="B11" s="16" t="s">
        <v>1097</v>
      </c>
      <c r="C11" s="17" t="s">
        <v>111</v>
      </c>
      <c r="D11" s="17" t="s">
        <v>455</v>
      </c>
      <c r="E11" s="17" t="s">
        <v>1098</v>
      </c>
      <c r="F11" s="17" t="s">
        <v>1099</v>
      </c>
      <c r="G11" s="17" t="s">
        <v>1100</v>
      </c>
      <c r="H11" s="17" t="s">
        <v>1101</v>
      </c>
      <c r="I11" s="17" t="s">
        <v>413</v>
      </c>
      <c r="J11" s="17" t="s">
        <v>1102</v>
      </c>
      <c r="K11" s="18" t="s">
        <v>1103</v>
      </c>
      <c r="L11" s="15" t="s">
        <v>131</v>
      </c>
      <c r="M11" s="17" t="s">
        <v>2243</v>
      </c>
      <c r="N11" s="19" t="s">
        <v>73</v>
      </c>
      <c r="O11" s="19" t="s">
        <v>463</v>
      </c>
      <c r="P11" s="20"/>
    </row>
    <row r="12" customFormat="false" ht="42" hidden="false" customHeight="true" outlineLevel="0" collapsed="false">
      <c r="A12" s="15" t="n">
        <v>3</v>
      </c>
      <c r="B12" s="16" t="s">
        <v>1105</v>
      </c>
      <c r="C12" s="17" t="s">
        <v>111</v>
      </c>
      <c r="D12" s="17" t="s">
        <v>474</v>
      </c>
      <c r="E12" s="17" t="s">
        <v>1106</v>
      </c>
      <c r="F12" s="17" t="s">
        <v>1107</v>
      </c>
      <c r="G12" s="17" t="s">
        <v>1108</v>
      </c>
      <c r="H12" s="17" t="s">
        <v>1109</v>
      </c>
      <c r="I12" s="17" t="s">
        <v>413</v>
      </c>
      <c r="J12" s="17" t="s">
        <v>413</v>
      </c>
      <c r="K12" s="18" t="s">
        <v>1110</v>
      </c>
      <c r="L12" s="15" t="s">
        <v>131</v>
      </c>
      <c r="M12" s="17" t="s">
        <v>2244</v>
      </c>
      <c r="N12" s="19" t="s">
        <v>73</v>
      </c>
      <c r="O12" s="19" t="s">
        <v>463</v>
      </c>
      <c r="P12" s="20"/>
    </row>
    <row r="13" customFormat="false" ht="42" hidden="false" customHeight="true" outlineLevel="0" collapsed="false">
      <c r="A13" s="15" t="n">
        <v>3</v>
      </c>
      <c r="B13" s="16" t="s">
        <v>1112</v>
      </c>
      <c r="C13" s="17" t="s">
        <v>111</v>
      </c>
      <c r="D13" s="17" t="s">
        <v>1113</v>
      </c>
      <c r="E13" s="17" t="s">
        <v>1114</v>
      </c>
      <c r="F13" s="17" t="s">
        <v>1115</v>
      </c>
      <c r="G13" s="17" t="s">
        <v>1116</v>
      </c>
      <c r="H13" s="17" t="s">
        <v>1117</v>
      </c>
      <c r="I13" s="17" t="s">
        <v>413</v>
      </c>
      <c r="J13" s="17" t="s">
        <v>413</v>
      </c>
      <c r="K13" s="18" t="s">
        <v>1118</v>
      </c>
      <c r="L13" s="15" t="s">
        <v>131</v>
      </c>
      <c r="M13" s="17" t="s">
        <v>2245</v>
      </c>
      <c r="N13" s="19" t="s">
        <v>73</v>
      </c>
      <c r="O13" s="19" t="s">
        <v>463</v>
      </c>
      <c r="P13" s="20"/>
    </row>
    <row r="14" customFormat="false" ht="42" hidden="false" customHeight="true" outlineLevel="0" collapsed="false">
      <c r="A14" s="15" t="n">
        <v>3</v>
      </c>
      <c r="B14" s="16" t="s">
        <v>1120</v>
      </c>
      <c r="C14" s="17" t="s">
        <v>111</v>
      </c>
      <c r="D14" s="17" t="s">
        <v>1121</v>
      </c>
      <c r="E14" s="17" t="s">
        <v>1122</v>
      </c>
      <c r="F14" s="17" t="s">
        <v>1123</v>
      </c>
      <c r="G14" s="17" t="s">
        <v>1124</v>
      </c>
      <c r="H14" s="17" t="s">
        <v>1125</v>
      </c>
      <c r="I14" s="17" t="s">
        <v>413</v>
      </c>
      <c r="J14" s="17" t="s">
        <v>1126</v>
      </c>
      <c r="K14" s="18" t="s">
        <v>1127</v>
      </c>
      <c r="L14" s="15" t="s">
        <v>131</v>
      </c>
      <c r="M14" s="17" t="s">
        <v>2246</v>
      </c>
      <c r="N14" s="19" t="s">
        <v>73</v>
      </c>
      <c r="O14" s="19" t="s">
        <v>463</v>
      </c>
      <c r="P14" s="20"/>
    </row>
    <row r="15" customFormat="false" ht="42" hidden="false" customHeight="true" outlineLevel="0" collapsed="false">
      <c r="A15" s="15" t="n">
        <v>3</v>
      </c>
      <c r="B15" s="16" t="s">
        <v>1129</v>
      </c>
      <c r="C15" s="17" t="s">
        <v>111</v>
      </c>
      <c r="D15" s="17" t="s">
        <v>503</v>
      </c>
      <c r="E15" s="17" t="s">
        <v>1130</v>
      </c>
      <c r="F15" s="17" t="s">
        <v>1131</v>
      </c>
      <c r="G15" s="17" t="s">
        <v>1132</v>
      </c>
      <c r="H15" s="17" t="s">
        <v>1133</v>
      </c>
      <c r="I15" s="17" t="s">
        <v>413</v>
      </c>
      <c r="J15" s="17" t="s">
        <v>1134</v>
      </c>
      <c r="K15" s="18" t="s">
        <v>1135</v>
      </c>
      <c r="L15" s="15" t="s">
        <v>131</v>
      </c>
      <c r="M15" s="17" t="s">
        <v>2247</v>
      </c>
      <c r="N15" s="19" t="s">
        <v>73</v>
      </c>
      <c r="O15" s="19" t="s">
        <v>463</v>
      </c>
      <c r="P15" s="20"/>
    </row>
    <row r="16" customFormat="false" ht="54.75" hidden="false" customHeight="true" outlineLevel="0" collapsed="false">
      <c r="A16" s="15" t="n">
        <v>3</v>
      </c>
      <c r="B16" s="16" t="s">
        <v>1137</v>
      </c>
      <c r="C16" s="17" t="s">
        <v>111</v>
      </c>
      <c r="D16" s="17" t="s">
        <v>1138</v>
      </c>
      <c r="E16" s="17" t="s">
        <v>1139</v>
      </c>
      <c r="F16" s="17" t="s">
        <v>1140</v>
      </c>
      <c r="G16" s="17" t="s">
        <v>1141</v>
      </c>
      <c r="H16" s="17" t="s">
        <v>1142</v>
      </c>
      <c r="I16" s="17" t="s">
        <v>413</v>
      </c>
      <c r="J16" s="17" t="s">
        <v>1143</v>
      </c>
      <c r="K16" s="18" t="s">
        <v>1144</v>
      </c>
      <c r="L16" s="15" t="s">
        <v>131</v>
      </c>
      <c r="M16" s="17" t="s">
        <v>2248</v>
      </c>
      <c r="N16" s="19" t="s">
        <v>73</v>
      </c>
      <c r="O16" s="19" t="s">
        <v>463</v>
      </c>
      <c r="P16" s="20"/>
    </row>
    <row r="17" customFormat="false" ht="42" hidden="false" customHeight="true" outlineLevel="0" collapsed="false">
      <c r="A17" s="15" t="n">
        <v>3</v>
      </c>
      <c r="B17" s="16" t="s">
        <v>1146</v>
      </c>
      <c r="C17" s="17" t="s">
        <v>62</v>
      </c>
      <c r="D17" s="17" t="s">
        <v>1147</v>
      </c>
      <c r="E17" s="17" t="s">
        <v>1148</v>
      </c>
      <c r="F17" s="17" t="s">
        <v>1149</v>
      </c>
      <c r="G17" s="17" t="s">
        <v>1150</v>
      </c>
      <c r="H17" s="17" t="s">
        <v>1151</v>
      </c>
      <c r="I17" s="17" t="s">
        <v>413</v>
      </c>
      <c r="J17" s="17" t="s">
        <v>413</v>
      </c>
      <c r="K17" s="18" t="s">
        <v>1152</v>
      </c>
      <c r="L17" s="15" t="s">
        <v>131</v>
      </c>
      <c r="M17" s="17" t="s">
        <v>2249</v>
      </c>
      <c r="N17" s="19" t="s">
        <v>73</v>
      </c>
      <c r="O17" s="19" t="s">
        <v>463</v>
      </c>
      <c r="P17" s="20"/>
    </row>
    <row r="18" customFormat="false" ht="54.75" hidden="false" customHeight="true" outlineLevel="0" collapsed="false">
      <c r="A18" s="15" t="n">
        <v>3</v>
      </c>
      <c r="B18" s="16" t="s">
        <v>1154</v>
      </c>
      <c r="C18" s="17" t="s">
        <v>111</v>
      </c>
      <c r="D18" s="17" t="s">
        <v>474</v>
      </c>
      <c r="E18" s="17" t="s">
        <v>1155</v>
      </c>
      <c r="F18" s="17" t="s">
        <v>1156</v>
      </c>
      <c r="G18" s="17" t="s">
        <v>1157</v>
      </c>
      <c r="H18" s="17" t="s">
        <v>1158</v>
      </c>
      <c r="I18" s="17" t="s">
        <v>479</v>
      </c>
      <c r="J18" s="17" t="s">
        <v>1159</v>
      </c>
      <c r="K18" s="18" t="s">
        <v>1160</v>
      </c>
      <c r="L18" s="15" t="s">
        <v>131</v>
      </c>
      <c r="M18" s="17" t="s">
        <v>2250</v>
      </c>
      <c r="N18" s="19" t="s">
        <v>73</v>
      </c>
      <c r="O18" s="19" t="s">
        <v>463</v>
      </c>
      <c r="P18" s="20"/>
    </row>
    <row r="19" customFormat="false" ht="54.75" hidden="false" customHeight="true" outlineLevel="0" collapsed="false">
      <c r="A19" s="15" t="n">
        <v>3</v>
      </c>
      <c r="B19" s="16" t="s">
        <v>1162</v>
      </c>
      <c r="C19" s="17" t="s">
        <v>111</v>
      </c>
      <c r="D19" s="17" t="s">
        <v>503</v>
      </c>
      <c r="E19" s="17" t="s">
        <v>1163</v>
      </c>
      <c r="F19" s="17" t="s">
        <v>1164</v>
      </c>
      <c r="G19" s="17" t="s">
        <v>1165</v>
      </c>
      <c r="H19" s="17" t="s">
        <v>1166</v>
      </c>
      <c r="I19" s="17" t="s">
        <v>413</v>
      </c>
      <c r="J19" s="17" t="s">
        <v>1167</v>
      </c>
      <c r="K19" s="18" t="s">
        <v>1168</v>
      </c>
      <c r="L19" s="15" t="s">
        <v>131</v>
      </c>
      <c r="M19" s="17" t="s">
        <v>2251</v>
      </c>
      <c r="N19" s="19" t="s">
        <v>73</v>
      </c>
      <c r="O19" s="19" t="s">
        <v>463</v>
      </c>
      <c r="P19" s="20"/>
    </row>
    <row r="20" customFormat="false" ht="54.75" hidden="false" customHeight="true" outlineLevel="0" collapsed="false">
      <c r="A20" s="15" t="n">
        <v>3</v>
      </c>
      <c r="B20" s="16" t="s">
        <v>1170</v>
      </c>
      <c r="C20" s="17" t="s">
        <v>111</v>
      </c>
      <c r="D20" s="17" t="s">
        <v>503</v>
      </c>
      <c r="E20" s="17" t="s">
        <v>1171</v>
      </c>
      <c r="F20" s="17" t="s">
        <v>1172</v>
      </c>
      <c r="G20" s="17" t="s">
        <v>1173</v>
      </c>
      <c r="H20" s="17" t="s">
        <v>1174</v>
      </c>
      <c r="I20" s="17" t="s">
        <v>1175</v>
      </c>
      <c r="J20" s="17" t="s">
        <v>1176</v>
      </c>
      <c r="K20" s="18" t="s">
        <v>1177</v>
      </c>
      <c r="L20" s="15" t="s">
        <v>131</v>
      </c>
      <c r="M20" s="17" t="s">
        <v>2252</v>
      </c>
      <c r="N20" s="19" t="s">
        <v>73</v>
      </c>
      <c r="O20" s="19" t="s">
        <v>463</v>
      </c>
      <c r="P20" s="20"/>
    </row>
    <row r="21" customFormat="false" ht="42" hidden="false" customHeight="true" outlineLevel="0" collapsed="false">
      <c r="A21" s="15" t="n">
        <v>3</v>
      </c>
      <c r="B21" s="16" t="s">
        <v>1179</v>
      </c>
      <c r="C21" s="17" t="s">
        <v>111</v>
      </c>
      <c r="D21" s="17" t="s">
        <v>1180</v>
      </c>
      <c r="E21" s="17" t="s">
        <v>1181</v>
      </c>
      <c r="F21" s="17" t="s">
        <v>1182</v>
      </c>
      <c r="G21" s="17" t="s">
        <v>1183</v>
      </c>
      <c r="H21" s="17" t="s">
        <v>1184</v>
      </c>
      <c r="I21" s="17" t="s">
        <v>413</v>
      </c>
      <c r="J21" s="17" t="s">
        <v>460</v>
      </c>
      <c r="K21" s="18" t="s">
        <v>1185</v>
      </c>
      <c r="L21" s="15" t="s">
        <v>131</v>
      </c>
      <c r="M21" s="17" t="s">
        <v>2253</v>
      </c>
      <c r="N21" s="19" t="s">
        <v>73</v>
      </c>
      <c r="O21" s="19" t="s">
        <v>463</v>
      </c>
      <c r="P21" s="20"/>
    </row>
    <row r="22" customFormat="false" ht="54.75" hidden="false" customHeight="true" outlineLevel="0" collapsed="false">
      <c r="A22" s="15" t="n">
        <v>3</v>
      </c>
      <c r="B22" s="16" t="s">
        <v>1187</v>
      </c>
      <c r="C22" s="17" t="s">
        <v>277</v>
      </c>
      <c r="D22" s="17" t="s">
        <v>503</v>
      </c>
      <c r="E22" s="17" t="s">
        <v>1188</v>
      </c>
      <c r="F22" s="17" t="s">
        <v>1189</v>
      </c>
      <c r="G22" s="17" t="s">
        <v>1190</v>
      </c>
      <c r="H22" s="17" t="s">
        <v>1191</v>
      </c>
      <c r="I22" s="17" t="s">
        <v>1192</v>
      </c>
      <c r="J22" s="17" t="s">
        <v>1193</v>
      </c>
      <c r="K22" s="18" t="s">
        <v>1194</v>
      </c>
      <c r="L22" s="15" t="s">
        <v>131</v>
      </c>
      <c r="M22" s="17" t="s">
        <v>2254</v>
      </c>
      <c r="N22" s="19" t="s">
        <v>73</v>
      </c>
      <c r="O22" s="19" t="s">
        <v>463</v>
      </c>
      <c r="P22" s="20"/>
    </row>
    <row r="23" customFormat="false" ht="67.5" hidden="false" customHeight="true" outlineLevel="0" collapsed="false">
      <c r="A23" s="15" t="n">
        <v>3</v>
      </c>
      <c r="B23" s="16" t="s">
        <v>1196</v>
      </c>
      <c r="C23" s="17" t="s">
        <v>62</v>
      </c>
      <c r="D23" s="17" t="s">
        <v>1197</v>
      </c>
      <c r="E23" s="17" t="s">
        <v>1198</v>
      </c>
      <c r="F23" s="17" t="s">
        <v>1199</v>
      </c>
      <c r="G23" s="17" t="s">
        <v>1200</v>
      </c>
      <c r="H23" s="17" t="s">
        <v>1201</v>
      </c>
      <c r="I23" s="17" t="s">
        <v>1202</v>
      </c>
      <c r="J23" s="17" t="s">
        <v>460</v>
      </c>
      <c r="K23" s="18" t="s">
        <v>1203</v>
      </c>
      <c r="L23" s="15" t="s">
        <v>131</v>
      </c>
      <c r="M23" s="17" t="s">
        <v>2255</v>
      </c>
      <c r="N23" s="19" t="s">
        <v>73</v>
      </c>
      <c r="O23" s="19" t="s">
        <v>463</v>
      </c>
      <c r="P23" s="20"/>
    </row>
    <row r="24" customFormat="false" ht="42" hidden="false" customHeight="true" outlineLevel="0" collapsed="false">
      <c r="A24" s="15" t="n">
        <v>3</v>
      </c>
      <c r="B24" s="16" t="s">
        <v>1205</v>
      </c>
      <c r="C24" s="17" t="s">
        <v>62</v>
      </c>
      <c r="D24" s="17" t="s">
        <v>1121</v>
      </c>
      <c r="E24" s="17" t="s">
        <v>1206</v>
      </c>
      <c r="F24" s="17" t="s">
        <v>1207</v>
      </c>
      <c r="G24" s="17" t="s">
        <v>1208</v>
      </c>
      <c r="H24" s="17" t="s">
        <v>1209</v>
      </c>
      <c r="I24" s="17" t="s">
        <v>413</v>
      </c>
      <c r="J24" s="17" t="s">
        <v>413</v>
      </c>
      <c r="K24" s="18" t="s">
        <v>1210</v>
      </c>
      <c r="L24" s="15" t="s">
        <v>131</v>
      </c>
      <c r="M24" s="17" t="s">
        <v>2256</v>
      </c>
      <c r="N24" s="19" t="s">
        <v>73</v>
      </c>
      <c r="O24" s="19" t="s">
        <v>463</v>
      </c>
      <c r="P24" s="20"/>
    </row>
    <row r="25" customFormat="false" ht="42" hidden="false" customHeight="true" outlineLevel="0" collapsed="false">
      <c r="A25" s="15" t="n">
        <v>3</v>
      </c>
      <c r="B25" s="16" t="s">
        <v>1212</v>
      </c>
      <c r="C25" s="17" t="s">
        <v>111</v>
      </c>
      <c r="D25" s="17" t="s">
        <v>1138</v>
      </c>
      <c r="E25" s="17" t="s">
        <v>1213</v>
      </c>
      <c r="F25" s="17" t="s">
        <v>1214</v>
      </c>
      <c r="G25" s="17" t="s">
        <v>1183</v>
      </c>
      <c r="H25" s="17" t="s">
        <v>1184</v>
      </c>
      <c r="I25" s="17" t="s">
        <v>413</v>
      </c>
      <c r="J25" s="17" t="s">
        <v>460</v>
      </c>
      <c r="K25" s="18" t="s">
        <v>1215</v>
      </c>
      <c r="L25" s="15" t="s">
        <v>131</v>
      </c>
      <c r="M25" s="17" t="s">
        <v>2257</v>
      </c>
      <c r="N25" s="19" t="s">
        <v>73</v>
      </c>
      <c r="O25" s="19" t="s">
        <v>463</v>
      </c>
      <c r="P25" s="20"/>
    </row>
    <row r="26" customFormat="false" ht="42" hidden="false" customHeight="true" outlineLevel="0" collapsed="false">
      <c r="A26" s="15" t="n">
        <v>3</v>
      </c>
      <c r="B26" s="16" t="s">
        <v>1217</v>
      </c>
      <c r="C26" s="17" t="s">
        <v>111</v>
      </c>
      <c r="D26" s="17" t="s">
        <v>1121</v>
      </c>
      <c r="E26" s="17" t="s">
        <v>1218</v>
      </c>
      <c r="F26" s="17" t="s">
        <v>1219</v>
      </c>
      <c r="G26" s="17" t="s">
        <v>1220</v>
      </c>
      <c r="H26" s="17" t="s">
        <v>1221</v>
      </c>
      <c r="I26" s="17" t="s">
        <v>413</v>
      </c>
      <c r="J26" s="17" t="s">
        <v>413</v>
      </c>
      <c r="K26" s="18" t="s">
        <v>1222</v>
      </c>
      <c r="L26" s="15" t="s">
        <v>131</v>
      </c>
      <c r="M26" s="17" t="s">
        <v>2258</v>
      </c>
      <c r="N26" s="19" t="s">
        <v>73</v>
      </c>
      <c r="O26" s="19" t="s">
        <v>463</v>
      </c>
      <c r="P26" s="20"/>
    </row>
    <row r="27" customFormat="false" ht="42" hidden="false" customHeight="true" outlineLevel="0" collapsed="false">
      <c r="A27" s="15" t="n">
        <v>3</v>
      </c>
      <c r="B27" s="16" t="s">
        <v>1224</v>
      </c>
      <c r="C27" s="17" t="s">
        <v>277</v>
      </c>
      <c r="D27" s="17" t="s">
        <v>455</v>
      </c>
      <c r="E27" s="17" t="s">
        <v>1225</v>
      </c>
      <c r="F27" s="17" t="s">
        <v>1226</v>
      </c>
      <c r="G27" s="17" t="s">
        <v>1227</v>
      </c>
      <c r="H27" s="17" t="s">
        <v>1228</v>
      </c>
      <c r="I27" s="17" t="s">
        <v>489</v>
      </c>
      <c r="J27" s="17" t="s">
        <v>460</v>
      </c>
      <c r="K27" s="18" t="s">
        <v>1229</v>
      </c>
      <c r="L27" s="15" t="s">
        <v>131</v>
      </c>
      <c r="M27" s="17" t="s">
        <v>2259</v>
      </c>
      <c r="N27" s="19" t="s">
        <v>73</v>
      </c>
      <c r="O27" s="19" t="s">
        <v>463</v>
      </c>
      <c r="P27" s="20"/>
    </row>
    <row r="28" customFormat="false" ht="42" hidden="false" customHeight="true" outlineLevel="0" collapsed="false">
      <c r="A28" s="15" t="n">
        <v>3</v>
      </c>
      <c r="B28" s="16" t="s">
        <v>1422</v>
      </c>
      <c r="C28" s="17" t="s">
        <v>111</v>
      </c>
      <c r="D28" s="17" t="s">
        <v>1423</v>
      </c>
      <c r="E28" s="17" t="s">
        <v>1424</v>
      </c>
      <c r="F28" s="17" t="s">
        <v>1425</v>
      </c>
      <c r="G28" s="17" t="s">
        <v>1426</v>
      </c>
      <c r="H28" s="17" t="s">
        <v>1427</v>
      </c>
      <c r="I28" s="17" t="s">
        <v>1428</v>
      </c>
      <c r="J28" s="17" t="s">
        <v>1429</v>
      </c>
      <c r="K28" s="18" t="s">
        <v>1430</v>
      </c>
      <c r="L28" s="15" t="s">
        <v>131</v>
      </c>
      <c r="M28" s="17" t="s">
        <v>2260</v>
      </c>
      <c r="N28" s="19" t="s">
        <v>73</v>
      </c>
      <c r="O28" s="19" t="s">
        <v>463</v>
      </c>
      <c r="P28" s="20"/>
    </row>
    <row r="29" customFormat="false" ht="42" hidden="false" customHeight="true" outlineLevel="0" collapsed="false">
      <c r="A29" s="15" t="n">
        <v>3</v>
      </c>
      <c r="B29" s="16" t="s">
        <v>1432</v>
      </c>
      <c r="C29" s="17" t="s">
        <v>111</v>
      </c>
      <c r="D29" s="17" t="s">
        <v>1433</v>
      </c>
      <c r="E29" s="17" t="s">
        <v>1434</v>
      </c>
      <c r="F29" s="17" t="s">
        <v>1435</v>
      </c>
      <c r="G29" s="17" t="s">
        <v>1436</v>
      </c>
      <c r="H29" s="17" t="s">
        <v>1437</v>
      </c>
      <c r="I29" s="17" t="s">
        <v>413</v>
      </c>
      <c r="J29" s="17" t="s">
        <v>413</v>
      </c>
      <c r="K29" s="18" t="s">
        <v>1438</v>
      </c>
      <c r="L29" s="15" t="s">
        <v>131</v>
      </c>
      <c r="M29" s="17" t="s">
        <v>2261</v>
      </c>
      <c r="N29" s="19" t="s">
        <v>73</v>
      </c>
      <c r="O29" s="19" t="s">
        <v>463</v>
      </c>
      <c r="P29" s="20"/>
    </row>
    <row r="30" customFormat="false" ht="54.75" hidden="false" customHeight="true" outlineLevel="0" collapsed="false">
      <c r="A30" s="15" t="n">
        <v>3</v>
      </c>
      <c r="B30" s="16" t="s">
        <v>1440</v>
      </c>
      <c r="C30" s="17" t="s">
        <v>289</v>
      </c>
      <c r="D30" s="17" t="s">
        <v>1441</v>
      </c>
      <c r="E30" s="17" t="s">
        <v>1442</v>
      </c>
      <c r="F30" s="17" t="s">
        <v>1443</v>
      </c>
      <c r="G30" s="17" t="s">
        <v>1444</v>
      </c>
      <c r="H30" s="17" t="s">
        <v>1445</v>
      </c>
      <c r="I30" s="17" t="s">
        <v>1446</v>
      </c>
      <c r="J30" s="17" t="s">
        <v>1447</v>
      </c>
      <c r="K30" s="18" t="s">
        <v>1448</v>
      </c>
      <c r="L30" s="15" t="s">
        <v>131</v>
      </c>
      <c r="M30" s="17" t="s">
        <v>2262</v>
      </c>
      <c r="N30" s="19" t="s">
        <v>73</v>
      </c>
      <c r="O30" s="19" t="s">
        <v>1450</v>
      </c>
      <c r="P30" s="20"/>
    </row>
    <row r="31" customFormat="false" ht="42" hidden="false" customHeight="true" outlineLevel="0" collapsed="false">
      <c r="A31" s="15" t="n">
        <v>2</v>
      </c>
      <c r="B31" s="16" t="s">
        <v>1513</v>
      </c>
      <c r="C31" s="17" t="s">
        <v>111</v>
      </c>
      <c r="D31" s="17" t="s">
        <v>1514</v>
      </c>
      <c r="E31" s="17" t="s">
        <v>1515</v>
      </c>
      <c r="F31" s="17" t="s">
        <v>1516</v>
      </c>
      <c r="G31" s="17" t="s">
        <v>1517</v>
      </c>
      <c r="H31" s="17" t="s">
        <v>1518</v>
      </c>
      <c r="I31" s="17" t="s">
        <v>413</v>
      </c>
      <c r="J31" s="17" t="s">
        <v>1519</v>
      </c>
      <c r="K31" s="18" t="s">
        <v>1520</v>
      </c>
      <c r="L31" s="15" t="s">
        <v>131</v>
      </c>
      <c r="M31" s="17" t="s">
        <v>2263</v>
      </c>
      <c r="N31" s="19" t="s">
        <v>73</v>
      </c>
      <c r="O31" s="19" t="s">
        <v>463</v>
      </c>
      <c r="P31" s="20"/>
    </row>
    <row r="32" customFormat="false" ht="67.5" hidden="false" customHeight="true" outlineLevel="0" collapsed="false">
      <c r="A32" s="15" t="n">
        <v>2</v>
      </c>
      <c r="B32" s="16" t="s">
        <v>1582</v>
      </c>
      <c r="C32" s="17" t="s">
        <v>111</v>
      </c>
      <c r="D32" s="17" t="s">
        <v>1583</v>
      </c>
      <c r="E32" s="17" t="s">
        <v>1584</v>
      </c>
      <c r="F32" s="17" t="s">
        <v>1585</v>
      </c>
      <c r="G32" s="17" t="s">
        <v>1586</v>
      </c>
      <c r="H32" s="17" t="s">
        <v>1587</v>
      </c>
      <c r="I32" s="17" t="s">
        <v>413</v>
      </c>
      <c r="J32" s="17" t="s">
        <v>413</v>
      </c>
      <c r="K32" s="18" t="s">
        <v>1588</v>
      </c>
      <c r="L32" s="15" t="s">
        <v>131</v>
      </c>
      <c r="M32" s="17" t="s">
        <v>2264</v>
      </c>
      <c r="N32" s="19" t="s">
        <v>73</v>
      </c>
      <c r="O32" s="19" t="s">
        <v>1590</v>
      </c>
      <c r="P32" s="20"/>
    </row>
    <row r="33" customFormat="false" ht="42" hidden="false" customHeight="true" outlineLevel="0" collapsed="false">
      <c r="A33" s="15" t="n">
        <v>2</v>
      </c>
      <c r="B33" s="16" t="s">
        <v>1612</v>
      </c>
      <c r="C33" s="17" t="s">
        <v>111</v>
      </c>
      <c r="D33" s="17" t="s">
        <v>1583</v>
      </c>
      <c r="E33" s="17" t="s">
        <v>1613</v>
      </c>
      <c r="F33" s="17" t="s">
        <v>1614</v>
      </c>
      <c r="G33" s="17" t="s">
        <v>1615</v>
      </c>
      <c r="H33" s="17" t="s">
        <v>1616</v>
      </c>
      <c r="I33" s="17" t="s">
        <v>413</v>
      </c>
      <c r="J33" s="17" t="s">
        <v>413</v>
      </c>
      <c r="K33" s="18" t="s">
        <v>1617</v>
      </c>
      <c r="L33" s="15" t="s">
        <v>131</v>
      </c>
      <c r="M33" s="17" t="s">
        <v>2265</v>
      </c>
      <c r="N33" s="19" t="s">
        <v>73</v>
      </c>
      <c r="O33" s="19" t="s">
        <v>463</v>
      </c>
      <c r="P33" s="20"/>
    </row>
    <row r="34" customFormat="false" ht="42" hidden="false" customHeight="true" outlineLevel="0" collapsed="false">
      <c r="A34" s="15" t="n">
        <v>2</v>
      </c>
      <c r="B34" s="16" t="s">
        <v>1619</v>
      </c>
      <c r="C34" s="17" t="s">
        <v>289</v>
      </c>
      <c r="D34" s="17" t="s">
        <v>1620</v>
      </c>
      <c r="E34" s="17" t="s">
        <v>1621</v>
      </c>
      <c r="F34" s="17" t="s">
        <v>1622</v>
      </c>
      <c r="G34" s="17" t="s">
        <v>1623</v>
      </c>
      <c r="H34" s="17" t="s">
        <v>1624</v>
      </c>
      <c r="I34" s="17" t="s">
        <v>413</v>
      </c>
      <c r="J34" s="17" t="s">
        <v>1625</v>
      </c>
      <c r="K34" s="18" t="s">
        <v>1626</v>
      </c>
      <c r="L34" s="15" t="s">
        <v>131</v>
      </c>
      <c r="M34" s="17" t="s">
        <v>2266</v>
      </c>
      <c r="N34" s="19" t="s">
        <v>73</v>
      </c>
      <c r="O34" s="19" t="s">
        <v>463</v>
      </c>
      <c r="P34" s="20"/>
    </row>
    <row r="35" customFormat="false" ht="54.75" hidden="false" customHeight="true" outlineLevel="0" collapsed="false">
      <c r="A35" s="15" t="n">
        <v>2</v>
      </c>
      <c r="B35" s="16" t="s">
        <v>1672</v>
      </c>
      <c r="C35" s="17" t="s">
        <v>111</v>
      </c>
      <c r="D35" s="17" t="s">
        <v>1673</v>
      </c>
      <c r="E35" s="17" t="s">
        <v>1674</v>
      </c>
      <c r="F35" s="17" t="s">
        <v>1675</v>
      </c>
      <c r="G35" s="17" t="s">
        <v>1676</v>
      </c>
      <c r="H35" s="17" t="s">
        <v>1677</v>
      </c>
      <c r="I35" s="17" t="s">
        <v>413</v>
      </c>
      <c r="J35" s="17" t="s">
        <v>1678</v>
      </c>
      <c r="K35" s="18" t="s">
        <v>1679</v>
      </c>
      <c r="L35" s="15" t="s">
        <v>131</v>
      </c>
      <c r="M35" s="17" t="s">
        <v>2267</v>
      </c>
      <c r="N35" s="19" t="s">
        <v>73</v>
      </c>
      <c r="O35" s="19" t="s">
        <v>1681</v>
      </c>
      <c r="P35" s="20"/>
    </row>
    <row r="36" customFormat="false" ht="80.25" hidden="false" customHeight="true" outlineLevel="0" collapsed="false">
      <c r="A36" s="15" t="n">
        <v>2</v>
      </c>
      <c r="B36" s="16" t="s">
        <v>1690</v>
      </c>
      <c r="C36" s="17" t="s">
        <v>111</v>
      </c>
      <c r="D36" s="17" t="s">
        <v>1691</v>
      </c>
      <c r="E36" s="17" t="s">
        <v>1692</v>
      </c>
      <c r="F36" s="17" t="s">
        <v>1693</v>
      </c>
      <c r="G36" s="17" t="s">
        <v>1615</v>
      </c>
      <c r="H36" s="17" t="s">
        <v>1694</v>
      </c>
      <c r="I36" s="17" t="s">
        <v>413</v>
      </c>
      <c r="J36" s="17" t="s">
        <v>1695</v>
      </c>
      <c r="K36" s="18" t="s">
        <v>1696</v>
      </c>
      <c r="L36" s="15" t="s">
        <v>131</v>
      </c>
      <c r="M36" s="17" t="s">
        <v>2268</v>
      </c>
      <c r="N36" s="19" t="s">
        <v>73</v>
      </c>
      <c r="O36" s="19" t="s">
        <v>463</v>
      </c>
      <c r="P36" s="20"/>
    </row>
    <row r="37" customFormat="false" ht="54.75" hidden="false" customHeight="true" outlineLevel="0" collapsed="false">
      <c r="A37" s="15" t="n">
        <v>2</v>
      </c>
      <c r="B37" s="16" t="s">
        <v>1744</v>
      </c>
      <c r="C37" s="17" t="s">
        <v>832</v>
      </c>
      <c r="D37" s="17" t="s">
        <v>1745</v>
      </c>
      <c r="E37" s="17" t="s">
        <v>1746</v>
      </c>
      <c r="F37" s="17" t="s">
        <v>1747</v>
      </c>
      <c r="G37" s="17" t="s">
        <v>1748</v>
      </c>
      <c r="H37" s="17" t="s">
        <v>1749</v>
      </c>
      <c r="I37" s="17" t="s">
        <v>1750</v>
      </c>
      <c r="J37" s="17" t="s">
        <v>460</v>
      </c>
      <c r="K37" s="18" t="s">
        <v>1751</v>
      </c>
      <c r="L37" s="15" t="s">
        <v>131</v>
      </c>
      <c r="M37" s="17" t="s">
        <v>2269</v>
      </c>
      <c r="N37" s="19" t="s">
        <v>73</v>
      </c>
      <c r="O37" s="19" t="s">
        <v>1590</v>
      </c>
      <c r="P37" s="20"/>
    </row>
    <row r="38" customFormat="false" ht="42" hidden="false" customHeight="true" outlineLevel="0" collapsed="false">
      <c r="A38" s="15" t="n">
        <v>2</v>
      </c>
      <c r="B38" s="16" t="s">
        <v>1753</v>
      </c>
      <c r="C38" s="17" t="s">
        <v>111</v>
      </c>
      <c r="D38" s="17" t="s">
        <v>1754</v>
      </c>
      <c r="E38" s="17" t="s">
        <v>1755</v>
      </c>
      <c r="F38" s="17" t="s">
        <v>1756</v>
      </c>
      <c r="G38" s="17" t="s">
        <v>1757</v>
      </c>
      <c r="H38" s="17" t="s">
        <v>1758</v>
      </c>
      <c r="I38" s="17" t="s">
        <v>413</v>
      </c>
      <c r="J38" s="17" t="s">
        <v>413</v>
      </c>
      <c r="K38" s="18" t="s">
        <v>1759</v>
      </c>
      <c r="L38" s="15" t="s">
        <v>131</v>
      </c>
      <c r="M38" s="17" t="s">
        <v>2270</v>
      </c>
      <c r="N38" s="19" t="s">
        <v>73</v>
      </c>
      <c r="O38" s="19" t="s">
        <v>463</v>
      </c>
      <c r="P38" s="20"/>
    </row>
    <row r="39" customFormat="false" ht="42" hidden="false" customHeight="true" outlineLevel="0" collapsed="false">
      <c r="A39" s="15" t="n">
        <v>2</v>
      </c>
      <c r="B39" s="16" t="s">
        <v>1761</v>
      </c>
      <c r="C39" s="17" t="s">
        <v>111</v>
      </c>
      <c r="D39" s="17" t="s">
        <v>455</v>
      </c>
      <c r="E39" s="17" t="s">
        <v>1762</v>
      </c>
      <c r="F39" s="17" t="s">
        <v>1763</v>
      </c>
      <c r="G39" s="17" t="s">
        <v>1764</v>
      </c>
      <c r="H39" s="17" t="s">
        <v>1765</v>
      </c>
      <c r="I39" s="17" t="s">
        <v>413</v>
      </c>
      <c r="J39" s="17" t="s">
        <v>1766</v>
      </c>
      <c r="K39" s="18" t="s">
        <v>1767</v>
      </c>
      <c r="L39" s="15" t="s">
        <v>131</v>
      </c>
      <c r="M39" s="17" t="s">
        <v>2271</v>
      </c>
      <c r="N39" s="19" t="s">
        <v>73</v>
      </c>
      <c r="O39" s="19" t="s">
        <v>463</v>
      </c>
      <c r="P39" s="20"/>
    </row>
    <row r="40" customFormat="false" ht="42" hidden="false" customHeight="true" outlineLevel="0" collapsed="false">
      <c r="A40" s="15" t="n">
        <v>2</v>
      </c>
      <c r="B40" s="16" t="s">
        <v>1769</v>
      </c>
      <c r="C40" s="17" t="s">
        <v>111</v>
      </c>
      <c r="D40" s="17" t="s">
        <v>455</v>
      </c>
      <c r="E40" s="17" t="s">
        <v>1770</v>
      </c>
      <c r="F40" s="17" t="s">
        <v>1771</v>
      </c>
      <c r="G40" s="17" t="s">
        <v>1772</v>
      </c>
      <c r="H40" s="17" t="s">
        <v>1773</v>
      </c>
      <c r="I40" s="17" t="s">
        <v>413</v>
      </c>
      <c r="J40" s="17" t="s">
        <v>413</v>
      </c>
      <c r="K40" s="18" t="s">
        <v>1774</v>
      </c>
      <c r="L40" s="15" t="s">
        <v>131</v>
      </c>
      <c r="M40" s="17" t="s">
        <v>2272</v>
      </c>
      <c r="N40" s="19" t="s">
        <v>73</v>
      </c>
      <c r="O40" s="19" t="s">
        <v>463</v>
      </c>
      <c r="P40" s="20"/>
    </row>
    <row r="41" customFormat="false" ht="54.75" hidden="false" customHeight="true" outlineLevel="0" collapsed="false">
      <c r="A41" s="15" t="n">
        <v>2</v>
      </c>
      <c r="B41" s="16" t="s">
        <v>1776</v>
      </c>
      <c r="C41" s="17" t="s">
        <v>289</v>
      </c>
      <c r="D41" s="17" t="s">
        <v>503</v>
      </c>
      <c r="E41" s="17" t="s">
        <v>1777</v>
      </c>
      <c r="F41" s="17" t="s">
        <v>1778</v>
      </c>
      <c r="G41" s="17" t="s">
        <v>1779</v>
      </c>
      <c r="H41" s="17" t="s">
        <v>1780</v>
      </c>
      <c r="I41" s="17" t="s">
        <v>1781</v>
      </c>
      <c r="J41" s="17" t="s">
        <v>1782</v>
      </c>
      <c r="K41" s="18" t="s">
        <v>1783</v>
      </c>
      <c r="L41" s="15" t="s">
        <v>131</v>
      </c>
      <c r="M41" s="17" t="s">
        <v>2273</v>
      </c>
      <c r="N41" s="19" t="s">
        <v>73</v>
      </c>
      <c r="O41" s="19" t="s">
        <v>1785</v>
      </c>
      <c r="P41" s="20"/>
    </row>
    <row r="42" customFormat="false" ht="42" hidden="false" customHeight="true" outlineLevel="0" collapsed="false">
      <c r="A42" s="15" t="n">
        <v>2</v>
      </c>
      <c r="B42" s="16" t="s">
        <v>1786</v>
      </c>
      <c r="C42" s="17" t="s">
        <v>111</v>
      </c>
      <c r="D42" s="17" t="s">
        <v>474</v>
      </c>
      <c r="E42" s="17" t="s">
        <v>1787</v>
      </c>
      <c r="F42" s="17" t="s">
        <v>1788</v>
      </c>
      <c r="G42" s="17" t="s">
        <v>1789</v>
      </c>
      <c r="H42" s="17" t="s">
        <v>1790</v>
      </c>
      <c r="I42" s="17" t="s">
        <v>413</v>
      </c>
      <c r="J42" s="17" t="s">
        <v>1791</v>
      </c>
      <c r="K42" s="18" t="s">
        <v>1792</v>
      </c>
      <c r="L42" s="15" t="s">
        <v>131</v>
      </c>
      <c r="M42" s="17" t="s">
        <v>2274</v>
      </c>
      <c r="N42" s="19" t="s">
        <v>73</v>
      </c>
      <c r="O42" s="19" t="s">
        <v>463</v>
      </c>
      <c r="P42" s="20"/>
    </row>
    <row r="43" customFormat="false" ht="54.75" hidden="false" customHeight="true" outlineLevel="0" collapsed="false">
      <c r="A43" s="15" t="n">
        <v>2</v>
      </c>
      <c r="B43" s="16" t="s">
        <v>1794</v>
      </c>
      <c r="C43" s="17" t="s">
        <v>111</v>
      </c>
      <c r="D43" s="17" t="s">
        <v>503</v>
      </c>
      <c r="E43" s="17" t="s">
        <v>1795</v>
      </c>
      <c r="F43" s="17" t="s">
        <v>1796</v>
      </c>
      <c r="G43" s="17" t="s">
        <v>1797</v>
      </c>
      <c r="H43" s="17" t="s">
        <v>1798</v>
      </c>
      <c r="I43" s="17" t="s">
        <v>1799</v>
      </c>
      <c r="J43" s="17" t="s">
        <v>1800</v>
      </c>
      <c r="K43" s="18" t="s">
        <v>1801</v>
      </c>
      <c r="L43" s="15" t="s">
        <v>131</v>
      </c>
      <c r="M43" s="17" t="s">
        <v>2275</v>
      </c>
      <c r="N43" s="19" t="s">
        <v>73</v>
      </c>
      <c r="O43" s="19" t="s">
        <v>463</v>
      </c>
      <c r="P43" s="20"/>
    </row>
    <row r="44" customFormat="false" ht="42" hidden="false" customHeight="true" outlineLevel="0" collapsed="false">
      <c r="A44" s="15" t="n">
        <v>2</v>
      </c>
      <c r="B44" s="16" t="s">
        <v>1803</v>
      </c>
      <c r="C44" s="17" t="s">
        <v>111</v>
      </c>
      <c r="D44" s="17" t="s">
        <v>1804</v>
      </c>
      <c r="E44" s="17" t="s">
        <v>1805</v>
      </c>
      <c r="F44" s="17" t="s">
        <v>1806</v>
      </c>
      <c r="G44" s="17" t="s">
        <v>1807</v>
      </c>
      <c r="H44" s="17" t="s">
        <v>1808</v>
      </c>
      <c r="I44" s="17" t="s">
        <v>413</v>
      </c>
      <c r="J44" s="17" t="s">
        <v>1809</v>
      </c>
      <c r="K44" s="18" t="s">
        <v>1810</v>
      </c>
      <c r="L44" s="15" t="s">
        <v>131</v>
      </c>
      <c r="M44" s="17" t="s">
        <v>2276</v>
      </c>
      <c r="N44" s="19" t="s">
        <v>73</v>
      </c>
      <c r="O44" s="19" t="s">
        <v>463</v>
      </c>
      <c r="P44" s="20"/>
    </row>
    <row r="45" customFormat="false" ht="42" hidden="false" customHeight="true" outlineLevel="0" collapsed="false">
      <c r="A45" s="15" t="n">
        <v>2</v>
      </c>
      <c r="B45" s="16" t="s">
        <v>1812</v>
      </c>
      <c r="C45" s="17" t="s">
        <v>111</v>
      </c>
      <c r="D45" s="17" t="s">
        <v>1180</v>
      </c>
      <c r="E45" s="17" t="s">
        <v>1813</v>
      </c>
      <c r="F45" s="17" t="s">
        <v>1814</v>
      </c>
      <c r="G45" s="17" t="s">
        <v>1150</v>
      </c>
      <c r="H45" s="17" t="s">
        <v>1815</v>
      </c>
      <c r="I45" s="17" t="s">
        <v>413</v>
      </c>
      <c r="J45" s="17" t="s">
        <v>413</v>
      </c>
      <c r="K45" s="18" t="s">
        <v>1816</v>
      </c>
      <c r="L45" s="15" t="s">
        <v>131</v>
      </c>
      <c r="M45" s="17" t="s">
        <v>2277</v>
      </c>
      <c r="N45" s="19" t="s">
        <v>73</v>
      </c>
      <c r="O45" s="19" t="s">
        <v>463</v>
      </c>
      <c r="P45" s="20"/>
    </row>
    <row r="46" customFormat="false" ht="42" hidden="false" customHeight="true" outlineLevel="0" collapsed="false">
      <c r="A46" s="15" t="n">
        <v>2</v>
      </c>
      <c r="B46" s="16" t="s">
        <v>1818</v>
      </c>
      <c r="C46" s="17" t="s">
        <v>111</v>
      </c>
      <c r="D46" s="17" t="s">
        <v>1819</v>
      </c>
      <c r="E46" s="17" t="s">
        <v>1820</v>
      </c>
      <c r="F46" s="17" t="s">
        <v>1821</v>
      </c>
      <c r="G46" s="17" t="s">
        <v>1822</v>
      </c>
      <c r="H46" s="17" t="s">
        <v>1823</v>
      </c>
      <c r="I46" s="17" t="s">
        <v>413</v>
      </c>
      <c r="J46" s="17" t="s">
        <v>413</v>
      </c>
      <c r="K46" s="18" t="s">
        <v>1824</v>
      </c>
      <c r="L46" s="15" t="s">
        <v>131</v>
      </c>
      <c r="M46" s="17" t="s">
        <v>2278</v>
      </c>
      <c r="N46" s="19" t="s">
        <v>73</v>
      </c>
      <c r="O46" s="19" t="s">
        <v>463</v>
      </c>
      <c r="P46" s="20"/>
    </row>
    <row r="47" customFormat="false" ht="42" hidden="false" customHeight="true" outlineLevel="0" collapsed="false">
      <c r="A47" s="15" t="n">
        <v>2</v>
      </c>
      <c r="B47" s="16" t="s">
        <v>1826</v>
      </c>
      <c r="C47" s="17" t="s">
        <v>62</v>
      </c>
      <c r="D47" s="17" t="s">
        <v>503</v>
      </c>
      <c r="E47" s="17" t="s">
        <v>1827</v>
      </c>
      <c r="F47" s="17" t="s">
        <v>1828</v>
      </c>
      <c r="G47" s="17" t="s">
        <v>1829</v>
      </c>
      <c r="H47" s="17" t="s">
        <v>1830</v>
      </c>
      <c r="I47" s="17" t="s">
        <v>413</v>
      </c>
      <c r="J47" s="17" t="s">
        <v>1791</v>
      </c>
      <c r="K47" s="18" t="s">
        <v>1831</v>
      </c>
      <c r="L47" s="15" t="s">
        <v>131</v>
      </c>
      <c r="M47" s="17" t="s">
        <v>2279</v>
      </c>
      <c r="N47" s="19" t="s">
        <v>73</v>
      </c>
      <c r="O47" s="19" t="s">
        <v>463</v>
      </c>
      <c r="P47" s="20"/>
    </row>
    <row r="48" customFormat="false" ht="42" hidden="false" customHeight="true" outlineLevel="0" collapsed="false">
      <c r="A48" s="15" t="n">
        <v>2</v>
      </c>
      <c r="B48" s="16" t="s">
        <v>1833</v>
      </c>
      <c r="C48" s="17" t="s">
        <v>111</v>
      </c>
      <c r="D48" s="17" t="s">
        <v>503</v>
      </c>
      <c r="E48" s="17" t="s">
        <v>1834</v>
      </c>
      <c r="F48" s="17" t="s">
        <v>1835</v>
      </c>
      <c r="G48" s="17" t="s">
        <v>1836</v>
      </c>
      <c r="H48" s="17" t="s">
        <v>1837</v>
      </c>
      <c r="I48" s="17" t="s">
        <v>413</v>
      </c>
      <c r="J48" s="17" t="s">
        <v>1126</v>
      </c>
      <c r="K48" s="18" t="s">
        <v>1838</v>
      </c>
      <c r="L48" s="15" t="s">
        <v>131</v>
      </c>
      <c r="M48" s="17" t="s">
        <v>2280</v>
      </c>
      <c r="N48" s="19" t="s">
        <v>73</v>
      </c>
      <c r="O48" s="19" t="s">
        <v>463</v>
      </c>
      <c r="P48" s="20"/>
    </row>
    <row r="49" customFormat="false" ht="42" hidden="false" customHeight="true" outlineLevel="0" collapsed="false">
      <c r="A49" s="15" t="n">
        <v>2</v>
      </c>
      <c r="B49" s="16" t="s">
        <v>1840</v>
      </c>
      <c r="C49" s="17" t="s">
        <v>111</v>
      </c>
      <c r="D49" s="17" t="s">
        <v>1121</v>
      </c>
      <c r="E49" s="17" t="s">
        <v>1841</v>
      </c>
      <c r="F49" s="17" t="s">
        <v>1842</v>
      </c>
      <c r="G49" s="17" t="s">
        <v>1764</v>
      </c>
      <c r="H49" s="17" t="s">
        <v>1843</v>
      </c>
      <c r="I49" s="17" t="s">
        <v>413</v>
      </c>
      <c r="J49" s="17" t="s">
        <v>413</v>
      </c>
      <c r="K49" s="18" t="s">
        <v>1844</v>
      </c>
      <c r="L49" s="15" t="s">
        <v>131</v>
      </c>
      <c r="M49" s="17" t="s">
        <v>2281</v>
      </c>
      <c r="N49" s="19" t="s">
        <v>73</v>
      </c>
      <c r="O49" s="19" t="s">
        <v>1785</v>
      </c>
      <c r="P49" s="20"/>
    </row>
    <row r="50" customFormat="false" ht="42" hidden="false" customHeight="true" outlineLevel="0" collapsed="false">
      <c r="A50" s="15" t="n">
        <v>2</v>
      </c>
      <c r="B50" s="16" t="s">
        <v>1846</v>
      </c>
      <c r="C50" s="17" t="s">
        <v>111</v>
      </c>
      <c r="D50" s="17" t="s">
        <v>503</v>
      </c>
      <c r="E50" s="17" t="s">
        <v>1847</v>
      </c>
      <c r="F50" s="17" t="s">
        <v>1848</v>
      </c>
      <c r="G50" s="17" t="s">
        <v>1849</v>
      </c>
      <c r="H50" s="17" t="s">
        <v>1850</v>
      </c>
      <c r="I50" s="17" t="s">
        <v>1851</v>
      </c>
      <c r="J50" s="17" t="s">
        <v>413</v>
      </c>
      <c r="K50" s="18" t="s">
        <v>1852</v>
      </c>
      <c r="L50" s="15" t="s">
        <v>131</v>
      </c>
      <c r="M50" s="17" t="s">
        <v>2282</v>
      </c>
      <c r="N50" s="19" t="s">
        <v>73</v>
      </c>
      <c r="O50" s="19" t="s">
        <v>1590</v>
      </c>
      <c r="P50" s="20"/>
    </row>
    <row r="51" customFormat="false" ht="42" hidden="false" customHeight="true" outlineLevel="0" collapsed="false">
      <c r="A51" s="15" t="n">
        <v>2</v>
      </c>
      <c r="B51" s="16" t="s">
        <v>1854</v>
      </c>
      <c r="C51" s="17" t="s">
        <v>62</v>
      </c>
      <c r="D51" s="17" t="s">
        <v>474</v>
      </c>
      <c r="E51" s="17" t="s">
        <v>1855</v>
      </c>
      <c r="F51" s="17" t="s">
        <v>1856</v>
      </c>
      <c r="G51" s="17" t="s">
        <v>1857</v>
      </c>
      <c r="H51" s="17" t="s">
        <v>1858</v>
      </c>
      <c r="I51" s="17" t="s">
        <v>1859</v>
      </c>
      <c r="J51" s="17" t="s">
        <v>413</v>
      </c>
      <c r="K51" s="18" t="s">
        <v>1860</v>
      </c>
      <c r="L51" s="15" t="s">
        <v>131</v>
      </c>
      <c r="M51" s="17" t="s">
        <v>2283</v>
      </c>
      <c r="N51" s="19" t="s">
        <v>73</v>
      </c>
      <c r="O51" s="19" t="s">
        <v>1590</v>
      </c>
      <c r="P51" s="20"/>
    </row>
    <row r="52" customFormat="false" ht="54.75" hidden="false" customHeight="true" outlineLevel="0" collapsed="false">
      <c r="A52" s="15" t="n">
        <v>2</v>
      </c>
      <c r="B52" s="16" t="s">
        <v>1862</v>
      </c>
      <c r="C52" s="17" t="s">
        <v>111</v>
      </c>
      <c r="D52" s="17" t="s">
        <v>503</v>
      </c>
      <c r="E52" s="17" t="s">
        <v>1863</v>
      </c>
      <c r="F52" s="17" t="s">
        <v>1864</v>
      </c>
      <c r="G52" s="17" t="s">
        <v>1865</v>
      </c>
      <c r="H52" s="17" t="s">
        <v>1866</v>
      </c>
      <c r="I52" s="17" t="s">
        <v>1867</v>
      </c>
      <c r="J52" s="17" t="s">
        <v>1868</v>
      </c>
      <c r="K52" s="18" t="s">
        <v>1869</v>
      </c>
      <c r="L52" s="15" t="s">
        <v>131</v>
      </c>
      <c r="M52" s="17" t="s">
        <v>2284</v>
      </c>
      <c r="N52" s="19" t="s">
        <v>73</v>
      </c>
      <c r="O52" s="19" t="s">
        <v>463</v>
      </c>
      <c r="P52" s="20"/>
    </row>
    <row r="53" customFormat="false" ht="42" hidden="false" customHeight="true" outlineLevel="0" collapsed="false">
      <c r="A53" s="15" t="n">
        <v>2</v>
      </c>
      <c r="B53" s="16" t="s">
        <v>1871</v>
      </c>
      <c r="C53" s="17" t="s">
        <v>111</v>
      </c>
      <c r="D53" s="17" t="s">
        <v>1872</v>
      </c>
      <c r="E53" s="17" t="s">
        <v>1873</v>
      </c>
      <c r="F53" s="17" t="s">
        <v>1874</v>
      </c>
      <c r="G53" s="17" t="s">
        <v>1875</v>
      </c>
      <c r="H53" s="17" t="s">
        <v>1876</v>
      </c>
      <c r="I53" s="17" t="s">
        <v>413</v>
      </c>
      <c r="J53" s="17" t="s">
        <v>413</v>
      </c>
      <c r="K53" s="18" t="s">
        <v>1877</v>
      </c>
      <c r="L53" s="15" t="s">
        <v>131</v>
      </c>
      <c r="M53" s="17" t="s">
        <v>2285</v>
      </c>
      <c r="N53" s="19" t="s">
        <v>73</v>
      </c>
      <c r="O53" s="19" t="s">
        <v>463</v>
      </c>
      <c r="P53" s="20"/>
    </row>
    <row r="54" customFormat="false" ht="42" hidden="false" customHeight="true" outlineLevel="0" collapsed="false">
      <c r="A54" s="15" t="n">
        <v>2</v>
      </c>
      <c r="B54" s="16" t="s">
        <v>1879</v>
      </c>
      <c r="C54" s="17" t="s">
        <v>111</v>
      </c>
      <c r="D54" s="17" t="s">
        <v>503</v>
      </c>
      <c r="E54" s="17" t="s">
        <v>1880</v>
      </c>
      <c r="F54" s="17" t="s">
        <v>1881</v>
      </c>
      <c r="G54" s="17" t="s">
        <v>1882</v>
      </c>
      <c r="H54" s="17" t="s">
        <v>1883</v>
      </c>
      <c r="I54" s="17" t="s">
        <v>413</v>
      </c>
      <c r="J54" s="17" t="s">
        <v>1884</v>
      </c>
      <c r="K54" s="18" t="s">
        <v>1885</v>
      </c>
      <c r="L54" s="15" t="s">
        <v>131</v>
      </c>
      <c r="M54" s="17" t="s">
        <v>2286</v>
      </c>
      <c r="N54" s="19" t="s">
        <v>73</v>
      </c>
      <c r="O54" s="19" t="s">
        <v>463</v>
      </c>
      <c r="P54" s="20"/>
    </row>
    <row r="55" customFormat="false" ht="54.75" hidden="false" customHeight="true" outlineLevel="0" collapsed="false">
      <c r="A55" s="15" t="n">
        <v>2</v>
      </c>
      <c r="B55" s="16" t="s">
        <v>1887</v>
      </c>
      <c r="C55" s="17" t="s">
        <v>289</v>
      </c>
      <c r="D55" s="17" t="s">
        <v>1888</v>
      </c>
      <c r="E55" s="17" t="s">
        <v>1889</v>
      </c>
      <c r="F55" s="17" t="s">
        <v>1890</v>
      </c>
      <c r="G55" s="17" t="s">
        <v>1891</v>
      </c>
      <c r="H55" s="17" t="s">
        <v>1892</v>
      </c>
      <c r="I55" s="17" t="s">
        <v>413</v>
      </c>
      <c r="J55" s="17" t="s">
        <v>1893</v>
      </c>
      <c r="K55" s="18" t="s">
        <v>1894</v>
      </c>
      <c r="L55" s="15" t="s">
        <v>131</v>
      </c>
      <c r="M55" s="17" t="s">
        <v>2287</v>
      </c>
      <c r="N55" s="19" t="s">
        <v>73</v>
      </c>
      <c r="O55" s="19" t="s">
        <v>1896</v>
      </c>
      <c r="P55" s="20"/>
    </row>
    <row r="56" customFormat="false" ht="54.75" hidden="false" customHeight="true" outlineLevel="0" collapsed="false">
      <c r="A56" s="15" t="n">
        <v>2</v>
      </c>
      <c r="B56" s="16" t="s">
        <v>1942</v>
      </c>
      <c r="C56" s="17" t="s">
        <v>111</v>
      </c>
      <c r="D56" s="17" t="s">
        <v>1441</v>
      </c>
      <c r="E56" s="17" t="s">
        <v>1943</v>
      </c>
      <c r="F56" s="17" t="s">
        <v>1944</v>
      </c>
      <c r="G56" s="17" t="s">
        <v>1945</v>
      </c>
      <c r="H56" s="17" t="s">
        <v>1946</v>
      </c>
      <c r="I56" s="17" t="s">
        <v>413</v>
      </c>
      <c r="J56" s="17" t="s">
        <v>413</v>
      </c>
      <c r="K56" s="18" t="s">
        <v>1947</v>
      </c>
      <c r="L56" s="15" t="s">
        <v>131</v>
      </c>
      <c r="M56" s="17" t="s">
        <v>2288</v>
      </c>
      <c r="N56" s="19" t="s">
        <v>73</v>
      </c>
      <c r="O56" s="19" t="s">
        <v>463</v>
      </c>
      <c r="P56" s="20"/>
    </row>
    <row r="57" customFormat="false" ht="42" hidden="false" customHeight="true" outlineLevel="0" collapsed="false">
      <c r="A57" s="15" t="n">
        <v>2</v>
      </c>
      <c r="B57" s="16" t="s">
        <v>1949</v>
      </c>
      <c r="C57" s="17" t="s">
        <v>62</v>
      </c>
      <c r="D57" s="17" t="s">
        <v>1950</v>
      </c>
      <c r="E57" s="17" t="s">
        <v>1951</v>
      </c>
      <c r="F57" s="17" t="s">
        <v>1952</v>
      </c>
      <c r="G57" s="17" t="s">
        <v>1953</v>
      </c>
      <c r="H57" s="17" t="s">
        <v>1954</v>
      </c>
      <c r="I57" s="17" t="s">
        <v>413</v>
      </c>
      <c r="J57" s="17" t="s">
        <v>413</v>
      </c>
      <c r="K57" s="18" t="s">
        <v>1955</v>
      </c>
      <c r="L57" s="15" t="s">
        <v>131</v>
      </c>
      <c r="M57" s="17" t="s">
        <v>2289</v>
      </c>
      <c r="N57" s="19" t="s">
        <v>73</v>
      </c>
      <c r="O57" s="19" t="s">
        <v>463</v>
      </c>
      <c r="P57" s="20"/>
    </row>
    <row r="58" customFormat="false" ht="54.75" hidden="false" customHeight="true" outlineLevel="0" collapsed="false">
      <c r="A58" s="15" t="n">
        <v>2</v>
      </c>
      <c r="B58" s="16" t="s">
        <v>1957</v>
      </c>
      <c r="C58" s="17" t="s">
        <v>111</v>
      </c>
      <c r="D58" s="17" t="s">
        <v>1433</v>
      </c>
      <c r="E58" s="17" t="s">
        <v>1958</v>
      </c>
      <c r="F58" s="17" t="s">
        <v>1959</v>
      </c>
      <c r="G58" s="17" t="s">
        <v>1116</v>
      </c>
      <c r="H58" s="17" t="s">
        <v>1946</v>
      </c>
      <c r="I58" s="17" t="s">
        <v>413</v>
      </c>
      <c r="J58" s="17" t="s">
        <v>413</v>
      </c>
      <c r="K58" s="18" t="s">
        <v>1960</v>
      </c>
      <c r="L58" s="15" t="s">
        <v>131</v>
      </c>
      <c r="M58" s="17" t="s">
        <v>2290</v>
      </c>
      <c r="N58" s="19" t="s">
        <v>73</v>
      </c>
      <c r="O58" s="19" t="s">
        <v>463</v>
      </c>
      <c r="P58" s="20"/>
    </row>
    <row r="59" customFormat="false" ht="42" hidden="false" customHeight="true" outlineLevel="0" collapsed="false">
      <c r="A59" s="15" t="n">
        <v>2</v>
      </c>
      <c r="B59" s="16" t="s">
        <v>1962</v>
      </c>
      <c r="C59" s="17" t="s">
        <v>62</v>
      </c>
      <c r="D59" s="17" t="s">
        <v>1433</v>
      </c>
      <c r="E59" s="17" t="s">
        <v>1963</v>
      </c>
      <c r="F59" s="17" t="s">
        <v>1964</v>
      </c>
      <c r="G59" s="17" t="s">
        <v>1857</v>
      </c>
      <c r="H59" s="17" t="s">
        <v>1815</v>
      </c>
      <c r="I59" s="17" t="s">
        <v>413</v>
      </c>
      <c r="J59" s="17" t="s">
        <v>413</v>
      </c>
      <c r="K59" s="18" t="s">
        <v>1965</v>
      </c>
      <c r="L59" s="15" t="s">
        <v>131</v>
      </c>
      <c r="M59" s="17" t="s">
        <v>2291</v>
      </c>
      <c r="N59" s="19" t="s">
        <v>73</v>
      </c>
      <c r="O59" s="19" t="s">
        <v>463</v>
      </c>
      <c r="P59" s="20"/>
    </row>
    <row r="60" customFormat="false" ht="42" hidden="false" customHeight="true" outlineLevel="0" collapsed="false">
      <c r="A60" s="15" t="n">
        <v>1</v>
      </c>
      <c r="B60" s="16" t="s">
        <v>1967</v>
      </c>
      <c r="C60" s="17" t="s">
        <v>62</v>
      </c>
      <c r="D60" s="17" t="s">
        <v>1583</v>
      </c>
      <c r="E60" s="17" t="s">
        <v>1968</v>
      </c>
      <c r="F60" s="17" t="s">
        <v>1969</v>
      </c>
      <c r="G60" s="17" t="s">
        <v>1970</v>
      </c>
      <c r="H60" s="17" t="s">
        <v>988</v>
      </c>
      <c r="I60" s="17" t="s">
        <v>413</v>
      </c>
      <c r="J60" s="17" t="s">
        <v>413</v>
      </c>
      <c r="K60" s="18" t="s">
        <v>1971</v>
      </c>
      <c r="L60" s="15" t="s">
        <v>131</v>
      </c>
      <c r="M60" s="17" t="s">
        <v>2292</v>
      </c>
      <c r="N60" s="19" t="s">
        <v>73</v>
      </c>
      <c r="O60" s="19" t="s">
        <v>1973</v>
      </c>
      <c r="P60" s="20"/>
    </row>
    <row r="61" customFormat="false" ht="54.75" hidden="false" customHeight="true" outlineLevel="0" collapsed="false">
      <c r="A61" s="15" t="n">
        <v>1</v>
      </c>
      <c r="B61" s="16" t="s">
        <v>1974</v>
      </c>
      <c r="C61" s="17" t="s">
        <v>111</v>
      </c>
      <c r="D61" s="17" t="s">
        <v>503</v>
      </c>
      <c r="E61" s="17" t="s">
        <v>1975</v>
      </c>
      <c r="F61" s="17" t="s">
        <v>1976</v>
      </c>
      <c r="G61" s="17" t="s">
        <v>1977</v>
      </c>
      <c r="H61" s="17" t="s">
        <v>1978</v>
      </c>
      <c r="I61" s="17" t="s">
        <v>1979</v>
      </c>
      <c r="J61" s="17" t="s">
        <v>413</v>
      </c>
      <c r="K61" s="18" t="s">
        <v>1980</v>
      </c>
      <c r="L61" s="15" t="s">
        <v>131</v>
      </c>
      <c r="M61" s="17" t="s">
        <v>2293</v>
      </c>
      <c r="N61" s="19" t="s">
        <v>73</v>
      </c>
      <c r="O61" s="19" t="s">
        <v>1590</v>
      </c>
      <c r="P61" s="20"/>
    </row>
    <row r="62" customFormat="false" ht="42" hidden="false" customHeight="true" outlineLevel="0" collapsed="false">
      <c r="A62" s="15" t="n">
        <v>1</v>
      </c>
      <c r="B62" s="16" t="s">
        <v>1982</v>
      </c>
      <c r="C62" s="17" t="s">
        <v>111</v>
      </c>
      <c r="D62" s="17" t="s">
        <v>1147</v>
      </c>
      <c r="E62" s="17" t="s">
        <v>1983</v>
      </c>
      <c r="F62" s="17" t="s">
        <v>1984</v>
      </c>
      <c r="G62" s="17" t="s">
        <v>1985</v>
      </c>
      <c r="H62" s="17" t="s">
        <v>1986</v>
      </c>
      <c r="I62" s="17" t="s">
        <v>413</v>
      </c>
      <c r="J62" s="17" t="s">
        <v>413</v>
      </c>
      <c r="K62" s="18" t="s">
        <v>1987</v>
      </c>
      <c r="L62" s="15" t="s">
        <v>131</v>
      </c>
      <c r="M62" s="17" t="s">
        <v>2294</v>
      </c>
      <c r="N62" s="19" t="s">
        <v>73</v>
      </c>
      <c r="O62" s="19" t="s">
        <v>1590</v>
      </c>
      <c r="P62" s="20"/>
    </row>
    <row r="63" customFormat="false" ht="42" hidden="false" customHeight="true" outlineLevel="0" collapsed="false">
      <c r="A63" s="15" t="n">
        <v>1</v>
      </c>
      <c r="B63" s="16" t="s">
        <v>1989</v>
      </c>
      <c r="C63" s="17" t="s">
        <v>111</v>
      </c>
      <c r="D63" s="17" t="s">
        <v>1990</v>
      </c>
      <c r="E63" s="17" t="s">
        <v>1991</v>
      </c>
      <c r="F63" s="17" t="s">
        <v>1992</v>
      </c>
      <c r="G63" s="17" t="s">
        <v>1993</v>
      </c>
      <c r="H63" s="17" t="s">
        <v>1986</v>
      </c>
      <c r="I63" s="17" t="s">
        <v>413</v>
      </c>
      <c r="J63" s="17" t="s">
        <v>413</v>
      </c>
      <c r="K63" s="18" t="s">
        <v>1994</v>
      </c>
      <c r="L63" s="15" t="s">
        <v>131</v>
      </c>
      <c r="M63" s="17" t="s">
        <v>2295</v>
      </c>
      <c r="N63" s="19" t="s">
        <v>73</v>
      </c>
      <c r="O63" s="19" t="s">
        <v>1590</v>
      </c>
      <c r="P63" s="20"/>
    </row>
    <row r="64" customFormat="false" ht="93" hidden="false" customHeight="true" outlineLevel="0" collapsed="false">
      <c r="A64" s="15" t="n">
        <v>1</v>
      </c>
      <c r="B64" s="16" t="s">
        <v>1996</v>
      </c>
      <c r="C64" s="17" t="s">
        <v>62</v>
      </c>
      <c r="D64" s="17" t="s">
        <v>1990</v>
      </c>
      <c r="E64" s="17" t="s">
        <v>1997</v>
      </c>
      <c r="F64" s="17" t="s">
        <v>1998</v>
      </c>
      <c r="G64" s="17" t="s">
        <v>1999</v>
      </c>
      <c r="H64" s="17" t="s">
        <v>2000</v>
      </c>
      <c r="I64" s="17" t="s">
        <v>413</v>
      </c>
      <c r="J64" s="17" t="s">
        <v>413</v>
      </c>
      <c r="K64" s="18" t="s">
        <v>2001</v>
      </c>
      <c r="L64" s="15" t="s">
        <v>131</v>
      </c>
      <c r="M64" s="17" t="s">
        <v>2296</v>
      </c>
      <c r="N64" s="19" t="s">
        <v>73</v>
      </c>
      <c r="O64" s="19" t="s">
        <v>2003</v>
      </c>
      <c r="P64" s="20"/>
    </row>
    <row r="65" customFormat="false" ht="42" hidden="false" customHeight="true" outlineLevel="0" collapsed="false">
      <c r="A65" s="15" t="n">
        <v>1</v>
      </c>
      <c r="B65" s="16" t="s">
        <v>2004</v>
      </c>
      <c r="C65" s="17" t="s">
        <v>62</v>
      </c>
      <c r="D65" s="17" t="s">
        <v>2005</v>
      </c>
      <c r="E65" s="17" t="s">
        <v>2006</v>
      </c>
      <c r="F65" s="17" t="s">
        <v>2007</v>
      </c>
      <c r="G65" s="17" t="s">
        <v>2008</v>
      </c>
      <c r="H65" s="17" t="s">
        <v>1858</v>
      </c>
      <c r="I65" s="17" t="s">
        <v>413</v>
      </c>
      <c r="J65" s="17" t="s">
        <v>413</v>
      </c>
      <c r="K65" s="18" t="s">
        <v>2009</v>
      </c>
      <c r="L65" s="15" t="s">
        <v>131</v>
      </c>
      <c r="M65" s="17" t="s">
        <v>2297</v>
      </c>
      <c r="N65" s="19" t="s">
        <v>73</v>
      </c>
      <c r="O65" s="19" t="s">
        <v>1590</v>
      </c>
      <c r="P65" s="20"/>
    </row>
    <row r="66" customFormat="false" ht="42" hidden="false" customHeight="true" outlineLevel="0" collapsed="false">
      <c r="A66" s="15" t="n">
        <v>1</v>
      </c>
      <c r="B66" s="16" t="s">
        <v>2011</v>
      </c>
      <c r="C66" s="17" t="s">
        <v>111</v>
      </c>
      <c r="D66" s="17" t="s">
        <v>2012</v>
      </c>
      <c r="E66" s="17" t="s">
        <v>2013</v>
      </c>
      <c r="F66" s="17" t="s">
        <v>2014</v>
      </c>
      <c r="G66" s="17" t="s">
        <v>2015</v>
      </c>
      <c r="H66" s="17" t="s">
        <v>2016</v>
      </c>
      <c r="I66" s="17" t="s">
        <v>413</v>
      </c>
      <c r="J66" s="17" t="s">
        <v>413</v>
      </c>
      <c r="K66" s="18" t="s">
        <v>1679</v>
      </c>
      <c r="L66" s="15" t="s">
        <v>131</v>
      </c>
      <c r="M66" s="17" t="s">
        <v>2298</v>
      </c>
      <c r="N66" s="19" t="s">
        <v>73</v>
      </c>
      <c r="O66" s="19" t="s">
        <v>1973</v>
      </c>
      <c r="P66" s="20"/>
    </row>
    <row r="67" customFormat="false" ht="15" hidden="false" customHeight="false" outlineLevel="0" collapsed="false">
      <c r="P67" s="21"/>
    </row>
    <row r="68" customFormat="false" ht="15" hidden="false" customHeight="false" outlineLevel="0" collapsed="false">
      <c r="P68" s="21"/>
    </row>
    <row r="69" customFormat="false" ht="15" hidden="false" customHeight="false" outlineLevel="0" collapsed="false">
      <c r="P69" s="21"/>
    </row>
    <row r="70" customFormat="false" ht="15" hidden="false" customHeight="false" outlineLevel="0" collapsed="false">
      <c r="P70" s="21"/>
    </row>
    <row r="71" customFormat="false" ht="15" hidden="false" customHeight="false" outlineLevel="0" collapsed="false">
      <c r="P71" s="21"/>
    </row>
    <row r="72" customFormat="false" ht="15" hidden="false" customHeight="false" outlineLevel="0" collapsed="false">
      <c r="P72" s="21"/>
    </row>
    <row r="73" customFormat="false" ht="15" hidden="false" customHeight="false" outlineLevel="0" collapsed="false">
      <c r="P73" s="21"/>
    </row>
    <row r="74" customFormat="false" ht="15" hidden="false" customHeight="false" outlineLevel="0" collapsed="false">
      <c r="P74" s="21"/>
    </row>
    <row r="75" customFormat="false" ht="15" hidden="false" customHeight="false" outlineLevel="0" collapsed="false">
      <c r="P75" s="21"/>
    </row>
    <row r="76" customFormat="false" ht="15" hidden="false" customHeight="false" outlineLevel="0" collapsed="false">
      <c r="P76" s="21"/>
    </row>
    <row r="77" customFormat="false" ht="15" hidden="false" customHeight="false" outlineLevel="0" collapsed="false">
      <c r="P77" s="21"/>
    </row>
    <row r="78" customFormat="false" ht="15" hidden="false" customHeight="false" outlineLevel="0" collapsed="false">
      <c r="P78" s="21"/>
    </row>
    <row r="79" customFormat="false" ht="15" hidden="false" customHeight="false" outlineLevel="0" collapsed="false">
      <c r="P79" s="21"/>
    </row>
    <row r="80" customFormat="false" ht="15" hidden="false" customHeight="false" outlineLevel="0" collapsed="false">
      <c r="P80" s="21"/>
    </row>
    <row r="81" customFormat="false" ht="15" hidden="false" customHeight="false" outlineLevel="0" collapsed="false">
      <c r="P81" s="21"/>
    </row>
    <row r="82" customFormat="false" ht="15" hidden="false" customHeight="false" outlineLevel="0" collapsed="false">
      <c r="P82" s="21"/>
    </row>
    <row r="83" customFormat="false" ht="15" hidden="false" customHeight="false" outlineLevel="0" collapsed="false">
      <c r="P83" s="21"/>
    </row>
    <row r="84" customFormat="false" ht="15" hidden="false" customHeight="false" outlineLevel="0" collapsed="false">
      <c r="P84" s="21"/>
    </row>
    <row r="85" customFormat="false" ht="15" hidden="false" customHeight="false" outlineLevel="0" collapsed="false">
      <c r="P85" s="21"/>
    </row>
    <row r="86" customFormat="false" ht="15" hidden="false" customHeight="false" outlineLevel="0" collapsed="false">
      <c r="P86" s="21"/>
    </row>
    <row r="87" customFormat="false" ht="15" hidden="false" customHeight="false" outlineLevel="0" collapsed="false">
      <c r="P87" s="21"/>
    </row>
    <row r="88" customFormat="false" ht="15" hidden="false" customHeight="false" outlineLevel="0" collapsed="false">
      <c r="P88" s="21"/>
    </row>
    <row r="89" customFormat="false" ht="15" hidden="false" customHeight="false" outlineLevel="0" collapsed="false">
      <c r="P89" s="21"/>
    </row>
    <row r="90" customFormat="false" ht="15" hidden="false" customHeight="false" outlineLevel="0" collapsed="false">
      <c r="P90" s="21"/>
    </row>
    <row r="91" customFormat="false" ht="15" hidden="false" customHeight="false" outlineLevel="0" collapsed="false">
      <c r="P91" s="21"/>
    </row>
    <row r="92" customFormat="false" ht="15" hidden="false" customHeight="false" outlineLevel="0" collapsed="false">
      <c r="P92" s="21"/>
    </row>
    <row r="93" customFormat="false" ht="15" hidden="false" customHeight="false" outlineLevel="0" collapsed="false">
      <c r="P93" s="21"/>
    </row>
    <row r="94" customFormat="false" ht="15" hidden="false" customHeight="false" outlineLevel="0" collapsed="false">
      <c r="P94" s="21"/>
    </row>
    <row r="95" customFormat="false" ht="15" hidden="false" customHeight="false" outlineLevel="0" collapsed="false">
      <c r="P95" s="21"/>
    </row>
    <row r="96" customFormat="false" ht="15" hidden="false" customHeight="false" outlineLevel="0" collapsed="false">
      <c r="P96" s="21"/>
    </row>
    <row r="97" customFormat="false" ht="15" hidden="false" customHeight="false" outlineLevel="0" collapsed="false">
      <c r="P97" s="21"/>
    </row>
    <row r="98" customFormat="false" ht="15" hidden="false" customHeight="false" outlineLevel="0" collapsed="false">
      <c r="P98" s="21"/>
    </row>
    <row r="99" customFormat="false" ht="15" hidden="false" customHeight="false" outlineLevel="0" collapsed="false">
      <c r="P99" s="21"/>
    </row>
    <row r="100" customFormat="false" ht="15" hidden="false" customHeight="false" outlineLevel="0" collapsed="false">
      <c r="P100" s="21"/>
    </row>
    <row r="101" customFormat="false" ht="15" hidden="false" customHeight="false" outlineLevel="0" collapsed="false">
      <c r="P101" s="21"/>
    </row>
    <row r="102" customFormat="false" ht="15" hidden="false" customHeight="false" outlineLevel="0" collapsed="false">
      <c r="P102" s="21"/>
    </row>
    <row r="103" customFormat="false" ht="15" hidden="false" customHeight="false" outlineLevel="0" collapsed="false">
      <c r="P103" s="21"/>
    </row>
    <row r="104" customFormat="false" ht="15" hidden="false" customHeight="false" outlineLevel="0" collapsed="false">
      <c r="P104" s="21"/>
    </row>
    <row r="105" customFormat="false" ht="15" hidden="false" customHeight="false" outlineLevel="0" collapsed="false">
      <c r="P105" s="21"/>
    </row>
    <row r="106" customFormat="false" ht="15" hidden="false" customHeight="false" outlineLevel="0" collapsed="false">
      <c r="P106" s="21"/>
    </row>
    <row r="107" customFormat="false" ht="15" hidden="false" customHeight="false" outlineLevel="0" collapsed="false">
      <c r="P107" s="21"/>
    </row>
    <row r="108" customFormat="false" ht="15" hidden="false" customHeight="false" outlineLevel="0" collapsed="false">
      <c r="P108" s="21"/>
    </row>
    <row r="109" customFormat="false" ht="15" hidden="false" customHeight="false" outlineLevel="0" collapsed="false">
      <c r="P109" s="21"/>
    </row>
    <row r="110" customFormat="false" ht="15" hidden="false" customHeight="false" outlineLevel="0" collapsed="false">
      <c r="P110" s="21"/>
    </row>
    <row r="111" customFormat="false" ht="15" hidden="false" customHeight="false" outlineLevel="0" collapsed="false">
      <c r="P111" s="21"/>
    </row>
    <row r="112" customFormat="false" ht="15" hidden="false" customHeight="false" outlineLevel="0" collapsed="false">
      <c r="P112" s="21"/>
    </row>
    <row r="113" customFormat="false" ht="15" hidden="false" customHeight="false" outlineLevel="0" collapsed="false">
      <c r="P113" s="21"/>
    </row>
    <row r="114" customFormat="false" ht="15" hidden="false" customHeight="false" outlineLevel="0" collapsed="false">
      <c r="P114" s="21"/>
    </row>
    <row r="115" customFormat="false" ht="15" hidden="false" customHeight="false" outlineLevel="0" collapsed="false">
      <c r="P115" s="21"/>
    </row>
    <row r="116" customFormat="false" ht="15" hidden="false" customHeight="false" outlineLevel="0" collapsed="false">
      <c r="P116" s="21"/>
    </row>
    <row r="117" customFormat="false" ht="15" hidden="false" customHeight="false" outlineLevel="0" collapsed="false">
      <c r="P117" s="21"/>
    </row>
    <row r="118" customFormat="false" ht="15" hidden="false" customHeight="false" outlineLevel="0" collapsed="false">
      <c r="P118" s="21"/>
    </row>
    <row r="119" customFormat="false" ht="15" hidden="false" customHeight="false" outlineLevel="0" collapsed="false">
      <c r="P119" s="21"/>
    </row>
    <row r="120" customFormat="false" ht="15" hidden="false" customHeight="false" outlineLevel="0" collapsed="false">
      <c r="P120" s="21"/>
    </row>
    <row r="121" customFormat="false" ht="15" hidden="false" customHeight="false" outlineLevel="0" collapsed="false">
      <c r="P121" s="21"/>
    </row>
    <row r="122" customFormat="false" ht="15" hidden="false" customHeight="false" outlineLevel="0" collapsed="false">
      <c r="P122" s="21"/>
    </row>
    <row r="123" customFormat="false" ht="15" hidden="false" customHeight="false" outlineLevel="0" collapsed="false">
      <c r="P123" s="21"/>
    </row>
    <row r="124" customFormat="false" ht="15" hidden="false" customHeight="false" outlineLevel="0" collapsed="false">
      <c r="P124" s="21"/>
    </row>
    <row r="125" customFormat="false" ht="15" hidden="false" customHeight="false" outlineLevel="0" collapsed="false">
      <c r="P125" s="21"/>
    </row>
    <row r="126" customFormat="false" ht="15" hidden="false" customHeight="false" outlineLevel="0" collapsed="false">
      <c r="P126" s="21"/>
    </row>
    <row r="127" customFormat="false" ht="15" hidden="false" customHeight="false" outlineLevel="0" collapsed="false">
      <c r="P127" s="21"/>
    </row>
    <row r="128" customFormat="false" ht="15" hidden="false" customHeight="false" outlineLevel="0" collapsed="false">
      <c r="P128" s="21"/>
    </row>
    <row r="129" customFormat="false" ht="15" hidden="false" customHeight="false" outlineLevel="0" collapsed="false">
      <c r="P129" s="21"/>
    </row>
    <row r="130" customFormat="false" ht="15" hidden="false" customHeight="false" outlineLevel="0" collapsed="false">
      <c r="P130" s="21"/>
    </row>
    <row r="131" customFormat="false" ht="15" hidden="false" customHeight="false" outlineLevel="0" collapsed="false">
      <c r="P131" s="21"/>
    </row>
    <row r="132" customFormat="false" ht="15" hidden="false" customHeight="false" outlineLevel="0" collapsed="false">
      <c r="P132" s="21"/>
    </row>
    <row r="133" customFormat="false" ht="15" hidden="false" customHeight="false" outlineLevel="0" collapsed="false">
      <c r="P133" s="21"/>
    </row>
    <row r="134" customFormat="false" ht="15" hidden="false" customHeight="false" outlineLevel="0" collapsed="false">
      <c r="P134" s="21"/>
    </row>
    <row r="135" customFormat="false" ht="15" hidden="false" customHeight="false" outlineLevel="0" collapsed="false">
      <c r="P135" s="21"/>
    </row>
    <row r="136" customFormat="false" ht="15" hidden="false" customHeight="false" outlineLevel="0" collapsed="false">
      <c r="P136" s="21"/>
    </row>
    <row r="137" customFormat="false" ht="15" hidden="false" customHeight="false" outlineLevel="0" collapsed="false">
      <c r="P137" s="21"/>
    </row>
    <row r="138" customFormat="false" ht="15" hidden="false" customHeight="false" outlineLevel="0" collapsed="false">
      <c r="P138" s="21"/>
    </row>
    <row r="139" customFormat="false" ht="15" hidden="false" customHeight="false" outlineLevel="0" collapsed="false">
      <c r="P139" s="21"/>
    </row>
    <row r="140" customFormat="false" ht="15" hidden="false" customHeight="false" outlineLevel="0" collapsed="false">
      <c r="P140" s="21"/>
    </row>
    <row r="141" customFormat="false" ht="15" hidden="false" customHeight="false" outlineLevel="0" collapsed="false">
      <c r="P141" s="21"/>
    </row>
    <row r="142" customFormat="false" ht="15" hidden="false" customHeight="false" outlineLevel="0" collapsed="false">
      <c r="P142" s="21"/>
    </row>
    <row r="143" customFormat="false" ht="15" hidden="false" customHeight="false" outlineLevel="0" collapsed="false">
      <c r="P143" s="21"/>
    </row>
    <row r="144" customFormat="false" ht="15" hidden="false" customHeight="false" outlineLevel="0" collapsed="false">
      <c r="P144" s="21"/>
    </row>
    <row r="145" customFormat="false" ht="15" hidden="false" customHeight="false" outlineLevel="0" collapsed="false">
      <c r="P145" s="21"/>
    </row>
    <row r="146" customFormat="false" ht="15" hidden="false" customHeight="false" outlineLevel="0" collapsed="false">
      <c r="P146" s="21"/>
    </row>
    <row r="147" customFormat="false" ht="15" hidden="false" customHeight="false" outlineLevel="0" collapsed="false">
      <c r="P147" s="21"/>
    </row>
    <row r="148" customFormat="false" ht="15" hidden="false" customHeight="false" outlineLevel="0" collapsed="false">
      <c r="P148" s="21"/>
    </row>
    <row r="149" customFormat="false" ht="15" hidden="false" customHeight="false" outlineLevel="0" collapsed="false">
      <c r="P149" s="21"/>
    </row>
    <row r="150" customFormat="false" ht="15" hidden="false" customHeight="false" outlineLevel="0" collapsed="false">
      <c r="P150" s="21"/>
    </row>
    <row r="151" customFormat="false" ht="15" hidden="false" customHeight="false" outlineLevel="0" collapsed="false">
      <c r="P151" s="21"/>
    </row>
    <row r="152" customFormat="false" ht="15" hidden="false" customHeight="false" outlineLevel="0" collapsed="false">
      <c r="P152" s="21"/>
    </row>
    <row r="153" customFormat="false" ht="15" hidden="false" customHeight="false" outlineLevel="0" collapsed="false">
      <c r="P153" s="21"/>
    </row>
    <row r="154" customFormat="false" ht="15" hidden="false" customHeight="false" outlineLevel="0" collapsed="false">
      <c r="P154" s="21"/>
    </row>
    <row r="155" customFormat="false" ht="15" hidden="false" customHeight="false" outlineLevel="0" collapsed="false">
      <c r="P155" s="21"/>
    </row>
    <row r="156" customFormat="false" ht="15" hidden="false" customHeight="false" outlineLevel="0" collapsed="false">
      <c r="P156" s="21"/>
    </row>
    <row r="157" customFormat="false" ht="15" hidden="false" customHeight="false" outlineLevel="0" collapsed="false">
      <c r="P157" s="21"/>
    </row>
    <row r="158" customFormat="false" ht="15" hidden="false" customHeight="false" outlineLevel="0" collapsed="false">
      <c r="P158" s="21"/>
    </row>
    <row r="159" customFormat="false" ht="15" hidden="false" customHeight="false" outlineLevel="0" collapsed="false">
      <c r="P159" s="21"/>
    </row>
    <row r="160" customFormat="false" ht="15" hidden="false" customHeight="false" outlineLevel="0" collapsed="false">
      <c r="P160" s="21"/>
    </row>
    <row r="161" customFormat="false" ht="15" hidden="false" customHeight="false" outlineLevel="0" collapsed="false">
      <c r="P161" s="21"/>
    </row>
    <row r="162" customFormat="false" ht="15" hidden="false" customHeight="false" outlineLevel="0" collapsed="false">
      <c r="P162" s="21"/>
    </row>
    <row r="163" customFormat="false" ht="15" hidden="false" customHeight="false" outlineLevel="0" collapsed="false">
      <c r="P163" s="21"/>
    </row>
    <row r="164" customFormat="false" ht="15" hidden="false" customHeight="false" outlineLevel="0" collapsed="false">
      <c r="P164" s="21"/>
    </row>
    <row r="165" customFormat="false" ht="15" hidden="false" customHeight="false" outlineLevel="0" collapsed="false">
      <c r="P165" s="21"/>
    </row>
    <row r="166" customFormat="false" ht="15" hidden="false" customHeight="false" outlineLevel="0" collapsed="false">
      <c r="P166" s="21"/>
    </row>
    <row r="167" customFormat="false" ht="15" hidden="false" customHeight="false" outlineLevel="0" collapsed="false">
      <c r="P167" s="21"/>
    </row>
    <row r="168" customFormat="false" ht="15" hidden="false" customHeight="false" outlineLevel="0" collapsed="false">
      <c r="P168" s="21"/>
    </row>
    <row r="169" customFormat="false" ht="15" hidden="false" customHeight="false" outlineLevel="0" collapsed="false">
      <c r="P169" s="21"/>
    </row>
    <row r="170" customFormat="false" ht="15" hidden="false" customHeight="false" outlineLevel="0" collapsed="false">
      <c r="P170" s="21"/>
    </row>
    <row r="171" customFormat="false" ht="15" hidden="false" customHeight="false" outlineLevel="0" collapsed="false">
      <c r="P171" s="21"/>
    </row>
    <row r="172" customFormat="false" ht="15" hidden="false" customHeight="false" outlineLevel="0" collapsed="false">
      <c r="P172" s="21"/>
    </row>
    <row r="173" customFormat="false" ht="15" hidden="false" customHeight="false" outlineLevel="0" collapsed="false">
      <c r="P173" s="21"/>
    </row>
    <row r="174" customFormat="false" ht="15" hidden="false" customHeight="false" outlineLevel="0" collapsed="false">
      <c r="P174" s="21"/>
    </row>
    <row r="175" customFormat="false" ht="15" hidden="false" customHeight="false" outlineLevel="0" collapsed="false">
      <c r="P175" s="21"/>
    </row>
    <row r="176" customFormat="false" ht="15" hidden="false" customHeight="false" outlineLevel="0" collapsed="false">
      <c r="P176" s="21"/>
    </row>
    <row r="177" customFormat="false" ht="15" hidden="false" customHeight="false" outlineLevel="0" collapsed="false">
      <c r="P177" s="21"/>
    </row>
    <row r="178" customFormat="false" ht="15" hidden="false" customHeight="false" outlineLevel="0" collapsed="false">
      <c r="P178" s="21"/>
    </row>
    <row r="179" customFormat="false" ht="15" hidden="false" customHeight="false" outlineLevel="0" collapsed="false">
      <c r="P179" s="21"/>
    </row>
    <row r="180" customFormat="false" ht="15" hidden="false" customHeight="false" outlineLevel="0" collapsed="false">
      <c r="P180" s="21"/>
    </row>
    <row r="181" customFormat="false" ht="15" hidden="false" customHeight="false" outlineLevel="0" collapsed="false">
      <c r="P181" s="21"/>
    </row>
    <row r="182" customFormat="false" ht="15" hidden="false" customHeight="false" outlineLevel="0" collapsed="false">
      <c r="P182" s="21"/>
    </row>
    <row r="183" customFormat="false" ht="15" hidden="false" customHeight="false" outlineLevel="0" collapsed="false">
      <c r="P183" s="21"/>
    </row>
    <row r="184" customFormat="false" ht="15" hidden="false" customHeight="false" outlineLevel="0" collapsed="false">
      <c r="P184" s="21"/>
    </row>
    <row r="185" customFormat="false" ht="15" hidden="false" customHeight="false" outlineLevel="0" collapsed="false">
      <c r="P185" s="21"/>
    </row>
    <row r="186" customFormat="false" ht="15" hidden="false" customHeight="false" outlineLevel="0" collapsed="false">
      <c r="P186" s="21"/>
    </row>
    <row r="187" customFormat="false" ht="15" hidden="false" customHeight="false" outlineLevel="0" collapsed="false">
      <c r="P187" s="21"/>
    </row>
    <row r="188" customFormat="false" ht="15" hidden="false" customHeight="false" outlineLevel="0" collapsed="false">
      <c r="P188" s="21"/>
    </row>
    <row r="189" customFormat="false" ht="15" hidden="false" customHeight="false" outlineLevel="0" collapsed="false">
      <c r="P189" s="21"/>
    </row>
    <row r="190" customFormat="false" ht="15" hidden="false" customHeight="false" outlineLevel="0" collapsed="false">
      <c r="P190" s="21"/>
    </row>
    <row r="191" customFormat="false" ht="15" hidden="false" customHeight="false" outlineLevel="0" collapsed="false">
      <c r="P191" s="21"/>
    </row>
    <row r="192" customFormat="false" ht="15" hidden="false" customHeight="false" outlineLevel="0" collapsed="false">
      <c r="P192" s="21"/>
    </row>
    <row r="193" customFormat="false" ht="15" hidden="false" customHeight="false" outlineLevel="0" collapsed="false">
      <c r="P193" s="21"/>
    </row>
    <row r="194" customFormat="false" ht="15" hidden="false" customHeight="false" outlineLevel="0" collapsed="false">
      <c r="P194" s="21"/>
    </row>
    <row r="195" customFormat="false" ht="15" hidden="false" customHeight="false" outlineLevel="0" collapsed="false">
      <c r="P195" s="21"/>
    </row>
    <row r="196" customFormat="false" ht="15" hidden="false" customHeight="false" outlineLevel="0" collapsed="false">
      <c r="P196" s="21"/>
    </row>
    <row r="197" customFormat="false" ht="15" hidden="false" customHeight="false" outlineLevel="0" collapsed="false">
      <c r="P197" s="21"/>
    </row>
    <row r="198" customFormat="false" ht="15" hidden="false" customHeight="false" outlineLevel="0" collapsed="false">
      <c r="P198" s="21"/>
    </row>
    <row r="199" customFormat="false" ht="15" hidden="false" customHeight="false" outlineLevel="0" collapsed="false">
      <c r="P199" s="21"/>
    </row>
    <row r="200" customFormat="false" ht="15" hidden="false" customHeight="false" outlineLevel="0" collapsed="false">
      <c r="P200" s="21"/>
    </row>
    <row r="201" customFormat="false" ht="15" hidden="false" customHeight="false" outlineLevel="0" collapsed="false">
      <c r="P201" s="21"/>
    </row>
    <row r="202" customFormat="false" ht="15" hidden="false" customHeight="false" outlineLevel="0" collapsed="false">
      <c r="P202" s="21"/>
    </row>
    <row r="203" customFormat="false" ht="15" hidden="false" customHeight="false" outlineLevel="0" collapsed="false">
      <c r="P203" s="21"/>
    </row>
    <row r="204" customFormat="false" ht="15" hidden="false" customHeight="false" outlineLevel="0" collapsed="false">
      <c r="P204" s="21"/>
    </row>
    <row r="205" customFormat="false" ht="15" hidden="false" customHeight="false" outlineLevel="0" collapsed="false">
      <c r="P205" s="21"/>
    </row>
    <row r="206" customFormat="false" ht="15" hidden="false" customHeight="false" outlineLevel="0" collapsed="false">
      <c r="P206" s="21"/>
    </row>
    <row r="207" customFormat="false" ht="15" hidden="false" customHeight="false" outlineLevel="0" collapsed="false">
      <c r="P207" s="21"/>
    </row>
    <row r="208" customFormat="false" ht="15" hidden="false" customHeight="false" outlineLevel="0" collapsed="false">
      <c r="P208" s="21"/>
    </row>
    <row r="209" customFormat="false" ht="15" hidden="false" customHeight="false" outlineLevel="0" collapsed="false">
      <c r="P209" s="21"/>
    </row>
    <row r="210" customFormat="false" ht="15" hidden="false" customHeight="false" outlineLevel="0" collapsed="false">
      <c r="P210" s="21"/>
    </row>
    <row r="211" customFormat="false" ht="15" hidden="false" customHeight="false" outlineLevel="0" collapsed="false">
      <c r="P211" s="21"/>
    </row>
    <row r="212" customFormat="false" ht="15" hidden="false" customHeight="false" outlineLevel="0" collapsed="false">
      <c r="P212" s="21"/>
    </row>
    <row r="213" customFormat="false" ht="15" hidden="false" customHeight="false" outlineLevel="0" collapsed="false">
      <c r="P213" s="21"/>
    </row>
    <row r="214" customFormat="false" ht="15" hidden="false" customHeight="false" outlineLevel="0" collapsed="false">
      <c r="P214" s="21"/>
    </row>
    <row r="215" customFormat="false" ht="15" hidden="false" customHeight="false" outlineLevel="0" collapsed="false">
      <c r="P215" s="21"/>
    </row>
    <row r="216" customFormat="false" ht="15" hidden="false" customHeight="false" outlineLevel="0" collapsed="false">
      <c r="P216" s="21"/>
    </row>
    <row r="217" customFormat="false" ht="15" hidden="false" customHeight="false" outlineLevel="0" collapsed="false">
      <c r="P217" s="21"/>
    </row>
    <row r="218" customFormat="false" ht="15" hidden="false" customHeight="false" outlineLevel="0" collapsed="false">
      <c r="P218" s="21"/>
    </row>
    <row r="219" customFormat="false" ht="15" hidden="false" customHeight="false" outlineLevel="0" collapsed="false">
      <c r="P219" s="21"/>
    </row>
    <row r="220" customFormat="false" ht="15" hidden="false" customHeight="false" outlineLevel="0" collapsed="false">
      <c r="P220" s="21"/>
    </row>
    <row r="221" customFormat="false" ht="15" hidden="false" customHeight="false" outlineLevel="0" collapsed="false">
      <c r="P221" s="21"/>
    </row>
    <row r="222" customFormat="false" ht="15" hidden="false" customHeight="false" outlineLevel="0" collapsed="false">
      <c r="P222" s="21"/>
    </row>
    <row r="223" customFormat="false" ht="15" hidden="false" customHeight="false" outlineLevel="0" collapsed="false">
      <c r="P223" s="21"/>
    </row>
    <row r="224" customFormat="false" ht="15" hidden="false" customHeight="false" outlineLevel="0" collapsed="false">
      <c r="P224" s="21"/>
    </row>
    <row r="225" customFormat="false" ht="15" hidden="false" customHeight="false" outlineLevel="0" collapsed="false">
      <c r="P225" s="21"/>
    </row>
    <row r="226" customFormat="false" ht="15" hidden="false" customHeight="false" outlineLevel="0" collapsed="false">
      <c r="P226" s="21"/>
    </row>
    <row r="227" customFormat="false" ht="15" hidden="false" customHeight="false" outlineLevel="0" collapsed="false">
      <c r="P227" s="21"/>
    </row>
    <row r="228" customFormat="false" ht="15" hidden="false" customHeight="false" outlineLevel="0" collapsed="false">
      <c r="P228" s="21"/>
    </row>
    <row r="229" customFormat="false" ht="15" hidden="false" customHeight="false" outlineLevel="0" collapsed="false">
      <c r="P229" s="21"/>
    </row>
    <row r="230" customFormat="false" ht="15" hidden="false" customHeight="false" outlineLevel="0" collapsed="false">
      <c r="P230" s="21"/>
    </row>
    <row r="231" customFormat="false" ht="15" hidden="false" customHeight="false" outlineLevel="0" collapsed="false">
      <c r="P231" s="21"/>
    </row>
    <row r="232" customFormat="false" ht="15" hidden="false" customHeight="false" outlineLevel="0" collapsed="false">
      <c r="P232" s="21"/>
    </row>
    <row r="233" customFormat="false" ht="15" hidden="false" customHeight="false" outlineLevel="0" collapsed="false">
      <c r="P233" s="21"/>
    </row>
    <row r="234" customFormat="false" ht="15" hidden="false" customHeight="false" outlineLevel="0" collapsed="false">
      <c r="P234" s="21"/>
    </row>
    <row r="235" customFormat="false" ht="15" hidden="false" customHeight="false" outlineLevel="0" collapsed="false">
      <c r="P235" s="21"/>
    </row>
    <row r="236" customFormat="false" ht="15" hidden="false" customHeight="false" outlineLevel="0" collapsed="false">
      <c r="P236" s="21"/>
    </row>
    <row r="237" customFormat="false" ht="15" hidden="false" customHeight="false" outlineLevel="0" collapsed="false">
      <c r="P237" s="21"/>
    </row>
    <row r="238" customFormat="false" ht="15" hidden="false" customHeight="false" outlineLevel="0" collapsed="false">
      <c r="P238" s="21"/>
    </row>
    <row r="239" customFormat="false" ht="15" hidden="false" customHeight="false" outlineLevel="0" collapsed="false">
      <c r="P239" s="21"/>
    </row>
    <row r="240" customFormat="false" ht="15" hidden="false" customHeight="false" outlineLevel="0" collapsed="false">
      <c r="P240" s="21"/>
    </row>
    <row r="241" customFormat="false" ht="15" hidden="false" customHeight="false" outlineLevel="0" collapsed="false">
      <c r="P241" s="21"/>
    </row>
    <row r="242" customFormat="false" ht="15" hidden="false" customHeight="false" outlineLevel="0" collapsed="false">
      <c r="P242" s="21"/>
    </row>
    <row r="243" customFormat="false" ht="15" hidden="false" customHeight="false" outlineLevel="0" collapsed="false">
      <c r="P243" s="21"/>
    </row>
    <row r="244" customFormat="false" ht="15" hidden="false" customHeight="false" outlineLevel="0" collapsed="false">
      <c r="P244" s="21"/>
    </row>
    <row r="245" customFormat="false" ht="15" hidden="false" customHeight="false" outlineLevel="0" collapsed="false">
      <c r="P245" s="21"/>
    </row>
    <row r="246" customFormat="false" ht="15" hidden="false" customHeight="false" outlineLevel="0" collapsed="false">
      <c r="P246" s="21"/>
    </row>
    <row r="247" customFormat="false" ht="15" hidden="false" customHeight="false" outlineLevel="0" collapsed="false">
      <c r="P247" s="21"/>
    </row>
    <row r="248" customFormat="false" ht="15" hidden="false" customHeight="false" outlineLevel="0" collapsed="false">
      <c r="P248" s="21"/>
    </row>
    <row r="249" customFormat="false" ht="15" hidden="false" customHeight="false" outlineLevel="0" collapsed="false">
      <c r="P249" s="21"/>
    </row>
    <row r="250" customFormat="false" ht="15" hidden="false" customHeight="false" outlineLevel="0" collapsed="false">
      <c r="P250" s="21"/>
    </row>
    <row r="251" customFormat="false" ht="15" hidden="false" customHeight="false" outlineLevel="0" collapsed="false">
      <c r="P251" s="21"/>
    </row>
    <row r="252" customFormat="false" ht="15" hidden="false" customHeight="false" outlineLevel="0" collapsed="false">
      <c r="P252" s="21"/>
    </row>
    <row r="253" customFormat="false" ht="15" hidden="false" customHeight="false" outlineLevel="0" collapsed="false">
      <c r="P253" s="21"/>
    </row>
    <row r="254" customFormat="false" ht="15" hidden="false" customHeight="false" outlineLevel="0" collapsed="false">
      <c r="P254" s="21"/>
    </row>
    <row r="255" customFormat="false" ht="15" hidden="false" customHeight="false" outlineLevel="0" collapsed="false">
      <c r="P255" s="21"/>
    </row>
    <row r="256" customFormat="false" ht="15" hidden="false" customHeight="false" outlineLevel="0" collapsed="false">
      <c r="P256" s="21"/>
    </row>
    <row r="257" customFormat="false" ht="15" hidden="false" customHeight="false" outlineLevel="0" collapsed="false">
      <c r="P257" s="21"/>
    </row>
    <row r="258" customFormat="false" ht="15" hidden="false" customHeight="false" outlineLevel="0" collapsed="false">
      <c r="P258" s="21"/>
    </row>
    <row r="259" customFormat="false" ht="15" hidden="false" customHeight="false" outlineLevel="0" collapsed="false">
      <c r="P259" s="21"/>
    </row>
    <row r="260" customFormat="false" ht="15" hidden="false" customHeight="false" outlineLevel="0" collapsed="false">
      <c r="P260" s="21"/>
    </row>
    <row r="261" customFormat="false" ht="15" hidden="false" customHeight="false" outlineLevel="0" collapsed="false">
      <c r="P261" s="21"/>
    </row>
    <row r="262" customFormat="false" ht="15" hidden="false" customHeight="false" outlineLevel="0" collapsed="false">
      <c r="P262" s="21"/>
    </row>
    <row r="263" customFormat="false" ht="15" hidden="false" customHeight="false" outlineLevel="0" collapsed="false">
      <c r="P263" s="21"/>
    </row>
    <row r="264" customFormat="false" ht="15" hidden="false" customHeight="false" outlineLevel="0" collapsed="false">
      <c r="P264" s="21"/>
    </row>
    <row r="265" customFormat="false" ht="15" hidden="false" customHeight="false" outlineLevel="0" collapsed="false">
      <c r="P265" s="21"/>
    </row>
    <row r="266" customFormat="false" ht="15" hidden="false" customHeight="false" outlineLevel="0" collapsed="false">
      <c r="P266" s="21"/>
    </row>
  </sheetData>
  <autoFilter ref="A1:P66"/>
  <conditionalFormatting sqref="A2:A66">
    <cfRule type="cellIs" priority="2" operator="equal" aboveAverage="0" equalAverage="0" bottom="0" percent="0" rank="0" text="" dxfId="9">
      <formula>5</formula>
    </cfRule>
    <cfRule type="cellIs" priority="3" operator="equal" aboveAverage="0" equalAverage="0" bottom="0" percent="0" rank="0" text="" dxfId="10">
      <formula>4</formula>
    </cfRule>
  </conditionalFormatting>
  <conditionalFormatting sqref="L2:L66">
    <cfRule type="cellIs" priority="4" operator="equal" aboveAverage="0" equalAverage="0" bottom="0" percent="0" rank="0" text="" dxfId="11">
      <formula>"N"</formula>
    </cfRule>
  </conditionalFormatting>
  <conditionalFormatting sqref="N2:N66">
    <cfRule type="cellIs" priority="5" operator="equal" aboveAverage="0" equalAverage="0" bottom="0" percent="0" rank="0" text="" dxfId="12">
      <formula>"Partner"</formula>
    </cfRule>
    <cfRule type="cellIs" priority="6" operator="equal" aboveAverage="0" equalAverage="0" bottom="0" percent="0" rank="0" text="" dxfId="13">
      <formula>"Declined"</formula>
    </cfRule>
  </conditionalFormatting>
  <dataValidations count="2">
    <dataValidation allowBlank="true" error="Pick a status from the list" errorStyle="stop" errorTitle="Status" operator="between" prompt="Not started / Contacted / Applied / Booked / Partner / Declined" promptTitle="Status" showDropDown="false" showErrorMessage="true" showInputMessage="true" sqref="N2:N266" type="list">
      <formula1>"Not started,Contacted,Applied,Booked,Partner,Declined"</formula1>
      <formula2>0</formula2>
    </dataValidation>
    <dataValidation allowBlank="true" error="Enter a date (yyyy-mm-dd)" errorStyle="stop" operator="greaterThan" showDropDown="false" showErrorMessage="true" showInputMessage="false" sqref="P2:P266" type="date">
      <formula1>DATE(2026,1,1)</formula1>
      <formula2>0</formula2>
    </dataValidation>
  </dataValidations>
  <hyperlinks>
    <hyperlink ref="K2" r:id="rId1" display="https://www.pacey.org.uk"/>
    <hyperlink ref="K3" r:id="rId2" display="https://www.playgroupaustralia.org.au"/>
    <hyperlink ref="K4" r:id="rId3" display="https://www.earlychildhoodaustralia.org.au"/>
    <hyperlink ref="K5" r:id="rId4" display="https://www.earlychildhoodireland.ie"/>
    <hyperlink ref="K6" r:id="rId5" display="https://www.eyalliance.org.uk"/>
    <hyperlink ref="K7" r:id="rId6" display="https://www.familydaycare.com.au"/>
    <hyperlink ref="K8" r:id="rId7" display="https://www.nurseryworld.co.uk"/>
    <hyperlink ref="K9" r:id="rId8" display="https://www.teachwire.net"/>
    <hyperlink ref="K10" r:id="rId9" display="https://www.cobis.org.uk"/>
    <hyperlink ref="K11" r:id="rId10" display="https://childcarealliance.org.au"/>
    <hyperlink ref="K12" r:id="rId11" display="https://www.childminding.ie"/>
    <hyperlink ref="K13" r:id="rId12" display="https://www.cela.org.au"/>
    <hyperlink ref="K14" r:id="rId13" display="https://www.ecc.org.nz"/>
    <hyperlink ref="K15" r:id="rId14" display="https://early-education.org.uk"/>
    <hyperlink ref="K16" r:id="rId15" display="https://earlyyearsscotland.org"/>
    <hyperlink ref="K17" r:id="rId16" display="https://frp.ca"/>
    <hyperlink ref="K18" r:id="rId17" display="https://www.ippn.ie"/>
    <hyperlink ref="K19" r:id="rId18" display="https://www.montessori.org.uk"/>
    <hyperlink ref="K20" r:id="rId19" display="https://ndna.org.uk"/>
    <hyperlink ref="K21" r:id="rId20" display="https://www.nicma.org"/>
    <hyperlink ref="K22" r:id="rId21" display="https://www.parenta.com"/>
    <hyperlink ref="K23" r:id="rId22" display="https://www.parentkind.org.uk"/>
    <hyperlink ref="K24" r:id="rId23" display="https://www.playcentre.org.nz"/>
    <hyperlink ref="K25" r:id="rId24" display="https://www.childminding.org"/>
    <hyperlink ref="K26" r:id="rId25" display="https://www.ecnz.ac.nz"/>
    <hyperlink ref="K27" r:id="rId26" display="https://thesector.com.au"/>
    <hyperlink ref="K28" r:id="rId27" display="https://www.ecebc.ca"/>
    <hyperlink ref="K29" r:id="rId28" display="https://elaa.org.au"/>
    <hyperlink ref="K30" r:id="rId29" display="https://accessola.com"/>
    <hyperlink ref="K31" r:id="rId30" display="https://montessori-ami.org"/>
    <hyperlink ref="K32" r:id="rId31" display="https://ceinternational1892.org"/>
    <hyperlink ref="K33" r:id="rId32" display="https://www.ecis.org"/>
    <hyperlink ref="K34" r:id="rId33" display="https://www.eecera.org"/>
    <hyperlink ref="K35" r:id="rId34" display="https://omepworld.org"/>
    <hyperlink ref="K36" r:id="rId35" display="https://www.nesacenter.org"/>
    <hyperlink ref="K37" r:id="rId36" display="https://smartphonefreechildhood.co.uk"/>
    <hyperlink ref="K38" r:id="rId37" display="https://www.waece.org"/>
    <hyperlink ref="K39" r:id="rId38" display="https://www.alia.org.au"/>
    <hyperlink ref="K40" r:id="rId39" display="https://asla.org.au"/>
    <hyperlink ref="K41" r:id="rId40" display="https://www.childcareexpo.co.uk"/>
    <hyperlink ref="K42" r:id="rId41" display="https://childrensbooksireland.ie"/>
    <hyperlink ref="K43" r:id="rId42" display="https://www.cilip.org.uk"/>
    <hyperlink ref="K44" r:id="rId43" display="https://www.earcos.org"/>
    <hyperlink ref="K45" r:id="rId44" display="https://www.early-years.org"/>
    <hyperlink ref="K46" r:id="rId45" display="https://www.earlyyears.wales"/>
    <hyperlink ref="K47" r:id="rId46" display="https://www.fcbg.org.uk"/>
    <hyperlink ref="K48" r:id="rId47" display="https://forestschoolassociation.org"/>
    <hyperlink ref="K49" r:id="rId48" display="https://www.lianza.org.nz"/>
    <hyperlink ref="K50" r:id="rId49" display="https://literacytrust.org.uk"/>
    <hyperlink ref="K51" r:id="rId50" display="https://www.npc.ie"/>
    <hyperlink ref="K52" r:id="rId51" display="https://www.sla.org.uk"/>
    <hyperlink ref="K53" r:id="rId52" display="https://www.steinerwaldorf.org"/>
    <hyperlink ref="K54" r:id="rId53" display="https://ukla.org"/>
    <hyperlink ref="K55" r:id="rId54" display="https://www.fil.com.mx"/>
    <hyperlink ref="K56" r:id="rId55" display="https://www.aeceo.ca"/>
    <hyperlink ref="K57" r:id="rId56" display="https://www.aqcpe.com"/>
    <hyperlink ref="K58" r:id="rId57" display="https://www.cccinc.org.au"/>
    <hyperlink ref="K59" r:id="rId58" display="https://www.parentsvictoria.asn.au"/>
    <hyperlink ref="K60" r:id="rId59" display="https://www.iaswece.org"/>
    <hyperlink ref="K61" r:id="rId60" display="https://www.booktrust.org.uk"/>
    <hyperlink ref="K62" r:id="rId61" display="https://www.cccf-fcsge.ca"/>
    <hyperlink ref="K63" r:id="rId62" display="https://cfla-fcab.ca"/>
    <hyperlink ref="K64" r:id="rId63" display="https://canadianhomeandschool.ca"/>
    <hyperlink ref="K65" r:id="rId64" display="https://www.ceapa.es"/>
    <hyperlink ref="K66" r:id="rId65" display="https://omepworld.org"/>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6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1C1C"/>
    <pageSetUpPr fitToPage="false"/>
  </sheetPr>
  <dimension ref="A1:D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52"/>
    <col collapsed="false" customWidth="true" hidden="false" outlineLevel="0" max="3" min="3" style="0" width="80"/>
    <col collapsed="false" customWidth="true" hidden="false" outlineLevel="0" max="4" min="4" style="0" width="52"/>
  </cols>
  <sheetData>
    <row r="1" customFormat="false" ht="30" hidden="false" customHeight="true" outlineLevel="0" collapsed="false">
      <c r="A1" s="5" t="s">
        <v>2299</v>
      </c>
      <c r="B1" s="5" t="s">
        <v>46</v>
      </c>
      <c r="C1" s="5" t="s">
        <v>2300</v>
      </c>
      <c r="D1" s="5" t="s">
        <v>2301</v>
      </c>
    </row>
    <row r="2" customFormat="false" ht="42" hidden="false" customHeight="true" outlineLevel="0" collapsed="false">
      <c r="A2" s="22" t="s">
        <v>2302</v>
      </c>
      <c r="B2" s="16" t="s">
        <v>2303</v>
      </c>
      <c r="C2" s="17" t="s">
        <v>2304</v>
      </c>
      <c r="D2" s="23" t="s">
        <v>2305</v>
      </c>
    </row>
    <row r="3" customFormat="false" ht="29.25" hidden="false" customHeight="true" outlineLevel="0" collapsed="false">
      <c r="A3" s="22" t="s">
        <v>2302</v>
      </c>
      <c r="B3" s="16" t="s">
        <v>2306</v>
      </c>
      <c r="C3" s="17" t="s">
        <v>2307</v>
      </c>
      <c r="D3" s="23" t="s">
        <v>2305</v>
      </c>
    </row>
    <row r="4" customFormat="false" ht="29.25" hidden="false" customHeight="true" outlineLevel="0" collapsed="false">
      <c r="A4" s="22" t="s">
        <v>2302</v>
      </c>
      <c r="B4" s="16" t="s">
        <v>2308</v>
      </c>
      <c r="C4" s="17" t="s">
        <v>2309</v>
      </c>
      <c r="D4" s="23" t="s">
        <v>2305</v>
      </c>
    </row>
    <row r="5" customFormat="false" ht="29.25" hidden="false" customHeight="true" outlineLevel="0" collapsed="false">
      <c r="A5" s="22" t="s">
        <v>2302</v>
      </c>
      <c r="B5" s="16" t="s">
        <v>2310</v>
      </c>
      <c r="C5" s="17" t="s">
        <v>2311</v>
      </c>
      <c r="D5" s="23" t="s">
        <v>2305</v>
      </c>
    </row>
    <row r="6" customFormat="false" ht="42" hidden="false" customHeight="true" outlineLevel="0" collapsed="false">
      <c r="A6" s="22" t="s">
        <v>2302</v>
      </c>
      <c r="B6" s="16" t="s">
        <v>2312</v>
      </c>
      <c r="C6" s="17" t="s">
        <v>2313</v>
      </c>
      <c r="D6" s="23" t="s">
        <v>2305</v>
      </c>
    </row>
    <row r="7" customFormat="false" ht="29.25" hidden="false" customHeight="true" outlineLevel="0" collapsed="false">
      <c r="A7" s="22" t="s">
        <v>2302</v>
      </c>
      <c r="B7" s="16" t="s">
        <v>2314</v>
      </c>
      <c r="C7" s="17" t="s">
        <v>2315</v>
      </c>
      <c r="D7" s="23" t="s">
        <v>2305</v>
      </c>
    </row>
    <row r="8" customFormat="false" ht="42" hidden="false" customHeight="true" outlineLevel="0" collapsed="false">
      <c r="A8" s="22" t="s">
        <v>2316</v>
      </c>
      <c r="B8" s="16" t="s">
        <v>2317</v>
      </c>
      <c r="C8" s="17" t="s">
        <v>2318</v>
      </c>
      <c r="D8" s="23" t="s">
        <v>2305</v>
      </c>
    </row>
    <row r="9" customFormat="false" ht="29.25" hidden="false" customHeight="true" outlineLevel="0" collapsed="false">
      <c r="A9" s="17" t="s">
        <v>2319</v>
      </c>
      <c r="B9" s="16" t="s">
        <v>2320</v>
      </c>
      <c r="C9" s="17" t="s">
        <v>2321</v>
      </c>
      <c r="D9" s="17" t="s">
        <v>2322</v>
      </c>
    </row>
    <row r="10" customFormat="false" ht="29.25" hidden="false" customHeight="true" outlineLevel="0" collapsed="false">
      <c r="A10" s="17" t="s">
        <v>2319</v>
      </c>
      <c r="B10" s="16" t="s">
        <v>2323</v>
      </c>
      <c r="C10" s="17" t="s">
        <v>2324</v>
      </c>
      <c r="D10" s="17" t="s">
        <v>2322</v>
      </c>
    </row>
    <row r="11" customFormat="false" ht="29.25" hidden="false" customHeight="true" outlineLevel="0" collapsed="false">
      <c r="A11" s="17" t="s">
        <v>2319</v>
      </c>
      <c r="B11" s="16" t="s">
        <v>2325</v>
      </c>
      <c r="C11" s="17" t="s">
        <v>2326</v>
      </c>
      <c r="D11" s="17" t="s">
        <v>2322</v>
      </c>
    </row>
    <row r="12" customFormat="false" ht="29.25" hidden="false" customHeight="true" outlineLevel="0" collapsed="false">
      <c r="A12" s="17" t="s">
        <v>2319</v>
      </c>
      <c r="B12" s="16" t="s">
        <v>2327</v>
      </c>
      <c r="C12" s="17" t="s">
        <v>2328</v>
      </c>
      <c r="D12" s="17" t="s">
        <v>2322</v>
      </c>
    </row>
    <row r="13" customFormat="false" ht="27" hidden="false" customHeight="true" outlineLevel="0" collapsed="false">
      <c r="A13" s="17" t="s">
        <v>2329</v>
      </c>
      <c r="B13" s="16" t="s">
        <v>2330</v>
      </c>
      <c r="C13" s="17" t="s">
        <v>2331</v>
      </c>
      <c r="D13" s="17" t="s">
        <v>2332</v>
      </c>
    </row>
    <row r="14" customFormat="false" ht="29.25" hidden="false" customHeight="true" outlineLevel="0" collapsed="false">
      <c r="A14" s="17" t="s">
        <v>2329</v>
      </c>
      <c r="B14" s="16" t="s">
        <v>2333</v>
      </c>
      <c r="C14" s="17" t="s">
        <v>2334</v>
      </c>
      <c r="D14" s="17" t="s">
        <v>2335</v>
      </c>
    </row>
    <row r="15" customFormat="false" ht="29.25" hidden="false" customHeight="true" outlineLevel="0" collapsed="false">
      <c r="A15" s="17" t="s">
        <v>2329</v>
      </c>
      <c r="B15" s="16" t="s">
        <v>2336</v>
      </c>
      <c r="C15" s="17" t="s">
        <v>2337</v>
      </c>
      <c r="D15" s="17" t="s">
        <v>2335</v>
      </c>
    </row>
    <row r="16" customFormat="false" ht="29.25" hidden="false" customHeight="true" outlineLevel="0" collapsed="false">
      <c r="A16" s="17" t="s">
        <v>2329</v>
      </c>
      <c r="B16" s="16" t="s">
        <v>2338</v>
      </c>
      <c r="C16" s="17" t="s">
        <v>2339</v>
      </c>
      <c r="D16" s="17" t="s">
        <v>2335</v>
      </c>
    </row>
    <row r="17" customFormat="false" ht="29.25" hidden="false" customHeight="true" outlineLevel="0" collapsed="false">
      <c r="A17" s="17" t="s">
        <v>2340</v>
      </c>
      <c r="B17" s="16" t="s">
        <v>2341</v>
      </c>
      <c r="C17" s="17" t="s">
        <v>2342</v>
      </c>
      <c r="D17" s="17" t="s">
        <v>2335</v>
      </c>
    </row>
    <row r="18" customFormat="false" ht="27" hidden="false" customHeight="true" outlineLevel="0" collapsed="false">
      <c r="A18" s="17" t="s">
        <v>2340</v>
      </c>
      <c r="B18" s="16" t="s">
        <v>2343</v>
      </c>
      <c r="C18" s="17" t="s">
        <v>2344</v>
      </c>
      <c r="D18" s="17" t="s">
        <v>2335</v>
      </c>
    </row>
    <row r="19" customFormat="false" ht="29.25" hidden="false" customHeight="true" outlineLevel="0" collapsed="false">
      <c r="A19" s="17" t="s">
        <v>2340</v>
      </c>
      <c r="B19" s="16" t="s">
        <v>2345</v>
      </c>
      <c r="C19" s="17" t="s">
        <v>2346</v>
      </c>
      <c r="D19" s="17" t="s">
        <v>2335</v>
      </c>
    </row>
    <row r="20" customFormat="false" ht="29.25" hidden="false" customHeight="true" outlineLevel="0" collapsed="false">
      <c r="A20" s="17" t="s">
        <v>2340</v>
      </c>
      <c r="B20" s="16" t="s">
        <v>2347</v>
      </c>
      <c r="C20" s="17" t="s">
        <v>2348</v>
      </c>
      <c r="D20" s="17" t="s">
        <v>2335</v>
      </c>
    </row>
    <row r="21" customFormat="false" ht="27" hidden="false" customHeight="true" outlineLevel="0" collapsed="false">
      <c r="A21" s="17" t="s">
        <v>2340</v>
      </c>
      <c r="B21" s="16" t="s">
        <v>2349</v>
      </c>
      <c r="C21" s="17" t="s">
        <v>2350</v>
      </c>
      <c r="D21" s="17" t="s">
        <v>2335</v>
      </c>
    </row>
    <row r="22" customFormat="false" ht="27" hidden="false" customHeight="true" outlineLevel="0" collapsed="false">
      <c r="A22" s="17" t="s">
        <v>2340</v>
      </c>
      <c r="B22" s="16" t="s">
        <v>2351</v>
      </c>
      <c r="C22" s="17" t="s">
        <v>2352</v>
      </c>
      <c r="D22" s="17" t="s">
        <v>2335</v>
      </c>
    </row>
    <row r="23" customFormat="false" ht="27" hidden="false" customHeight="true" outlineLevel="0" collapsed="false">
      <c r="A23" s="17" t="s">
        <v>2340</v>
      </c>
      <c r="B23" s="16" t="s">
        <v>2353</v>
      </c>
      <c r="C23" s="17" t="s">
        <v>2354</v>
      </c>
      <c r="D23" s="17" t="s">
        <v>2335</v>
      </c>
    </row>
    <row r="24" customFormat="false" ht="42" hidden="false" customHeight="true" outlineLevel="0" collapsed="false">
      <c r="A24" s="17" t="s">
        <v>2340</v>
      </c>
      <c r="B24" s="16" t="s">
        <v>2355</v>
      </c>
      <c r="C24" s="17" t="s">
        <v>2356</v>
      </c>
      <c r="D24" s="17" t="s">
        <v>2335</v>
      </c>
    </row>
    <row r="25" customFormat="false" ht="29.25" hidden="false" customHeight="true" outlineLevel="0" collapsed="false">
      <c r="A25" s="17" t="s">
        <v>2340</v>
      </c>
      <c r="B25" s="16" t="s">
        <v>2357</v>
      </c>
      <c r="C25" s="17" t="s">
        <v>2358</v>
      </c>
      <c r="D25" s="17" t="s">
        <v>2335</v>
      </c>
    </row>
    <row r="26" customFormat="false" ht="42" hidden="false" customHeight="true" outlineLevel="0" collapsed="false">
      <c r="A26" s="17" t="s">
        <v>2359</v>
      </c>
      <c r="B26" s="16" t="s">
        <v>2360</v>
      </c>
      <c r="C26" s="17" t="s">
        <v>2361</v>
      </c>
      <c r="D26" s="17" t="s">
        <v>2362</v>
      </c>
    </row>
    <row r="27" customFormat="false" ht="29.25" hidden="false" customHeight="true" outlineLevel="0" collapsed="false">
      <c r="A27" s="17" t="s">
        <v>2359</v>
      </c>
      <c r="B27" s="16" t="s">
        <v>2363</v>
      </c>
      <c r="C27" s="17" t="s">
        <v>2364</v>
      </c>
      <c r="D27" s="17" t="s">
        <v>2362</v>
      </c>
    </row>
    <row r="28" customFormat="false" ht="29.25" hidden="false" customHeight="true" outlineLevel="0" collapsed="false">
      <c r="A28" s="17" t="s">
        <v>2359</v>
      </c>
      <c r="B28" s="16" t="s">
        <v>2365</v>
      </c>
      <c r="C28" s="17" t="s">
        <v>2366</v>
      </c>
      <c r="D28" s="17" t="s">
        <v>2362</v>
      </c>
    </row>
    <row r="29" customFormat="false" ht="29.25" hidden="false" customHeight="true" outlineLevel="0" collapsed="false">
      <c r="A29" s="17" t="s">
        <v>2359</v>
      </c>
      <c r="B29" s="16" t="s">
        <v>2367</v>
      </c>
      <c r="C29" s="17" t="s">
        <v>2368</v>
      </c>
      <c r="D29" s="17" t="s">
        <v>2362</v>
      </c>
    </row>
    <row r="30" customFormat="false" ht="29.25" hidden="false" customHeight="true" outlineLevel="0" collapsed="false">
      <c r="A30" s="17" t="s">
        <v>2359</v>
      </c>
      <c r="B30" s="16" t="s">
        <v>2369</v>
      </c>
      <c r="C30" s="17" t="s">
        <v>2370</v>
      </c>
      <c r="D30" s="17" t="s">
        <v>2362</v>
      </c>
    </row>
    <row r="31" customFormat="false" ht="29.25" hidden="false" customHeight="true" outlineLevel="0" collapsed="false">
      <c r="A31" s="17" t="s">
        <v>2371</v>
      </c>
      <c r="B31" s="16" t="s">
        <v>2372</v>
      </c>
      <c r="C31" s="17" t="s">
        <v>2373</v>
      </c>
      <c r="D31" s="17" t="s">
        <v>2374</v>
      </c>
    </row>
    <row r="32" customFormat="false" ht="27" hidden="false" customHeight="true" outlineLevel="0" collapsed="false">
      <c r="A32" s="17" t="s">
        <v>2371</v>
      </c>
      <c r="B32" s="16" t="s">
        <v>2375</v>
      </c>
      <c r="C32" s="17" t="s">
        <v>2376</v>
      </c>
      <c r="D32" s="17" t="s">
        <v>2377</v>
      </c>
    </row>
    <row r="33" customFormat="false" ht="27" hidden="false" customHeight="true" outlineLevel="0" collapsed="false">
      <c r="A33" s="17" t="s">
        <v>2371</v>
      </c>
      <c r="B33" s="16" t="s">
        <v>2378</v>
      </c>
      <c r="C33" s="17" t="s">
        <v>2379</v>
      </c>
      <c r="D33" s="17" t="s">
        <v>2377</v>
      </c>
    </row>
  </sheetData>
  <autoFilter ref="A1:D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2026-09-28T00:34:36Z</dcterms:created>
  <dc:creator>openpyxl</dc:creator>
  <dc:description/>
  <dc:language>en-US</dc:language>
  <cp:lastModifiedBy/>
  <dcterms:modified xsi:type="dcterms:W3CDTF">2026-09-28T00:34:36Z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